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Experiment\results\"/>
    </mc:Choice>
  </mc:AlternateContent>
  <xr:revisionPtr revIDLastSave="0" documentId="13_ncr:1_{969C894D-248C-47C8-B53C-FA40EC6C6081}" xr6:coauthVersionLast="47" xr6:coauthVersionMax="47" xr10:uidLastSave="{00000000-0000-0000-0000-000000000000}"/>
  <bookViews>
    <workbookView xWindow="-38510" yWindow="-9590" windowWidth="38620" windowHeight="21100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4" i="1"/>
  <c r="K3" i="1"/>
  <c r="J3" i="1"/>
  <c r="I3" i="1"/>
  <c r="H3" i="1"/>
  <c r="G3" i="1"/>
  <c r="F3" i="1"/>
  <c r="E3" i="1"/>
  <c r="D3" i="1"/>
  <c r="C3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<sst xmlns="http://schemas.openxmlformats.org/spreadsheetml/2006/main" count="54" uniqueCount="54">
  <si>
    <t>Timestamp</t>
  </si>
  <si>
    <t>Participant ID:</t>
  </si>
  <si>
    <t>Self assesment_Mean</t>
  </si>
  <si>
    <t>Self Assesment_sum</t>
  </si>
  <si>
    <t>Sum( reversed negative values)</t>
  </si>
  <si>
    <t>Personal positive</t>
  </si>
  <si>
    <t>Personal negative</t>
  </si>
  <si>
    <t>Social Posiitve</t>
  </si>
  <si>
    <t>Social negative</t>
  </si>
  <si>
    <t>TA Time_NQ</t>
  </si>
  <si>
    <t>TA Time_q</t>
  </si>
  <si>
    <t>Assembly time_No question</t>
  </si>
  <si>
    <t>Assembly time_ question</t>
  </si>
  <si>
    <t>Robot N_task_No question</t>
  </si>
  <si>
    <t>Robot N_task_ question</t>
  </si>
  <si>
    <t>Mental_NQ</t>
  </si>
  <si>
    <t>Mental_Q</t>
  </si>
  <si>
    <t>Physical_NQ</t>
  </si>
  <si>
    <t>Physical_Q</t>
  </si>
  <si>
    <t>Temporal_NQ</t>
  </si>
  <si>
    <t>Temporal_Q</t>
  </si>
  <si>
    <t>Performance_NQ</t>
  </si>
  <si>
    <t>Performance_Q</t>
  </si>
  <si>
    <t>Effort_NQ</t>
  </si>
  <si>
    <t>Effort_Q</t>
  </si>
  <si>
    <t>Frustration_NQ</t>
  </si>
  <si>
    <t>Frustration_Q</t>
  </si>
  <si>
    <t>Satisfaction_NQ</t>
  </si>
  <si>
    <t>Satisfaction_Q</t>
  </si>
  <si>
    <t>Fairness_NQ</t>
  </si>
  <si>
    <t>Fairness_Q</t>
  </si>
  <si>
    <t>Efficency_NQ</t>
  </si>
  <si>
    <t>Efficency_Q</t>
  </si>
  <si>
    <t>TA_Satis_NQ</t>
  </si>
  <si>
    <t>TA_Satis_Q</t>
  </si>
  <si>
    <t>Willingness_NQ</t>
  </si>
  <si>
    <t>Willingness_Q</t>
  </si>
  <si>
    <t>TA_Difficulty_NQ</t>
  </si>
  <si>
    <t>TA_Difficulty_Q</t>
  </si>
  <si>
    <t>p11</t>
  </si>
  <si>
    <t>P14</t>
  </si>
  <si>
    <t>P15</t>
  </si>
  <si>
    <t>P16</t>
  </si>
  <si>
    <t>P18</t>
  </si>
  <si>
    <t>P10</t>
  </si>
  <si>
    <t>P20</t>
  </si>
  <si>
    <t>P22</t>
  </si>
  <si>
    <t>P26</t>
  </si>
  <si>
    <t>P27</t>
  </si>
  <si>
    <t>P28</t>
  </si>
  <si>
    <t>P29</t>
  </si>
  <si>
    <t>P30</t>
  </si>
  <si>
    <t>P34</t>
  </si>
  <si>
    <t>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</si>
</sst>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D97F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C5E1"/>
        <bgColor indexed="64"/>
      </patternFill>
    </fill>
    <fill>
      <patternFill patternType="solid">
        <fgColor rgb="FFE5DA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CEE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medium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medium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ck">
        <color indexed="64"/>
      </bottom>
      <diagonal/>
    </border>
    <border>
      <left style="thin">
        <color rgb="FF5B3F86"/>
      </left>
      <right/>
      <top style="thin">
        <color rgb="FF442F65"/>
      </top>
      <bottom style="thick">
        <color indexed="64"/>
      </bottom>
      <diagonal/>
    </border>
    <border>
      <left style="medium">
        <color indexed="64"/>
      </left>
      <right style="thin">
        <color rgb="FF5B3F86"/>
      </right>
      <top style="medium">
        <color indexed="64"/>
      </top>
      <bottom style="thick">
        <color indexed="64"/>
      </bottom>
      <diagonal/>
    </border>
    <border>
      <left style="thin">
        <color rgb="FF5B3F86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rgb="FF5B3F86"/>
      </right>
      <top style="thin">
        <color rgb="FF442F65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" fillId="17" borderId="8" xfId="0" applyNumberFormat="1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0" fontId="1" fillId="19" borderId="12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0" fontId="1" fillId="17" borderId="14" xfId="0" applyFont="1" applyFill="1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Zahra\PhD%20topic\Python\React\TaskMind\Experiment\results\TaskMind_data.csv" TargetMode="External"/><Relationship Id="rId1" Type="http://schemas.openxmlformats.org/officeDocument/2006/relationships/externalLinkPath" Target="TaskMind_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e_2"/>
      <sheetName val="pattern_abnormal"/>
      <sheetName val="pattern_normal"/>
      <sheetName val="pattern_main"/>
      <sheetName val="questionnair"/>
      <sheetName val="core"/>
      <sheetName val="info"/>
      <sheetName val="TA_NQY"/>
      <sheetName val="TA_NQO"/>
      <sheetName val="TA_QY"/>
      <sheetName val="TA_QO"/>
      <sheetName val="TA"/>
      <sheetName val="order"/>
      <sheetName val="No Q"/>
      <sheetName val="Q"/>
      <sheetName val="Data on 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E8">
            <v>72.999999999998622</v>
          </cell>
        </row>
        <row r="11">
          <cell r="E11">
            <v>207.00000000000358</v>
          </cell>
        </row>
        <row r="12">
          <cell r="E12">
            <v>72.000000000001663</v>
          </cell>
        </row>
        <row r="13">
          <cell r="E13">
            <v>116.00000000000215</v>
          </cell>
        </row>
        <row r="15">
          <cell r="E15">
            <v>341.00000000000853</v>
          </cell>
        </row>
        <row r="18">
          <cell r="E18">
            <v>81.00000000000307</v>
          </cell>
        </row>
        <row r="20">
          <cell r="E20">
            <v>217.99999999999892</v>
          </cell>
        </row>
        <row r="24">
          <cell r="E24">
            <v>45.000000000007034</v>
          </cell>
        </row>
        <row r="25">
          <cell r="E25">
            <v>473.0000000000004</v>
          </cell>
        </row>
        <row r="26">
          <cell r="E26">
            <v>217.99999999999892</v>
          </cell>
        </row>
        <row r="27">
          <cell r="E27">
            <v>400.99999999999875</v>
          </cell>
        </row>
        <row r="28">
          <cell r="E28">
            <v>165.99999999999397</v>
          </cell>
        </row>
        <row r="32">
          <cell r="E32">
            <v>145.00000000000028</v>
          </cell>
        </row>
        <row r="34">
          <cell r="E34">
            <v>81.00000000000307</v>
          </cell>
        </row>
      </sheetData>
      <sheetData sheetId="8">
        <row r="8">
          <cell r="E8">
            <v>36.000000000000831</v>
          </cell>
        </row>
        <row r="11">
          <cell r="E11">
            <v>42.000000000006565</v>
          </cell>
        </row>
        <row r="12">
          <cell r="E12">
            <v>55.0000000000054</v>
          </cell>
        </row>
        <row r="13">
          <cell r="E13">
            <v>21.000000000003283</v>
          </cell>
        </row>
        <row r="15">
          <cell r="E15">
            <v>66.000000000000725</v>
          </cell>
        </row>
        <row r="18">
          <cell r="E18">
            <v>44.000000000000483</v>
          </cell>
        </row>
        <row r="20">
          <cell r="E20">
            <v>35.999999999996035</v>
          </cell>
        </row>
        <row r="24">
          <cell r="E24">
            <v>18.999999999999773</v>
          </cell>
        </row>
        <row r="25">
          <cell r="E25">
            <v>56.999999999999318</v>
          </cell>
        </row>
        <row r="26">
          <cell r="E26">
            <v>35.999999999996035</v>
          </cell>
        </row>
        <row r="27">
          <cell r="E27">
            <v>53.00000000000189</v>
          </cell>
        </row>
        <row r="28">
          <cell r="E28">
            <v>109.99999999999162</v>
          </cell>
        </row>
        <row r="32">
          <cell r="E32">
            <v>56.999999999999318</v>
          </cell>
        </row>
        <row r="34">
          <cell r="E34">
            <v>95.999999999995822</v>
          </cell>
        </row>
      </sheetData>
      <sheetData sheetId="9">
        <row r="8">
          <cell r="E8">
            <v>74.000000000000369</v>
          </cell>
        </row>
        <row r="11">
          <cell r="E11">
            <v>96.999999999992781</v>
          </cell>
        </row>
        <row r="12">
          <cell r="E12">
            <v>66.000000000000725</v>
          </cell>
        </row>
        <row r="13">
          <cell r="E13">
            <v>483.99999999999574</v>
          </cell>
        </row>
        <row r="15">
          <cell r="E15">
            <v>526.00000000000227</v>
          </cell>
        </row>
        <row r="18">
          <cell r="E18">
            <v>326.99999999999835</v>
          </cell>
        </row>
        <row r="20">
          <cell r="E20">
            <v>385.00000000000421</v>
          </cell>
        </row>
        <row r="24">
          <cell r="E24">
            <v>113.00000000000168</v>
          </cell>
        </row>
        <row r="25">
          <cell r="E25">
            <v>61.000000000006338</v>
          </cell>
        </row>
        <row r="26">
          <cell r="E26">
            <v>443.00000000000529</v>
          </cell>
        </row>
        <row r="27">
          <cell r="E27">
            <v>119.00000000000261</v>
          </cell>
        </row>
        <row r="28">
          <cell r="E28">
            <v>356.00000000000131</v>
          </cell>
        </row>
        <row r="32">
          <cell r="E32">
            <v>500.0000000000046</v>
          </cell>
        </row>
        <row r="34">
          <cell r="E34">
            <v>419.99999999999852</v>
          </cell>
        </row>
      </sheetData>
      <sheetData sheetId="10">
        <row r="8">
          <cell r="E8">
            <v>52.000000000000135</v>
          </cell>
        </row>
        <row r="11">
          <cell r="E11">
            <v>41.999999999996973</v>
          </cell>
        </row>
        <row r="12">
          <cell r="E12">
            <v>104.99999999999723</v>
          </cell>
        </row>
        <row r="13">
          <cell r="E13">
            <v>25.999999999997669</v>
          </cell>
        </row>
        <row r="15">
          <cell r="E15">
            <v>97.999999999999332</v>
          </cell>
        </row>
        <row r="18">
          <cell r="E18">
            <v>85.999999999997456</v>
          </cell>
        </row>
        <row r="20">
          <cell r="E20">
            <v>21.000000000003283</v>
          </cell>
        </row>
        <row r="24">
          <cell r="E24">
            <v>45.000000000007034</v>
          </cell>
        </row>
        <row r="25">
          <cell r="E25">
            <v>77.999999999993008</v>
          </cell>
        </row>
        <row r="26">
          <cell r="E26">
            <v>53.999999999998849</v>
          </cell>
        </row>
        <row r="27">
          <cell r="E27">
            <v>40.000000000003055</v>
          </cell>
        </row>
        <row r="28">
          <cell r="E28">
            <v>22.000000000000242</v>
          </cell>
        </row>
        <row r="32">
          <cell r="E32">
            <v>63.999999999997215</v>
          </cell>
        </row>
        <row r="34">
          <cell r="E34">
            <v>26.999999999994628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"/>
  <sheetViews>
    <sheetView tabSelected="1" workbookViewId="0">
      <selection sqref="A1:XFD1"/>
    </sheetView>
  </sheetViews>
  <sheetFormatPr defaultRowHeight="14.4" x14ac:dyDescent="0.3"/>
  <cols>
    <col min="1" max="1" width="17.33203125" customWidth="1"/>
    <col min="3" max="3" width="18.6640625" customWidth="1"/>
    <col min="4" max="4" width="18.21875" customWidth="1"/>
    <col min="5" max="5" width="21.109375" customWidth="1"/>
    <col min="6" max="6" width="18.21875" customWidth="1"/>
    <col min="7" max="7" width="20.5546875" customWidth="1"/>
    <col min="8" max="8" width="15" customWidth="1"/>
    <col min="9" max="9" width="19.88671875" customWidth="1"/>
    <col min="10" max="11" width="7.5546875" customWidth="1"/>
    <col min="28" max="28" width="9.44140625" customWidth="1"/>
  </cols>
  <sheetData>
    <row r="1" spans="1:39" ht="55.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5" t="s">
        <v>18</v>
      </c>
      <c r="T1" s="16" t="s">
        <v>19</v>
      </c>
      <c r="U1" s="17" t="s">
        <v>20</v>
      </c>
      <c r="V1" s="18" t="s">
        <v>21</v>
      </c>
      <c r="W1" s="13" t="s">
        <v>22</v>
      </c>
      <c r="X1" s="14" t="s">
        <v>23</v>
      </c>
      <c r="Y1" s="15" t="s">
        <v>24</v>
      </c>
      <c r="Z1" s="16" t="s">
        <v>25</v>
      </c>
      <c r="AA1" s="17" t="s">
        <v>26</v>
      </c>
      <c r="AB1" s="18" t="s">
        <v>27</v>
      </c>
      <c r="AC1" s="13" t="s">
        <v>28</v>
      </c>
      <c r="AD1" s="14" t="s">
        <v>29</v>
      </c>
      <c r="AE1" s="15" t="s">
        <v>30</v>
      </c>
      <c r="AF1" s="16" t="s">
        <v>31</v>
      </c>
      <c r="AG1" s="17" t="s">
        <v>32</v>
      </c>
      <c r="AH1" s="18" t="s">
        <v>33</v>
      </c>
      <c r="AI1" s="13" t="s">
        <v>34</v>
      </c>
      <c r="AJ1" s="14" t="s">
        <v>35</v>
      </c>
      <c r="AK1" s="15" t="s">
        <v>36</v>
      </c>
      <c r="AL1" s="16" t="s">
        <v>37</v>
      </c>
      <c r="AM1" s="17" t="s">
        <v>38</v>
      </c>
    </row>
    <row r="2" spans="1:39" x14ac:dyDescent="0.3">
      <c r="A2" s="19">
        <v>45909.444653206017</v>
      </c>
      <c r="B2" s="20" t="s">
        <v>39</v>
      </c>
      <c r="C2" s="21" t="e">
        <f>[1]!Form_Responses[[#This Row],[SUM]]/10</f>
        <v>#VALUE!</v>
      </c>
      <c r="D2" s="21" t="e">
        <f>SUM([1]!Form_Responses[[#This Row],[1- I can always manage to solve difficult problems if I try hard enough.]:[10- I can usually handle whatever comes my way.]])</f>
        <v>#VALUE!</v>
      </c>
      <c r="E2" s="21" t="e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#VALUE!</v>
      </c>
      <c r="F2" s="21" t="e">
        <f>SUM([1]!Form_Responses[[#This Row],[1- I can trust persons and organizations related to development of robots ]:[5- If robots had emotions, I would be able to be friend with them]])</f>
        <v>#VALUE!</v>
      </c>
      <c r="G2" s="21" t="e">
        <f>SUM([1]!Form_Responses[[#This Row],[6- I would feel uneasy if I was given a job where I had to use robots]:[10- I don’t want a robot to touch me]])</f>
        <v>#VALUE!</v>
      </c>
      <c r="H2" s="21" t="e">
        <f>SUM([1]!Form_Responses[[#This Row],[11- Robots are necessary because they can do jobs that are too hard or too dangerous for people ]:[15- Robots are a good thing for society, because they help people]])</f>
        <v>#VALUE!</v>
      </c>
      <c r="I2" s="22" t="e">
        <f>SUM([1]!Form_Responses[[#This Row],[16- Robots may make us even lazier ]:[20- Unregulated use of robotics can lead to societal upheavals]])</f>
        <v>#VALUE!</v>
      </c>
      <c r="J2" s="23">
        <f>[1]TA_NQY!E8+[1]TA_NQO!E8</f>
        <v>108.99999999999946</v>
      </c>
      <c r="K2" s="24">
        <f>[1]TA_QY!E8+[1]TA_QO!E8</f>
        <v>126.00000000000051</v>
      </c>
      <c r="L2" s="25">
        <v>346.99999999999511</v>
      </c>
      <c r="M2" s="26">
        <v>581.00000000000296</v>
      </c>
      <c r="N2" s="27">
        <v>19</v>
      </c>
      <c r="O2" s="26">
        <v>21</v>
      </c>
      <c r="P2" s="28">
        <v>4</v>
      </c>
      <c r="Q2" s="29">
        <v>10</v>
      </c>
      <c r="R2" s="30">
        <v>7</v>
      </c>
      <c r="S2" s="31">
        <v>9</v>
      </c>
      <c r="T2" s="32">
        <v>6</v>
      </c>
      <c r="U2" s="33">
        <v>8</v>
      </c>
      <c r="V2" s="28">
        <v>10</v>
      </c>
      <c r="W2" s="29">
        <v>10</v>
      </c>
      <c r="X2" s="30">
        <v>7</v>
      </c>
      <c r="Y2" s="31">
        <v>9</v>
      </c>
      <c r="Z2" s="32">
        <v>6</v>
      </c>
      <c r="AA2" s="33">
        <v>9</v>
      </c>
      <c r="AB2" s="28">
        <v>10</v>
      </c>
      <c r="AC2" s="29">
        <v>9</v>
      </c>
      <c r="AD2" s="30">
        <v>10</v>
      </c>
      <c r="AE2" s="31">
        <v>8</v>
      </c>
      <c r="AF2" s="32">
        <v>9</v>
      </c>
      <c r="AG2" s="33">
        <v>9</v>
      </c>
      <c r="AH2" s="28">
        <v>9</v>
      </c>
      <c r="AI2" s="29">
        <v>9</v>
      </c>
      <c r="AJ2" s="30">
        <v>10</v>
      </c>
      <c r="AK2" s="31">
        <v>10</v>
      </c>
      <c r="AL2" s="32">
        <v>4</v>
      </c>
      <c r="AM2" s="33">
        <v>10</v>
      </c>
    </row>
    <row r="3" spans="1:39" x14ac:dyDescent="0.3">
      <c r="A3" s="19">
        <v>45909.613403391202</v>
      </c>
      <c r="B3" s="20" t="s">
        <v>40</v>
      </c>
      <c r="C3" s="21">
        <f>[1]!Form_Responses[[#This Row],[SUM]]/10</f>
        <v>3.1</v>
      </c>
      <c r="D3" s="21">
        <f>SUM([1]!Form_Responses[[#This Row],[1- I can always manage to solve difficult problems if I try hard enough.]:[10- I can usually handle whatever comes my way.]])</f>
        <v>31</v>
      </c>
      <c r="E3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64</v>
      </c>
      <c r="F3" s="21">
        <f>SUM([1]!Form_Responses[[#This Row],[1- I can trust persons and organizations related to development of robots ]:[5- If robots had emotions, I would be able to be friend with them]])</f>
        <v>10</v>
      </c>
      <c r="G3" s="21">
        <f>SUM([1]!Form_Responses[[#This Row],[6- I would feel uneasy if I was given a job where I had to use robots]:[10- I don’t want a robot to touch me]])</f>
        <v>9</v>
      </c>
      <c r="H3" s="21">
        <f>SUM([1]!Form_Responses[[#This Row],[11- Robots are necessary because they can do jobs that are too hard or too dangerous for people ]:[15- Robots are a good thing for society, because they help people]])</f>
        <v>22</v>
      </c>
      <c r="I3" s="22">
        <f>SUM([1]!Form_Responses[[#This Row],[16- Robots may make us even lazier ]:[20- Unregulated use of robotics can lead to societal upheavals]])</f>
        <v>18</v>
      </c>
      <c r="J3" s="34">
        <f>[1]TA_NQY!E11+[1]TA_NQO!E11</f>
        <v>249.00000000001015</v>
      </c>
      <c r="K3" s="35">
        <f>[1]TA_QY!E11+[1]TA_QO!E11</f>
        <v>138.99999999998977</v>
      </c>
      <c r="L3" s="25">
        <v>310.99999999999426</v>
      </c>
      <c r="M3" s="26">
        <v>374.00000000000409</v>
      </c>
      <c r="N3" s="27">
        <v>19</v>
      </c>
      <c r="O3" s="26">
        <v>22</v>
      </c>
      <c r="P3" s="28">
        <v>2</v>
      </c>
      <c r="Q3" s="29">
        <v>5</v>
      </c>
      <c r="R3" s="30">
        <v>2</v>
      </c>
      <c r="S3" s="31">
        <v>3</v>
      </c>
      <c r="T3" s="32">
        <v>2</v>
      </c>
      <c r="U3" s="33">
        <v>4</v>
      </c>
      <c r="V3" s="28">
        <v>8</v>
      </c>
      <c r="W3" s="29">
        <v>7</v>
      </c>
      <c r="X3" s="30">
        <v>3</v>
      </c>
      <c r="Y3" s="31">
        <v>4</v>
      </c>
      <c r="Z3" s="32">
        <v>1</v>
      </c>
      <c r="AA3" s="33">
        <v>1</v>
      </c>
      <c r="AB3" s="28">
        <v>9</v>
      </c>
      <c r="AC3" s="29">
        <v>9</v>
      </c>
      <c r="AD3" s="30">
        <v>6</v>
      </c>
      <c r="AE3" s="31">
        <v>8</v>
      </c>
      <c r="AF3" s="32">
        <v>4</v>
      </c>
      <c r="AG3" s="33">
        <v>8</v>
      </c>
      <c r="AH3" s="28">
        <v>7</v>
      </c>
      <c r="AI3" s="29">
        <v>8</v>
      </c>
      <c r="AJ3" s="30">
        <v>10</v>
      </c>
      <c r="AK3" s="31">
        <v>8</v>
      </c>
      <c r="AL3" s="32">
        <v>4</v>
      </c>
      <c r="AM3" s="33">
        <v>3</v>
      </c>
    </row>
    <row r="4" spans="1:39" x14ac:dyDescent="0.3">
      <c r="A4" s="19">
        <v>45909.662530416666</v>
      </c>
      <c r="B4" s="20" t="s">
        <v>41</v>
      </c>
      <c r="C4" s="21">
        <f>[1]!Form_Responses[[#This Row],[SUM]]/10</f>
        <v>3.3</v>
      </c>
      <c r="D4" s="21">
        <f>SUM([1]!Form_Responses[[#This Row],[1- I can always manage to solve difficult problems if I try hard enough.]:[10- I can usually handle whatever comes my way.]])</f>
        <v>33</v>
      </c>
      <c r="E4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64</v>
      </c>
      <c r="F4" s="21">
        <f>SUM([1]!Form_Responses[[#This Row],[1- I can trust persons and organizations related to development of robots ]:[5- If robots had emotions, I would be able to be friend with them]])</f>
        <v>17</v>
      </c>
      <c r="G4" s="21">
        <f>SUM([1]!Form_Responses[[#This Row],[6- I would feel uneasy if I was given a job where I had to use robots]:[10- I don’t want a robot to touch me]])</f>
        <v>8</v>
      </c>
      <c r="H4" s="21">
        <f>SUM([1]!Form_Responses[[#This Row],[11- Robots are necessary because they can do jobs that are too hard or too dangerous for people ]:[15- Robots are a good thing for society, because they help people]])</f>
        <v>23</v>
      </c>
      <c r="I4" s="22">
        <f>SUM([1]!Form_Responses[[#This Row],[16- Robots may make us even lazier ]:[20- Unregulated use of robotics can lead to societal upheavals]])</f>
        <v>19</v>
      </c>
      <c r="J4" s="23">
        <f>[1]TA_NQY!E12+[1]TA_NQO!E12</f>
        <v>127.00000000000706</v>
      </c>
      <c r="K4" s="24">
        <f>[1]TA_QY!E12+[1]TA_QO!E12</f>
        <v>170.99999999999795</v>
      </c>
      <c r="L4" s="25">
        <v>243.99999999999656</v>
      </c>
      <c r="M4" s="26">
        <v>668.00000000000205</v>
      </c>
      <c r="N4" s="27">
        <v>10</v>
      </c>
      <c r="O4" s="26">
        <v>17</v>
      </c>
      <c r="P4" s="28">
        <v>3</v>
      </c>
      <c r="Q4" s="29">
        <v>7</v>
      </c>
      <c r="R4" s="30">
        <v>6</v>
      </c>
      <c r="S4" s="31">
        <v>4</v>
      </c>
      <c r="T4" s="32">
        <v>6</v>
      </c>
      <c r="U4" s="33">
        <v>5</v>
      </c>
      <c r="V4" s="28">
        <v>10</v>
      </c>
      <c r="W4" s="29">
        <v>6</v>
      </c>
      <c r="X4" s="30">
        <v>6</v>
      </c>
      <c r="Y4" s="31">
        <v>6</v>
      </c>
      <c r="Z4" s="32">
        <v>3</v>
      </c>
      <c r="AA4" s="33">
        <v>5</v>
      </c>
      <c r="AB4" s="28">
        <v>9</v>
      </c>
      <c r="AC4" s="29">
        <v>7</v>
      </c>
      <c r="AD4" s="30">
        <v>10</v>
      </c>
      <c r="AE4" s="31">
        <v>10</v>
      </c>
      <c r="AF4" s="32">
        <v>8</v>
      </c>
      <c r="AG4" s="33">
        <v>7</v>
      </c>
      <c r="AH4" s="28">
        <v>8</v>
      </c>
      <c r="AI4" s="29">
        <v>6</v>
      </c>
      <c r="AJ4" s="30">
        <v>10</v>
      </c>
      <c r="AK4" s="31">
        <v>10</v>
      </c>
      <c r="AL4" s="32">
        <v>6</v>
      </c>
      <c r="AM4" s="33">
        <v>7</v>
      </c>
    </row>
    <row r="5" spans="1:39" x14ac:dyDescent="0.3">
      <c r="A5" s="19">
        <v>45909.707308969912</v>
      </c>
      <c r="B5" s="20" t="s">
        <v>42</v>
      </c>
      <c r="C5" s="21">
        <f>[1]!Form_Responses[[#This Row],[SUM]]/10</f>
        <v>3.4</v>
      </c>
      <c r="D5" s="21">
        <f>SUM([1]!Form_Responses[[#This Row],[1- I can always manage to solve difficult problems if I try hard enough.]:[10- I can usually handle whatever comes my way.]])</f>
        <v>34</v>
      </c>
      <c r="E5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64</v>
      </c>
      <c r="F5" s="21">
        <f>SUM([1]!Form_Responses[[#This Row],[1- I can trust persons and organizations related to development of robots ]:[5- If robots had emotions, I would be able to be friend with them]])</f>
        <v>14</v>
      </c>
      <c r="G5" s="21">
        <f>SUM([1]!Form_Responses[[#This Row],[6- I would feel uneasy if I was given a job where I had to use robots]:[10- I don’t want a robot to touch me]])</f>
        <v>9</v>
      </c>
      <c r="H5" s="21">
        <f>SUM([1]!Form_Responses[[#This Row],[11- Robots are necessary because they can do jobs that are too hard or too dangerous for people ]:[15- Robots are a good thing for society, because they help people]])</f>
        <v>22</v>
      </c>
      <c r="I5" s="22">
        <f>SUM([1]!Form_Responses[[#This Row],[16- Robots may make us even lazier ]:[20- Unregulated use of robotics can lead to societal upheavals]])</f>
        <v>18</v>
      </c>
      <c r="J5" s="23">
        <f>[1]TA_NQY!E13+[1]TA_NQO!E13</f>
        <v>137.00000000000543</v>
      </c>
      <c r="K5" s="24">
        <f>[1]TA_QY!E13+[1]TA_QO!E13</f>
        <v>509.99999999999341</v>
      </c>
      <c r="L5" s="25">
        <v>304.99999999999329</v>
      </c>
      <c r="M5" s="26">
        <v>433.00000000000693</v>
      </c>
      <c r="N5" s="27">
        <v>15</v>
      </c>
      <c r="O5" s="26">
        <v>19</v>
      </c>
      <c r="P5" s="28">
        <v>1</v>
      </c>
      <c r="Q5" s="29">
        <v>6</v>
      </c>
      <c r="R5" s="30">
        <v>5</v>
      </c>
      <c r="S5" s="31">
        <v>6</v>
      </c>
      <c r="T5" s="32">
        <v>2</v>
      </c>
      <c r="U5" s="33">
        <v>8</v>
      </c>
      <c r="V5" s="28">
        <v>10</v>
      </c>
      <c r="W5" s="29">
        <v>9</v>
      </c>
      <c r="X5" s="30">
        <v>6</v>
      </c>
      <c r="Y5" s="31">
        <v>7</v>
      </c>
      <c r="Z5" s="32">
        <v>2</v>
      </c>
      <c r="AA5" s="33">
        <v>5</v>
      </c>
      <c r="AB5" s="28">
        <v>9</v>
      </c>
      <c r="AC5" s="29">
        <v>8</v>
      </c>
      <c r="AD5" s="30">
        <v>8</v>
      </c>
      <c r="AE5" s="31">
        <v>7</v>
      </c>
      <c r="AF5" s="32">
        <v>8</v>
      </c>
      <c r="AG5" s="33">
        <v>4</v>
      </c>
      <c r="AH5" s="28">
        <v>8</v>
      </c>
      <c r="AI5" s="29">
        <v>6</v>
      </c>
      <c r="AJ5" s="30">
        <v>10</v>
      </c>
      <c r="AK5" s="31">
        <v>10</v>
      </c>
      <c r="AL5" s="32">
        <v>8</v>
      </c>
      <c r="AM5" s="33">
        <v>8</v>
      </c>
    </row>
    <row r="6" spans="1:39" x14ac:dyDescent="0.3">
      <c r="A6" s="19">
        <v>45910.584917060187</v>
      </c>
      <c r="B6" s="20" t="s">
        <v>43</v>
      </c>
      <c r="C6" s="21">
        <f>[1]!Form_Responses[[#This Row],[SUM]]/10</f>
        <v>3.9</v>
      </c>
      <c r="D6" s="21">
        <f>SUM([1]!Form_Responses[[#This Row],[1- I can always manage to solve difficult problems if I try hard enough.]:[10- I can usually handle whatever comes my way.]])</f>
        <v>39</v>
      </c>
      <c r="E6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72</v>
      </c>
      <c r="F6" s="21">
        <f>SUM([1]!Form_Responses[[#This Row],[1- I can trust persons and organizations related to development of robots ]:[5- If robots had emotions, I would be able to be friend with them]])</f>
        <v>16</v>
      </c>
      <c r="G6" s="21">
        <f>SUM([1]!Form_Responses[[#This Row],[6- I would feel uneasy if I was given a job where I had to use robots]:[10- I don’t want a robot to touch me]])</f>
        <v>8</v>
      </c>
      <c r="H6" s="21">
        <f>SUM([1]!Form_Responses[[#This Row],[11- Robots are necessary because they can do jobs that are too hard or too dangerous for people ]:[15- Robots are a good thing for society, because they help people]])</f>
        <v>19</v>
      </c>
      <c r="I6" s="22">
        <f>SUM([1]!Form_Responses[[#This Row],[16- Robots may make us even lazier ]:[20- Unregulated use of robotics can lead to societal upheavals]])</f>
        <v>7</v>
      </c>
      <c r="J6" s="23">
        <f>[1]TA_NQY!E15+[1]TA_NQO!E15</f>
        <v>407.00000000000927</v>
      </c>
      <c r="K6" s="24">
        <f>[1]TA_QY!E15+[1]TA_QO!E15</f>
        <v>624.00000000000159</v>
      </c>
      <c r="L6" s="25">
        <v>249.99999999999753</v>
      </c>
      <c r="M6" s="26">
        <v>356.00000000000131</v>
      </c>
      <c r="N6" s="27">
        <v>13</v>
      </c>
      <c r="O6" s="26">
        <v>19</v>
      </c>
      <c r="P6" s="28">
        <v>5</v>
      </c>
      <c r="Q6" s="29">
        <v>8</v>
      </c>
      <c r="R6" s="30">
        <v>5</v>
      </c>
      <c r="S6" s="31">
        <v>4</v>
      </c>
      <c r="T6" s="32">
        <v>6</v>
      </c>
      <c r="U6" s="33">
        <v>8</v>
      </c>
      <c r="V6" s="28">
        <v>9</v>
      </c>
      <c r="W6" s="29">
        <v>9</v>
      </c>
      <c r="X6" s="30">
        <v>5</v>
      </c>
      <c r="Y6" s="31">
        <v>7</v>
      </c>
      <c r="Z6" s="32">
        <v>2</v>
      </c>
      <c r="AA6" s="33">
        <v>2</v>
      </c>
      <c r="AB6" s="28">
        <v>9</v>
      </c>
      <c r="AC6" s="29">
        <v>9</v>
      </c>
      <c r="AD6" s="30">
        <v>8</v>
      </c>
      <c r="AE6" s="31">
        <v>7</v>
      </c>
      <c r="AF6" s="32">
        <v>7</v>
      </c>
      <c r="AG6" s="33">
        <v>8</v>
      </c>
      <c r="AH6" s="28">
        <v>9</v>
      </c>
      <c r="AI6" s="29">
        <v>8</v>
      </c>
      <c r="AJ6" s="30">
        <v>9</v>
      </c>
      <c r="AK6" s="31">
        <v>9</v>
      </c>
      <c r="AL6" s="32">
        <v>8</v>
      </c>
      <c r="AM6" s="33">
        <v>8</v>
      </c>
    </row>
    <row r="7" spans="1:39" x14ac:dyDescent="0.3">
      <c r="A7" s="19">
        <v>45910.691854594908</v>
      </c>
      <c r="B7" s="20" t="s">
        <v>44</v>
      </c>
      <c r="C7" s="21">
        <v>3.1</v>
      </c>
      <c r="D7" s="21">
        <v>31</v>
      </c>
      <c r="E7" s="21">
        <v>64</v>
      </c>
      <c r="F7" s="21">
        <v>10</v>
      </c>
      <c r="G7" s="21">
        <v>9</v>
      </c>
      <c r="H7" s="21">
        <v>22</v>
      </c>
      <c r="I7" s="22">
        <v>18</v>
      </c>
      <c r="J7" s="23">
        <v>280.00000000000222</v>
      </c>
      <c r="K7" s="24">
        <v>470.00000000000955</v>
      </c>
      <c r="L7" s="25">
        <v>268.99999999998772</v>
      </c>
      <c r="M7" s="26">
        <v>375.99999999999801</v>
      </c>
      <c r="N7" s="27">
        <v>15</v>
      </c>
      <c r="O7" s="26">
        <v>22</v>
      </c>
      <c r="P7" s="28">
        <v>2</v>
      </c>
      <c r="Q7" s="29">
        <v>4</v>
      </c>
      <c r="R7" s="30">
        <v>5</v>
      </c>
      <c r="S7" s="31">
        <v>3</v>
      </c>
      <c r="T7" s="32">
        <v>5</v>
      </c>
      <c r="U7" s="33">
        <v>3</v>
      </c>
      <c r="V7" s="28">
        <v>10</v>
      </c>
      <c r="W7" s="29">
        <v>10</v>
      </c>
      <c r="X7" s="30">
        <v>6</v>
      </c>
      <c r="Y7" s="31">
        <v>2</v>
      </c>
      <c r="Z7" s="32">
        <v>1</v>
      </c>
      <c r="AA7" s="33">
        <v>1</v>
      </c>
      <c r="AB7" s="28">
        <v>10</v>
      </c>
      <c r="AC7" s="29">
        <v>10</v>
      </c>
      <c r="AD7" s="30">
        <v>10</v>
      </c>
      <c r="AE7" s="31">
        <v>10</v>
      </c>
      <c r="AF7" s="32">
        <v>10</v>
      </c>
      <c r="AG7" s="33">
        <v>7</v>
      </c>
      <c r="AH7" s="28">
        <v>7</v>
      </c>
      <c r="AI7" s="29">
        <v>10</v>
      </c>
      <c r="AJ7" s="30">
        <v>10</v>
      </c>
      <c r="AK7" s="31">
        <v>10</v>
      </c>
      <c r="AL7" s="32">
        <v>3</v>
      </c>
      <c r="AM7" s="33">
        <v>3</v>
      </c>
    </row>
    <row r="8" spans="1:39" x14ac:dyDescent="0.3">
      <c r="A8" s="19">
        <v>45912.400994479161</v>
      </c>
      <c r="B8" s="20" t="s">
        <v>45</v>
      </c>
      <c r="C8" s="21">
        <f>[1]!Form_Responses[[#This Row],[SUM]]/10</f>
        <v>3.2</v>
      </c>
      <c r="D8" s="21">
        <f>SUM([1]!Form_Responses[[#This Row],[1- I can always manage to solve difficult problems if I try hard enough.]:[10- I can usually handle whatever comes my way.]])</f>
        <v>32</v>
      </c>
      <c r="E8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63</v>
      </c>
      <c r="F8" s="21">
        <f>SUM([1]!Form_Responses[[#This Row],[1- I can trust persons and organizations related to development of robots ]:[5- If robots had emotions, I would be able to be friend with them]])</f>
        <v>25</v>
      </c>
      <c r="G8" s="21">
        <f>SUM([1]!Form_Responses[[#This Row],[6- I would feel uneasy if I was given a job where I had to use robots]:[10- I don’t want a robot to touch me]])</f>
        <v>5</v>
      </c>
      <c r="H8" s="21">
        <f>SUM([1]!Form_Responses[[#This Row],[11- Robots are necessary because they can do jobs that are too hard or too dangerous for people ]:[15- Robots are a good thing for society, because they help people]])</f>
        <v>24</v>
      </c>
      <c r="I8" s="22">
        <f>SUM([1]!Form_Responses[[#This Row],[16- Robots may make us even lazier ]:[20- Unregulated use of robotics can lead to societal upheavals]])</f>
        <v>21</v>
      </c>
      <c r="J8" s="23">
        <f>[1]TA_NQY!E18+[1]TA_NQO!E18</f>
        <v>125.00000000000355</v>
      </c>
      <c r="K8" s="24">
        <f>[1]TA_QY!E18+[1]TA_QO!E18</f>
        <v>412.99999999999579</v>
      </c>
      <c r="L8" s="25">
        <v>271.99999999999295</v>
      </c>
      <c r="M8" s="26">
        <v>413.00000000000063</v>
      </c>
      <c r="N8" s="27">
        <v>15</v>
      </c>
      <c r="O8" s="26">
        <v>18</v>
      </c>
      <c r="P8" s="28">
        <v>1</v>
      </c>
      <c r="Q8" s="29">
        <v>4</v>
      </c>
      <c r="R8" s="30">
        <v>1</v>
      </c>
      <c r="S8" s="31">
        <v>2</v>
      </c>
      <c r="T8" s="32">
        <v>3</v>
      </c>
      <c r="U8" s="33">
        <v>5</v>
      </c>
      <c r="V8" s="28">
        <v>10</v>
      </c>
      <c r="W8" s="29">
        <v>8</v>
      </c>
      <c r="X8" s="30">
        <v>3</v>
      </c>
      <c r="Y8" s="31">
        <v>7</v>
      </c>
      <c r="Z8" s="32">
        <v>3</v>
      </c>
      <c r="AA8" s="33">
        <v>4</v>
      </c>
      <c r="AB8" s="28">
        <v>10</v>
      </c>
      <c r="AC8" s="29">
        <v>8</v>
      </c>
      <c r="AD8" s="30">
        <v>10</v>
      </c>
      <c r="AE8" s="31">
        <v>6</v>
      </c>
      <c r="AF8" s="32">
        <v>10</v>
      </c>
      <c r="AG8" s="33">
        <v>3</v>
      </c>
      <c r="AH8" s="28">
        <v>10</v>
      </c>
      <c r="AI8" s="29">
        <v>4</v>
      </c>
      <c r="AJ8" s="30">
        <v>10</v>
      </c>
      <c r="AK8" s="31">
        <v>10</v>
      </c>
      <c r="AL8" s="32">
        <v>7</v>
      </c>
      <c r="AM8" s="33">
        <v>7</v>
      </c>
    </row>
    <row r="9" spans="1:39" x14ac:dyDescent="0.3">
      <c r="A9" s="19">
        <v>45912.493647233801</v>
      </c>
      <c r="B9" s="20" t="s">
        <v>46</v>
      </c>
      <c r="C9" s="21">
        <f>[1]!Form_Responses[[#This Row],[SUM]]/10</f>
        <v>3.9</v>
      </c>
      <c r="D9" s="21">
        <f>SUM([1]!Form_Responses[[#This Row],[1- I can always manage to solve difficult problems if I try hard enough.]:[10- I can usually handle whatever comes my way.]])</f>
        <v>39</v>
      </c>
      <c r="E9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64</v>
      </c>
      <c r="F9" s="21">
        <f>SUM([1]!Form_Responses[[#This Row],[1- I can trust persons and organizations related to development of robots ]:[5- If robots had emotions, I would be able to be friend with them]])</f>
        <v>20</v>
      </c>
      <c r="G9" s="21">
        <f>SUM([1]!Form_Responses[[#This Row],[6- I would feel uneasy if I was given a job where I had to use robots]:[10- I don’t want a robot to touch me]])</f>
        <v>17</v>
      </c>
      <c r="H9" s="21">
        <f>SUM([1]!Form_Responses[[#This Row],[11- Robots are necessary because they can do jobs that are too hard or too dangerous for people ]:[15- Robots are a good thing for society, because they help people]])</f>
        <v>21</v>
      </c>
      <c r="I9" s="22">
        <f>SUM([1]!Form_Responses[[#This Row],[16- Robots may make us even lazier ]:[20- Unregulated use of robotics can lead to societal upheavals]])</f>
        <v>17</v>
      </c>
      <c r="J9" s="23">
        <f>[1]TA_NQY!E20+[1]TA_NQO!E20</f>
        <v>253.99999999999494</v>
      </c>
      <c r="K9" s="24">
        <f>[1]TA_QY!E20+[1]TA_QO!E20</f>
        <v>406.0000000000075</v>
      </c>
      <c r="L9" s="25">
        <v>346.00000000001251</v>
      </c>
      <c r="M9" s="26">
        <v>395.99999999999955</v>
      </c>
      <c r="N9" s="27">
        <v>20</v>
      </c>
      <c r="O9" s="26">
        <v>22</v>
      </c>
      <c r="P9" s="28">
        <v>2</v>
      </c>
      <c r="Q9" s="29">
        <v>3</v>
      </c>
      <c r="R9" s="30">
        <v>2</v>
      </c>
      <c r="S9" s="31">
        <v>3</v>
      </c>
      <c r="T9" s="32">
        <v>2</v>
      </c>
      <c r="U9" s="33">
        <v>5</v>
      </c>
      <c r="V9" s="28">
        <v>9</v>
      </c>
      <c r="W9" s="29">
        <v>9</v>
      </c>
      <c r="X9" s="30">
        <v>3</v>
      </c>
      <c r="Y9" s="31">
        <v>6</v>
      </c>
      <c r="Z9" s="32">
        <v>1</v>
      </c>
      <c r="AA9" s="33">
        <v>1</v>
      </c>
      <c r="AB9" s="28">
        <v>9</v>
      </c>
      <c r="AC9" s="29">
        <v>9</v>
      </c>
      <c r="AD9" s="30">
        <v>8</v>
      </c>
      <c r="AE9" s="31">
        <v>7</v>
      </c>
      <c r="AF9" s="32">
        <v>8</v>
      </c>
      <c r="AG9" s="33">
        <v>7</v>
      </c>
      <c r="AH9" s="28">
        <v>8</v>
      </c>
      <c r="AI9" s="29">
        <v>7</v>
      </c>
      <c r="AJ9" s="30">
        <v>10</v>
      </c>
      <c r="AK9" s="31">
        <v>10</v>
      </c>
      <c r="AL9" s="32">
        <v>2</v>
      </c>
      <c r="AM9" s="33">
        <v>2</v>
      </c>
    </row>
    <row r="10" spans="1:39" x14ac:dyDescent="0.3">
      <c r="A10" s="19">
        <v>45912.719724236114</v>
      </c>
      <c r="B10" s="20" t="s">
        <v>47</v>
      </c>
      <c r="C10" s="21">
        <f>[1]!Form_Responses[[#This Row],[SUM]]/10</f>
        <v>3</v>
      </c>
      <c r="D10" s="21">
        <f>SUM([1]!Form_Responses[[#This Row],[1- I can always manage to solve difficult problems if I try hard enough.]:[10- I can usually handle whatever comes my way.]])</f>
        <v>30</v>
      </c>
      <c r="E10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62</v>
      </c>
      <c r="F10" s="21">
        <f>SUM([1]!Form_Responses[[#This Row],[1- I can trust persons and organizations related to development of robots ]:[5- If robots had emotions, I would be able to be friend with them]])</f>
        <v>8</v>
      </c>
      <c r="G10" s="21">
        <f>SUM([1]!Form_Responses[[#This Row],[6- I would feel uneasy if I was given a job where I had to use robots]:[10- I don’t want a robot to touch me]])</f>
        <v>7</v>
      </c>
      <c r="H10" s="21">
        <f>SUM([1]!Form_Responses[[#This Row],[11- Robots are necessary because they can do jobs that are too hard or too dangerous for people ]:[15- Robots are a good thing for society, because they help people]])</f>
        <v>23</v>
      </c>
      <c r="I10" s="22">
        <f>SUM([1]!Form_Responses[[#This Row],[16- Robots may make us even lazier ]:[20- Unregulated use of robotics can lead to societal upheavals]])</f>
        <v>21</v>
      </c>
      <c r="J10" s="23">
        <f>[1]TA_NQY!E24+[1]TA_NQO!E24</f>
        <v>64.000000000006807</v>
      </c>
      <c r="K10" s="24">
        <f>[1]TA_QY!E24+[1]TA_QO!E24</f>
        <v>158.0000000000087</v>
      </c>
      <c r="L10" s="25">
        <v>305.0000000000029</v>
      </c>
      <c r="M10" s="26">
        <v>409.99999999999056</v>
      </c>
      <c r="N10" s="36">
        <v>16</v>
      </c>
      <c r="O10" s="26">
        <v>16</v>
      </c>
      <c r="P10" s="28">
        <v>8</v>
      </c>
      <c r="Q10" s="29">
        <v>7</v>
      </c>
      <c r="R10" s="30">
        <v>8</v>
      </c>
      <c r="S10" s="31">
        <v>9</v>
      </c>
      <c r="T10" s="32">
        <v>9</v>
      </c>
      <c r="U10" s="33">
        <v>8</v>
      </c>
      <c r="V10" s="28">
        <v>9</v>
      </c>
      <c r="W10" s="29">
        <v>10</v>
      </c>
      <c r="X10" s="30">
        <v>8</v>
      </c>
      <c r="Y10" s="31">
        <v>7</v>
      </c>
      <c r="Z10" s="32">
        <v>1</v>
      </c>
      <c r="AA10" s="33">
        <v>2</v>
      </c>
      <c r="AB10" s="28">
        <v>9</v>
      </c>
      <c r="AC10" s="29">
        <v>9</v>
      </c>
      <c r="AD10" s="30">
        <v>10</v>
      </c>
      <c r="AE10" s="31">
        <v>10</v>
      </c>
      <c r="AF10" s="32">
        <v>10</v>
      </c>
      <c r="AG10" s="33">
        <v>9</v>
      </c>
      <c r="AH10" s="28">
        <v>10</v>
      </c>
      <c r="AI10" s="29">
        <v>9</v>
      </c>
      <c r="AJ10" s="30">
        <v>9</v>
      </c>
      <c r="AK10" s="31">
        <v>9</v>
      </c>
      <c r="AL10" s="32">
        <v>3</v>
      </c>
      <c r="AM10" s="33">
        <v>4</v>
      </c>
    </row>
    <row r="11" spans="1:39" x14ac:dyDescent="0.3">
      <c r="A11" s="19">
        <v>45915.492289108792</v>
      </c>
      <c r="B11" s="20" t="s">
        <v>48</v>
      </c>
      <c r="C11" s="21">
        <f>[1]!Form_Responses[[#This Row],[SUM]]/10</f>
        <v>3.4</v>
      </c>
      <c r="D11" s="21">
        <f>SUM([1]!Form_Responses[[#This Row],[1- I can always manage to solve difficult problems if I try hard enough.]:[10- I can usually handle whatever comes my way.]])</f>
        <v>34</v>
      </c>
      <c r="E11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73</v>
      </c>
      <c r="F11" s="21">
        <f>SUM([1]!Form_Responses[[#This Row],[1- I can trust persons and organizations related to development of robots ]:[5- If robots had emotions, I would be able to be friend with them]])</f>
        <v>15</v>
      </c>
      <c r="G11" s="21">
        <f>SUM([1]!Form_Responses[[#This Row],[6- I would feel uneasy if I was given a job where I had to use robots]:[10- I don’t want a robot to touch me]])</f>
        <v>6</v>
      </c>
      <c r="H11" s="21">
        <f>SUM([1]!Form_Responses[[#This Row],[11- Robots are necessary because they can do jobs that are too hard or too dangerous for people ]:[15- Robots are a good thing for society, because they help people]])</f>
        <v>24</v>
      </c>
      <c r="I11" s="22">
        <f>SUM([1]!Form_Responses[[#This Row],[16- Robots may make us even lazier ]:[20- Unregulated use of robotics can lead to societal upheavals]])</f>
        <v>11</v>
      </c>
      <c r="J11" s="34">
        <f>[1]TA_NQY!E25+[1]TA_NQO!E25</f>
        <v>529.99999999999977</v>
      </c>
      <c r="K11" s="35">
        <f>[1]TA_QY!E25+[1]TA_QO!E25</f>
        <v>138.99999999999935</v>
      </c>
      <c r="L11" s="25">
        <v>294.99999999999977</v>
      </c>
      <c r="M11" s="26">
        <v>412.00000000000364</v>
      </c>
      <c r="N11" s="27">
        <v>17</v>
      </c>
      <c r="O11" s="26">
        <v>22</v>
      </c>
      <c r="P11" s="28">
        <v>2</v>
      </c>
      <c r="Q11" s="29">
        <v>6</v>
      </c>
      <c r="R11" s="30">
        <v>4</v>
      </c>
      <c r="S11" s="31">
        <v>2</v>
      </c>
      <c r="T11" s="32">
        <v>2</v>
      </c>
      <c r="U11" s="33">
        <v>5</v>
      </c>
      <c r="V11" s="28">
        <v>10</v>
      </c>
      <c r="W11" s="29">
        <v>10</v>
      </c>
      <c r="X11" s="30">
        <v>3</v>
      </c>
      <c r="Y11" s="31">
        <v>4</v>
      </c>
      <c r="Z11" s="32">
        <v>1</v>
      </c>
      <c r="AA11" s="33">
        <v>2</v>
      </c>
      <c r="AB11" s="28">
        <v>9</v>
      </c>
      <c r="AC11" s="29">
        <v>10</v>
      </c>
      <c r="AD11" s="30">
        <v>10</v>
      </c>
      <c r="AE11" s="31">
        <v>10</v>
      </c>
      <c r="AF11" s="32">
        <v>8</v>
      </c>
      <c r="AG11" s="33">
        <v>9</v>
      </c>
      <c r="AH11" s="28">
        <v>8</v>
      </c>
      <c r="AI11" s="29">
        <v>9</v>
      </c>
      <c r="AJ11" s="30">
        <v>9</v>
      </c>
      <c r="AK11" s="31">
        <v>10</v>
      </c>
      <c r="AL11" s="32">
        <v>6</v>
      </c>
      <c r="AM11" s="33">
        <v>2</v>
      </c>
    </row>
    <row r="12" spans="1:39" x14ac:dyDescent="0.3">
      <c r="A12" s="19">
        <v>45915.572406168983</v>
      </c>
      <c r="B12" s="20" t="s">
        <v>49</v>
      </c>
      <c r="C12" s="21">
        <f>[1]!Form_Responses[[#This Row],[SUM]]/10</f>
        <v>3.2</v>
      </c>
      <c r="D12" s="21">
        <f>SUM([1]!Form_Responses[[#This Row],[1- I can always manage to solve difficult problems if I try hard enough.]:[10- I can usually handle whatever comes my way.]])</f>
        <v>32</v>
      </c>
      <c r="E12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73</v>
      </c>
      <c r="F12" s="21">
        <f>SUM([1]!Form_Responses[[#This Row],[1- I can trust persons and organizations related to development of robots ]:[5- If robots had emotions, I would be able to be friend with them]])</f>
        <v>21</v>
      </c>
      <c r="G12" s="21">
        <f>SUM([1]!Form_Responses[[#This Row],[6- I would feel uneasy if I was given a job where I had to use robots]:[10- I don’t want a robot to touch me]])</f>
        <v>8</v>
      </c>
      <c r="H12" s="21">
        <f>SUM([1]!Form_Responses[[#This Row],[11- Robots are necessary because they can do jobs that are too hard or too dangerous for people ]:[15- Robots are a good thing for society, because they help people]])</f>
        <v>24</v>
      </c>
      <c r="I12" s="22">
        <f>SUM([1]!Form_Responses[[#This Row],[16- Robots may make us even lazier ]:[20- Unregulated use of robotics can lead to societal upheavals]])</f>
        <v>11</v>
      </c>
      <c r="J12" s="23">
        <f>[1]TA_NQY!E26+[1]TA_NQO!E26</f>
        <v>253.99999999999494</v>
      </c>
      <c r="K12" s="24">
        <f>[1]TA_QY!E26+[1]TA_QO!E26</f>
        <v>497.00000000000415</v>
      </c>
      <c r="L12" s="25">
        <v>220.00000000000242</v>
      </c>
      <c r="M12" s="26">
        <v>325.99999999998704</v>
      </c>
      <c r="N12" s="27">
        <v>12</v>
      </c>
      <c r="O12" s="26">
        <v>18</v>
      </c>
      <c r="P12" s="28">
        <v>3</v>
      </c>
      <c r="Q12" s="29">
        <v>6</v>
      </c>
      <c r="R12" s="30">
        <v>4</v>
      </c>
      <c r="S12" s="31">
        <v>4</v>
      </c>
      <c r="T12" s="32">
        <v>3</v>
      </c>
      <c r="U12" s="33">
        <v>7</v>
      </c>
      <c r="V12" s="28">
        <v>10</v>
      </c>
      <c r="W12" s="29">
        <v>9</v>
      </c>
      <c r="X12" s="30">
        <v>3</v>
      </c>
      <c r="Y12" s="31">
        <v>6</v>
      </c>
      <c r="Z12" s="32">
        <v>2</v>
      </c>
      <c r="AA12" s="33">
        <v>1</v>
      </c>
      <c r="AB12" s="28">
        <v>6</v>
      </c>
      <c r="AC12" s="29">
        <v>8</v>
      </c>
      <c r="AD12" s="30">
        <v>7</v>
      </c>
      <c r="AE12" s="31">
        <v>8</v>
      </c>
      <c r="AF12" s="32">
        <v>8</v>
      </c>
      <c r="AG12" s="33">
        <v>7</v>
      </c>
      <c r="AH12" s="28">
        <v>7</v>
      </c>
      <c r="AI12" s="29">
        <v>7</v>
      </c>
      <c r="AJ12" s="30">
        <v>9</v>
      </c>
      <c r="AK12" s="31">
        <v>9</v>
      </c>
      <c r="AL12" s="32">
        <v>3</v>
      </c>
      <c r="AM12" s="33">
        <v>6</v>
      </c>
    </row>
    <row r="13" spans="1:39" x14ac:dyDescent="0.3">
      <c r="A13" s="19">
        <v>45916.480977569445</v>
      </c>
      <c r="B13" s="20" t="s">
        <v>50</v>
      </c>
      <c r="C13" s="21">
        <f>[1]!Form_Responses[[#This Row],[SUM]]/10</f>
        <v>2.9</v>
      </c>
      <c r="D13" s="21">
        <f>SUM([1]!Form_Responses[[#This Row],[1- I can always manage to solve difficult problems if I try hard enough.]:[10- I can usually handle whatever comes my way.]])</f>
        <v>29</v>
      </c>
      <c r="E13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70</v>
      </c>
      <c r="F13" s="21">
        <f>SUM([1]!Form_Responses[[#This Row],[1- I can trust persons and organizations related to development of robots ]:[5- If robots had emotions, I would be able to be friend with them]])</f>
        <v>22</v>
      </c>
      <c r="G13" s="21">
        <f>SUM([1]!Form_Responses[[#This Row],[6- I would feel uneasy if I was given a job where I had to use robots]:[10- I don’t want a robot to touch me]])</f>
        <v>8</v>
      </c>
      <c r="H13" s="21">
        <f>SUM([1]!Form_Responses[[#This Row],[11- Robots are necessary because they can do jobs that are too hard or too dangerous for people ]:[15- Robots are a good thing for society, because they help people]])</f>
        <v>24</v>
      </c>
      <c r="I13" s="22">
        <f>SUM([1]!Form_Responses[[#This Row],[16- Robots may make us even lazier ]:[20- Unregulated use of robotics can lead to societal upheavals]])</f>
        <v>14</v>
      </c>
      <c r="J13" s="34">
        <f>[1]TA_NQY!E27+[1]TA_NQO!E27</f>
        <v>454.00000000000063</v>
      </c>
      <c r="K13" s="35">
        <f>[1]TA_QY!E27+[1]TA_QO!E27</f>
        <v>159.00000000000568</v>
      </c>
      <c r="L13" s="25">
        <v>239.99999999999915</v>
      </c>
      <c r="M13" s="26">
        <v>259.99999999999591</v>
      </c>
      <c r="N13" s="27">
        <v>11</v>
      </c>
      <c r="O13" s="26">
        <v>12</v>
      </c>
      <c r="P13" s="28">
        <v>2</v>
      </c>
      <c r="Q13" s="29">
        <v>4</v>
      </c>
      <c r="R13" s="30">
        <v>2</v>
      </c>
      <c r="S13" s="31">
        <v>2</v>
      </c>
      <c r="T13" s="32">
        <v>3</v>
      </c>
      <c r="U13" s="33">
        <v>5</v>
      </c>
      <c r="V13" s="28">
        <v>10</v>
      </c>
      <c r="W13" s="29">
        <v>10</v>
      </c>
      <c r="X13" s="30">
        <v>3</v>
      </c>
      <c r="Y13" s="31">
        <v>5</v>
      </c>
      <c r="Z13" s="32">
        <v>1</v>
      </c>
      <c r="AA13" s="33">
        <v>1</v>
      </c>
      <c r="AB13" s="28">
        <v>10</v>
      </c>
      <c r="AC13" s="29">
        <v>10</v>
      </c>
      <c r="AD13" s="30">
        <v>10</v>
      </c>
      <c r="AE13" s="31">
        <v>10</v>
      </c>
      <c r="AF13" s="32">
        <v>10</v>
      </c>
      <c r="AG13" s="33">
        <v>10</v>
      </c>
      <c r="AH13" s="28">
        <v>10</v>
      </c>
      <c r="AI13" s="29">
        <v>10</v>
      </c>
      <c r="AJ13" s="30">
        <v>10</v>
      </c>
      <c r="AK13" s="31">
        <v>10</v>
      </c>
      <c r="AL13" s="32">
        <v>4</v>
      </c>
      <c r="AM13" s="33">
        <v>4</v>
      </c>
    </row>
    <row r="14" spans="1:39" x14ac:dyDescent="0.3">
      <c r="A14" s="19">
        <v>45916.565919652778</v>
      </c>
      <c r="B14" s="20" t="s">
        <v>51</v>
      </c>
      <c r="C14" s="21">
        <f>[1]!Form_Responses[[#This Row],[SUM]]/10</f>
        <v>3</v>
      </c>
      <c r="D14" s="21">
        <f>SUM([1]!Form_Responses[[#This Row],[1- I can always manage to solve difficult problems if I try hard enough.]:[10- I can usually handle whatever comes my way.]])</f>
        <v>30</v>
      </c>
      <c r="E14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69</v>
      </c>
      <c r="F14" s="21">
        <f>SUM([1]!Form_Responses[[#This Row],[1- I can trust persons and organizations related to development of robots ]:[5- If robots had emotions, I would be able to be friend with them]])</f>
        <v>19</v>
      </c>
      <c r="G14" s="21">
        <f>SUM([1]!Form_Responses[[#This Row],[6- I would feel uneasy if I was given a job where I had to use robots]:[10- I don’t want a robot to touch me]])</f>
        <v>7</v>
      </c>
      <c r="H14" s="21">
        <f>SUM([1]!Form_Responses[[#This Row],[11- Robots are necessary because they can do jobs that are too hard or too dangerous for people ]:[15- Robots are a good thing for society, because they help people]])</f>
        <v>24</v>
      </c>
      <c r="I14" s="22">
        <f>SUM([1]!Form_Responses[[#This Row],[16- Robots may make us even lazier ]:[20- Unregulated use of robotics can lead to societal upheavals]])</f>
        <v>15</v>
      </c>
      <c r="J14" s="23">
        <f>[1]TA_NQY!E28+[1]TA_NQO!E28</f>
        <v>275.99999999998556</v>
      </c>
      <c r="K14" s="24">
        <f>[1]TA_QY!E28+[1]TA_QO!E28</f>
        <v>378.00000000000153</v>
      </c>
      <c r="L14" s="25">
        <v>336.00000000001415</v>
      </c>
      <c r="M14" s="26">
        <v>420.00000000000813</v>
      </c>
      <c r="N14" s="27">
        <v>16</v>
      </c>
      <c r="O14" s="26">
        <v>20</v>
      </c>
      <c r="P14" s="28">
        <v>4</v>
      </c>
      <c r="Q14" s="29">
        <v>7</v>
      </c>
      <c r="R14" s="30">
        <v>3</v>
      </c>
      <c r="S14" s="31">
        <v>3</v>
      </c>
      <c r="T14" s="32">
        <v>6</v>
      </c>
      <c r="U14" s="33">
        <v>5</v>
      </c>
      <c r="V14" s="28">
        <v>10</v>
      </c>
      <c r="W14" s="29">
        <v>10</v>
      </c>
      <c r="X14" s="30">
        <v>6</v>
      </c>
      <c r="Y14" s="31">
        <v>6</v>
      </c>
      <c r="Z14" s="32">
        <v>2</v>
      </c>
      <c r="AA14" s="33">
        <v>7</v>
      </c>
      <c r="AB14" s="28">
        <v>9</v>
      </c>
      <c r="AC14" s="29">
        <v>8</v>
      </c>
      <c r="AD14" s="30">
        <v>7</v>
      </c>
      <c r="AE14" s="31">
        <v>9</v>
      </c>
      <c r="AF14" s="32">
        <v>8</v>
      </c>
      <c r="AG14" s="33">
        <v>9</v>
      </c>
      <c r="AH14" s="28">
        <v>8</v>
      </c>
      <c r="AI14" s="29">
        <v>9</v>
      </c>
      <c r="AJ14" s="30">
        <v>10</v>
      </c>
      <c r="AK14" s="31">
        <v>9</v>
      </c>
      <c r="AL14" s="32">
        <v>5</v>
      </c>
      <c r="AM14" s="33">
        <v>3</v>
      </c>
    </row>
    <row r="15" spans="1:39" x14ac:dyDescent="0.3">
      <c r="A15" s="19">
        <v>45917.607987812502</v>
      </c>
      <c r="B15" s="20" t="s">
        <v>52</v>
      </c>
      <c r="C15" s="21">
        <f>[1]!Form_Responses[[#This Row],[SUM]]/10</f>
        <v>2.8</v>
      </c>
      <c r="D15" s="21">
        <f>SUM([1]!Form_Responses[[#This Row],[1- I can always manage to solve difficult problems if I try hard enough.]:[10- I can usually handle whatever comes my way.]])</f>
        <v>28</v>
      </c>
      <c r="E15" s="21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65</v>
      </c>
      <c r="F15" s="21">
        <f>SUM([1]!Form_Responses[[#This Row],[1- I can trust persons and organizations related to development of robots ]:[5- If robots had emotions, I would be able to be friend with them]])</f>
        <v>21</v>
      </c>
      <c r="G15" s="21">
        <f>SUM([1]!Form_Responses[[#This Row],[6- I would feel uneasy if I was given a job where I had to use robots]:[10- I don’t want a robot to touch me]])</f>
        <v>8</v>
      </c>
      <c r="H15" s="21">
        <f>SUM([1]!Form_Responses[[#This Row],[11- Robots are necessary because they can do jobs that are too hard or too dangerous for people ]:[15- Robots are a good thing for society, because they help people]])</f>
        <v>22</v>
      </c>
      <c r="I15" s="22">
        <f>SUM([1]!Form_Responses[[#This Row],[16- Robots may make us even lazier ]:[20- Unregulated use of robotics can lead to societal upheavals]])</f>
        <v>17</v>
      </c>
      <c r="J15" s="23">
        <f>[1]TA_NQY!E32+[1]TA_NQO!E32</f>
        <v>201.9999999999996</v>
      </c>
      <c r="K15" s="24">
        <f>[1]TA_QY!E32+[1]TA_QO!E32</f>
        <v>564.00000000000182</v>
      </c>
      <c r="L15" s="25">
        <v>236.00000000001131</v>
      </c>
      <c r="M15" s="26">
        <v>373.00000000000716</v>
      </c>
      <c r="N15" s="27">
        <v>13</v>
      </c>
      <c r="O15" s="26">
        <v>17</v>
      </c>
      <c r="P15" s="28">
        <v>2</v>
      </c>
      <c r="Q15" s="29">
        <v>7</v>
      </c>
      <c r="R15" s="30">
        <v>3</v>
      </c>
      <c r="S15" s="31">
        <v>3</v>
      </c>
      <c r="T15" s="32">
        <v>5</v>
      </c>
      <c r="U15" s="33">
        <v>7</v>
      </c>
      <c r="V15" s="28">
        <v>8</v>
      </c>
      <c r="W15" s="29">
        <v>8</v>
      </c>
      <c r="X15" s="30">
        <v>5</v>
      </c>
      <c r="Y15" s="31">
        <v>3</v>
      </c>
      <c r="Z15" s="32">
        <v>2</v>
      </c>
      <c r="AA15" s="33">
        <v>2</v>
      </c>
      <c r="AB15" s="28">
        <v>7</v>
      </c>
      <c r="AC15" s="29">
        <v>8</v>
      </c>
      <c r="AD15" s="30">
        <v>8</v>
      </c>
      <c r="AE15" s="31">
        <v>9</v>
      </c>
      <c r="AF15" s="32">
        <v>6</v>
      </c>
      <c r="AG15" s="33">
        <v>7</v>
      </c>
      <c r="AH15" s="28">
        <v>5</v>
      </c>
      <c r="AI15" s="29">
        <v>6</v>
      </c>
      <c r="AJ15" s="30">
        <v>9</v>
      </c>
      <c r="AK15" s="31">
        <v>9</v>
      </c>
      <c r="AL15" s="32">
        <v>7</v>
      </c>
      <c r="AM15" s="33">
        <v>7</v>
      </c>
    </row>
    <row r="16" spans="1:39" ht="15" thickBot="1" x14ac:dyDescent="0.35">
      <c r="A16" s="19">
        <v>45918.561457800926</v>
      </c>
      <c r="B16" s="20" t="s">
        <v>53</v>
      </c>
      <c r="C16" s="21">
        <f>[1]!Form_Responses[[#This Row],[SUM]]/10</f>
        <v>3.6</v>
      </c>
      <c r="D16" s="21">
        <f>SUM([1]!Form_Responses[[#This Row],[1- I can always manage to solve difficult problems if I try hard enough.]:[10- I can usually handle whatever comes my way.]])</f>
        <v>36</v>
      </c>
      <c r="E16" s="37">
        <f>60+SUM([1]!Form_Responses[[#This Row],[11- Robots are necessary because they can do jobs that are too hard or too dangerous for people ]:[15- Robots are a good thing for society, because they help people]])-SUM([1]!Form_Responses[[#This Row],[16- Robots may make us even lazier ]:[20- Unregulated use of robotics can lead to societal upheavals]])</f>
        <v>78</v>
      </c>
      <c r="F16" s="37">
        <f>SUM([1]!Form_Responses[[#This Row],[1- I can trust persons and organizations related to development of robots ]:[5- If robots had emotions, I would be able to be friend with them]])</f>
        <v>21</v>
      </c>
      <c r="G16" s="37">
        <f>SUM([1]!Form_Responses[[#This Row],[6- I would feel uneasy if I was given a job where I had to use robots]:[10- I don’t want a robot to touch me]])</f>
        <v>9</v>
      </c>
      <c r="H16" s="37">
        <f>SUM([1]!Form_Responses[[#This Row],[11- Robots are necessary because they can do jobs that are too hard or too dangerous for people ]:[15- Robots are a good thing for society, because they help people]])</f>
        <v>25</v>
      </c>
      <c r="I16" s="38">
        <f>SUM([1]!Form_Responses[[#This Row],[16- Robots may make us even lazier ]:[20- Unregulated use of robotics can lead to societal upheavals]])</f>
        <v>7</v>
      </c>
      <c r="J16" s="39">
        <f>[1]TA_NQY!E34+[1]TA_NQO!E34</f>
        <v>176.99999999999889</v>
      </c>
      <c r="K16" s="40">
        <f>[1]TA_QY!E34+[1]TA_QO!E34</f>
        <v>446.99999999999318</v>
      </c>
      <c r="L16" s="41">
        <v>345.00000000000597</v>
      </c>
      <c r="M16" s="42">
        <v>386.00000000000597</v>
      </c>
      <c r="N16" s="43">
        <v>20</v>
      </c>
      <c r="O16" s="42">
        <v>22</v>
      </c>
      <c r="P16" s="28">
        <v>1</v>
      </c>
      <c r="Q16" s="29">
        <v>6</v>
      </c>
      <c r="R16" s="30">
        <v>5</v>
      </c>
      <c r="S16" s="31">
        <v>6</v>
      </c>
      <c r="T16" s="32">
        <v>2</v>
      </c>
      <c r="U16" s="33">
        <v>7</v>
      </c>
      <c r="V16" s="28">
        <v>7</v>
      </c>
      <c r="W16" s="29">
        <v>5</v>
      </c>
      <c r="X16" s="30">
        <v>3</v>
      </c>
      <c r="Y16" s="31">
        <v>4</v>
      </c>
      <c r="Z16" s="32">
        <v>2</v>
      </c>
      <c r="AA16" s="33">
        <v>1</v>
      </c>
      <c r="AB16" s="28">
        <v>7</v>
      </c>
      <c r="AC16" s="29">
        <v>6</v>
      </c>
      <c r="AD16" s="30">
        <v>7</v>
      </c>
      <c r="AE16" s="31">
        <v>6</v>
      </c>
      <c r="AF16" s="32">
        <v>8</v>
      </c>
      <c r="AG16" s="33">
        <v>7</v>
      </c>
      <c r="AH16" s="28">
        <v>7</v>
      </c>
      <c r="AI16" s="29">
        <v>7</v>
      </c>
      <c r="AJ16" s="30">
        <v>10</v>
      </c>
      <c r="AK16" s="31">
        <v>9</v>
      </c>
      <c r="AL16" s="32">
        <v>8</v>
      </c>
      <c r="AM16" s="3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Safari Dehnavi, Zahra</cp:lastModifiedBy>
  <dcterms:created xsi:type="dcterms:W3CDTF">2015-06-05T18:19:34Z</dcterms:created>
  <dcterms:modified xsi:type="dcterms:W3CDTF">2025-09-26T15:34:39Z</dcterms:modified>
</cp:coreProperties>
</file>