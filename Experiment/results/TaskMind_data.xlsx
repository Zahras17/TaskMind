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Ex3.xml" ContentType="application/vnd.ms-office.chartex+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Zahra\PhD topic\Python\React\TaskMind\Experiment\results\"/>
    </mc:Choice>
  </mc:AlternateContent>
  <xr:revisionPtr revIDLastSave="0" documentId="13_ncr:1_{B1C6A588-4A48-498D-912F-D446D4CA00EA}" xr6:coauthVersionLast="47" xr6:coauthVersionMax="47" xr10:uidLastSave="{00000000-0000-0000-0000-000000000000}"/>
  <bookViews>
    <workbookView xWindow="-38510" yWindow="-9590" windowWidth="38620" windowHeight="21100" xr2:uid="{00000000-000D-0000-FFFF-FFFF00000000}"/>
  </bookViews>
  <sheets>
    <sheet name="core_2" sheetId="17" r:id="rId1"/>
    <sheet name="pattern_abnormal" sheetId="19" r:id="rId2"/>
    <sheet name="pattern_normal" sheetId="16" r:id="rId3"/>
    <sheet name="pattern_main" sheetId="18" r:id="rId4"/>
    <sheet name="questionnair" sheetId="1" r:id="rId5"/>
    <sheet name="core" sheetId="15" r:id="rId6"/>
    <sheet name="info" sheetId="3" r:id="rId7"/>
    <sheet name="TA_NQY" sheetId="11" r:id="rId8"/>
    <sheet name="TA_NQO" sheetId="6" r:id="rId9"/>
    <sheet name="TA_QY" sheetId="8" r:id="rId10"/>
    <sheet name="TA_QO" sheetId="12" r:id="rId11"/>
    <sheet name="TA" sheetId="9" r:id="rId12"/>
    <sheet name="order" sheetId="7" r:id="rId13"/>
    <sheet name="No Q" sheetId="4" r:id="rId14"/>
    <sheet name="Q" sheetId="5" r:id="rId15"/>
    <sheet name="Data on Q" sheetId="13" r:id="rId16"/>
  </sheets>
  <definedNames>
    <definedName name="_xlchart.v1.0" hidden="1">questionnair!$AM$8:$AM$34</definedName>
    <definedName name="_xlchart.v1.1" hidden="1">questionnair!$R$8:$R$34</definedName>
    <definedName name="_xlchart.v1.2" hidden="1">questionnair!$AN$2</definedName>
    <definedName name="_xlchart.v1.3" hidden="1">questionnair!$AN$3:$AN$34</definedName>
    <definedName name="_xlchart.v1.4" hidden="1">questionnair!$AO$2</definedName>
    <definedName name="_xlchart.v1.5" hidden="1">questionnair!$AO$3:$AO$34</definedName>
    <definedName name="_xlchart.v1.6" hidden="1">questionnair!$AP$2</definedName>
    <definedName name="_xlchart.v1.7" hidden="1">questionnair!$AP$3:$AP$34</definedName>
    <definedName name="_xlchart.v1.8" hidden="1">questionnair!$AQ$2</definedName>
    <definedName name="_xlchart.v1.9" hidden="1">questionnair!$AQ$3:$AQ$34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K14" i="16" l="1"/>
  <c r="BJ14" i="16"/>
  <c r="BI14" i="16"/>
  <c r="BH14" i="16"/>
  <c r="AT14" i="16"/>
  <c r="AS14" i="16"/>
  <c r="AQ14" i="16"/>
  <c r="AP14" i="16"/>
  <c r="AO14" i="16"/>
  <c r="AN14" i="16"/>
  <c r="AM14" i="16"/>
  <c r="R14" i="16"/>
  <c r="Q14" i="16"/>
  <c r="BK11" i="16"/>
  <c r="BJ11" i="16"/>
  <c r="BI11" i="16"/>
  <c r="BH11" i="16"/>
  <c r="AT11" i="16"/>
  <c r="AS11" i="16"/>
  <c r="AQ11" i="16"/>
  <c r="AP11" i="16"/>
  <c r="AO11" i="16"/>
  <c r="AN11" i="16"/>
  <c r="AM11" i="16"/>
  <c r="R11" i="16"/>
  <c r="Q11" i="16"/>
  <c r="BK10" i="16"/>
  <c r="BJ10" i="16"/>
  <c r="BI10" i="16"/>
  <c r="BH10" i="16"/>
  <c r="AT10" i="16"/>
  <c r="AS10" i="16"/>
  <c r="AQ10" i="16"/>
  <c r="AP10" i="16"/>
  <c r="AO10" i="16"/>
  <c r="AN10" i="16"/>
  <c r="AM10" i="16"/>
  <c r="R10" i="16"/>
  <c r="Q10" i="16"/>
  <c r="Q3" i="16"/>
  <c r="Q4" i="16"/>
  <c r="Q5" i="16"/>
  <c r="Q6" i="16"/>
  <c r="Q7" i="16"/>
  <c r="Q8" i="16"/>
  <c r="Q9" i="16"/>
  <c r="Q12" i="16"/>
  <c r="Q13" i="16"/>
  <c r="Q15" i="16"/>
  <c r="Q16" i="16"/>
  <c r="Q17" i="16"/>
  <c r="R3" i="16"/>
  <c r="R4" i="16"/>
  <c r="R5" i="16"/>
  <c r="R6" i="16"/>
  <c r="R7" i="16"/>
  <c r="R8" i="16"/>
  <c r="R9" i="16"/>
  <c r="R12" i="16"/>
  <c r="R13" i="16"/>
  <c r="R15" i="16"/>
  <c r="R16" i="16"/>
  <c r="R17" i="16"/>
  <c r="AM3" i="16"/>
  <c r="AM4" i="16"/>
  <c r="AM5" i="16"/>
  <c r="AM6" i="16"/>
  <c r="AM7" i="16"/>
  <c r="AM8" i="16"/>
  <c r="AM9" i="16"/>
  <c r="AM12" i="16"/>
  <c r="AM13" i="16"/>
  <c r="AM15" i="16"/>
  <c r="AM16" i="16"/>
  <c r="AM17" i="16"/>
  <c r="AN3" i="16"/>
  <c r="AN4" i="16"/>
  <c r="AN5" i="16"/>
  <c r="AN6" i="16"/>
  <c r="AN7" i="16"/>
  <c r="AN8" i="16"/>
  <c r="AN9" i="16"/>
  <c r="AN12" i="16"/>
  <c r="AN13" i="16"/>
  <c r="AN15" i="16"/>
  <c r="AN16" i="16"/>
  <c r="AN17" i="16"/>
  <c r="AO3" i="16"/>
  <c r="AO4" i="16"/>
  <c r="AO5" i="16"/>
  <c r="AO6" i="16"/>
  <c r="AO7" i="16"/>
  <c r="AO8" i="16"/>
  <c r="AO9" i="16"/>
  <c r="AO12" i="16"/>
  <c r="AO13" i="16"/>
  <c r="AO15" i="16"/>
  <c r="AO16" i="16"/>
  <c r="AO17" i="16"/>
  <c r="AP3" i="16"/>
  <c r="AP4" i="16"/>
  <c r="AP5" i="16"/>
  <c r="AP6" i="16"/>
  <c r="AP7" i="16"/>
  <c r="AP8" i="16"/>
  <c r="AP9" i="16"/>
  <c r="AP12" i="16"/>
  <c r="AP13" i="16"/>
  <c r="AP15" i="16"/>
  <c r="AP16" i="16"/>
  <c r="AP17" i="16"/>
  <c r="AQ3" i="16"/>
  <c r="AQ4" i="16"/>
  <c r="AQ5" i="16"/>
  <c r="AQ6" i="16"/>
  <c r="AQ7" i="16"/>
  <c r="AQ8" i="16"/>
  <c r="AQ9" i="16"/>
  <c r="AQ12" i="16"/>
  <c r="AQ13" i="16"/>
  <c r="AQ15" i="16"/>
  <c r="AQ16" i="16"/>
  <c r="AQ17" i="16"/>
  <c r="AS3" i="16"/>
  <c r="AS4" i="16"/>
  <c r="AS5" i="16"/>
  <c r="AS6" i="16"/>
  <c r="AS7" i="16"/>
  <c r="AS8" i="16"/>
  <c r="AS9" i="16"/>
  <c r="AS12" i="16"/>
  <c r="AS13" i="16"/>
  <c r="AS15" i="16"/>
  <c r="AS16" i="16"/>
  <c r="AS17" i="16"/>
  <c r="BK5" i="16"/>
  <c r="BJ5" i="16"/>
  <c r="BI5" i="16"/>
  <c r="BH5" i="16"/>
  <c r="AT5" i="16"/>
  <c r="E17" i="19"/>
  <c r="G17" i="19"/>
  <c r="G18" i="19"/>
  <c r="E18" i="19"/>
  <c r="G16" i="19"/>
  <c r="E16" i="19"/>
  <c r="G15" i="19"/>
  <c r="E15" i="19"/>
  <c r="G14" i="19"/>
  <c r="E14" i="19"/>
  <c r="G13" i="19"/>
  <c r="E13" i="19"/>
  <c r="G12" i="19"/>
  <c r="E12" i="19"/>
  <c r="G11" i="19"/>
  <c r="E11" i="19"/>
  <c r="G10" i="19"/>
  <c r="E10" i="19"/>
  <c r="G9" i="19"/>
  <c r="E9" i="19"/>
  <c r="G8" i="19"/>
  <c r="E8" i="19"/>
  <c r="G7" i="19"/>
  <c r="E7" i="19"/>
  <c r="G6" i="19"/>
  <c r="E6" i="19"/>
  <c r="G5" i="19"/>
  <c r="E5" i="19"/>
  <c r="G4" i="19"/>
  <c r="E4" i="19"/>
  <c r="G3" i="19"/>
  <c r="E3" i="19"/>
  <c r="E3" i="18"/>
  <c r="G3" i="18"/>
  <c r="E4" i="18"/>
  <c r="G4" i="18"/>
  <c r="E5" i="18"/>
  <c r="G5" i="18"/>
  <c r="E6" i="18"/>
  <c r="G6" i="18"/>
  <c r="E7" i="18"/>
  <c r="G7" i="18"/>
  <c r="E8" i="18"/>
  <c r="G8" i="18"/>
  <c r="E9" i="18"/>
  <c r="G9" i="18"/>
  <c r="E10" i="18"/>
  <c r="G10" i="18"/>
  <c r="E11" i="18"/>
  <c r="G11" i="18"/>
  <c r="E12" i="18"/>
  <c r="G12" i="18"/>
  <c r="E13" i="18"/>
  <c r="G13" i="18"/>
  <c r="E14" i="18"/>
  <c r="G14" i="18"/>
  <c r="E15" i="18"/>
  <c r="G15" i="18"/>
  <c r="E16" i="18"/>
  <c r="G16" i="18"/>
  <c r="E17" i="18"/>
  <c r="G17" i="18"/>
  <c r="E18" i="18"/>
  <c r="G18" i="18"/>
  <c r="E19" i="18"/>
  <c r="G19" i="18"/>
  <c r="E20" i="18"/>
  <c r="G20" i="18"/>
  <c r="E21" i="18"/>
  <c r="G21" i="18"/>
  <c r="E22" i="18"/>
  <c r="G22" i="18"/>
  <c r="E23" i="18"/>
  <c r="G23" i="18"/>
  <c r="E24" i="18"/>
  <c r="G24" i="18"/>
  <c r="E25" i="18"/>
  <c r="G25" i="18"/>
  <c r="AM20" i="17"/>
  <c r="AL20" i="17"/>
  <c r="AK20" i="17"/>
  <c r="AJ20" i="17"/>
  <c r="AI20" i="17"/>
  <c r="AH20" i="17"/>
  <c r="AG20" i="17"/>
  <c r="AF20" i="17"/>
  <c r="AE20" i="17"/>
  <c r="AD20" i="17"/>
  <c r="AC20" i="17"/>
  <c r="AB20" i="17"/>
  <c r="AA20" i="17"/>
  <c r="Z20" i="17"/>
  <c r="Y20" i="17"/>
  <c r="X20" i="17"/>
  <c r="W20" i="17"/>
  <c r="V20" i="17"/>
  <c r="U20" i="17"/>
  <c r="T20" i="17"/>
  <c r="S20" i="17"/>
  <c r="R20" i="17"/>
  <c r="Q20" i="17"/>
  <c r="P20" i="17"/>
  <c r="O20" i="17"/>
  <c r="N20" i="17"/>
  <c r="M20" i="17"/>
  <c r="L20" i="17"/>
  <c r="AM19" i="17"/>
  <c r="AL19" i="17"/>
  <c r="AK19" i="17"/>
  <c r="AJ19" i="17"/>
  <c r="AI19" i="17"/>
  <c r="AH19" i="17"/>
  <c r="AG19" i="17"/>
  <c r="AF19" i="17"/>
  <c r="AE19" i="17"/>
  <c r="AD19" i="17"/>
  <c r="AC19" i="17"/>
  <c r="AB19" i="17"/>
  <c r="AA19" i="17"/>
  <c r="Z19" i="17"/>
  <c r="Y19" i="17"/>
  <c r="X19" i="17"/>
  <c r="W19" i="17"/>
  <c r="V19" i="17"/>
  <c r="U19" i="17"/>
  <c r="T19" i="17"/>
  <c r="S19" i="17"/>
  <c r="R19" i="17"/>
  <c r="Q19" i="17"/>
  <c r="P19" i="17"/>
  <c r="O19" i="17"/>
  <c r="N19" i="17"/>
  <c r="M19" i="17"/>
  <c r="L19" i="17"/>
  <c r="K17" i="17"/>
  <c r="J17" i="17"/>
  <c r="I17" i="17"/>
  <c r="H17" i="17"/>
  <c r="G17" i="17"/>
  <c r="F17" i="17"/>
  <c r="E17" i="17"/>
  <c r="D17" i="17"/>
  <c r="C17" i="17"/>
  <c r="K16" i="17"/>
  <c r="J16" i="17"/>
  <c r="I16" i="17"/>
  <c r="H16" i="17"/>
  <c r="G16" i="17"/>
  <c r="F16" i="17"/>
  <c r="E16" i="17"/>
  <c r="D16" i="17"/>
  <c r="C16" i="17"/>
  <c r="K15" i="17"/>
  <c r="J15" i="17"/>
  <c r="I15" i="17"/>
  <c r="H15" i="17"/>
  <c r="G15" i="17"/>
  <c r="F15" i="17"/>
  <c r="E15" i="17"/>
  <c r="D15" i="17"/>
  <c r="C15" i="17"/>
  <c r="K14" i="17"/>
  <c r="J14" i="17"/>
  <c r="I14" i="17"/>
  <c r="H14" i="17"/>
  <c r="G14" i="17"/>
  <c r="F14" i="17"/>
  <c r="E14" i="17"/>
  <c r="D14" i="17"/>
  <c r="C14" i="17"/>
  <c r="K13" i="17"/>
  <c r="J13" i="17"/>
  <c r="I13" i="17"/>
  <c r="H13" i="17"/>
  <c r="G13" i="17"/>
  <c r="F13" i="17"/>
  <c r="E13" i="17"/>
  <c r="D13" i="17"/>
  <c r="C13" i="17"/>
  <c r="K12" i="17"/>
  <c r="J12" i="17"/>
  <c r="I12" i="17"/>
  <c r="H12" i="17"/>
  <c r="G12" i="17"/>
  <c r="F12" i="17"/>
  <c r="E12" i="17"/>
  <c r="D12" i="17"/>
  <c r="C12" i="17"/>
  <c r="K11" i="17"/>
  <c r="J11" i="17"/>
  <c r="I11" i="17"/>
  <c r="H11" i="17"/>
  <c r="G11" i="17"/>
  <c r="F11" i="17"/>
  <c r="E11" i="17"/>
  <c r="D11" i="17"/>
  <c r="C11" i="17"/>
  <c r="K10" i="17"/>
  <c r="J10" i="17"/>
  <c r="I10" i="17"/>
  <c r="H10" i="17"/>
  <c r="G10" i="17"/>
  <c r="F10" i="17"/>
  <c r="E10" i="17"/>
  <c r="D10" i="17"/>
  <c r="C10" i="17"/>
  <c r="K9" i="17"/>
  <c r="J9" i="17"/>
  <c r="I9" i="17"/>
  <c r="H9" i="17"/>
  <c r="G9" i="17"/>
  <c r="F9" i="17"/>
  <c r="E9" i="17"/>
  <c r="D9" i="17"/>
  <c r="C9" i="17"/>
  <c r="K7" i="17"/>
  <c r="J7" i="17"/>
  <c r="I7" i="17"/>
  <c r="H7" i="17"/>
  <c r="G7" i="17"/>
  <c r="F7" i="17"/>
  <c r="E7" i="17"/>
  <c r="D7" i="17"/>
  <c r="C7" i="17"/>
  <c r="K6" i="17"/>
  <c r="J6" i="17"/>
  <c r="I6" i="17"/>
  <c r="H6" i="17"/>
  <c r="G6" i="17"/>
  <c r="F6" i="17"/>
  <c r="E6" i="17"/>
  <c r="D6" i="17"/>
  <c r="C6" i="17"/>
  <c r="K5" i="17"/>
  <c r="J5" i="17"/>
  <c r="I5" i="17"/>
  <c r="H5" i="17"/>
  <c r="G5" i="17"/>
  <c r="F5" i="17"/>
  <c r="E5" i="17"/>
  <c r="D5" i="17"/>
  <c r="C5" i="17"/>
  <c r="K4" i="17"/>
  <c r="J4" i="17"/>
  <c r="I4" i="17"/>
  <c r="H4" i="17"/>
  <c r="G4" i="17"/>
  <c r="F4" i="17"/>
  <c r="E4" i="17"/>
  <c r="D4" i="17"/>
  <c r="C4" i="17"/>
  <c r="K3" i="17"/>
  <c r="J3" i="17"/>
  <c r="I3" i="17"/>
  <c r="H3" i="17"/>
  <c r="G3" i="17"/>
  <c r="F3" i="17"/>
  <c r="E3" i="17"/>
  <c r="D3" i="17"/>
  <c r="C3" i="17"/>
  <c r="BJ17" i="16"/>
  <c r="BI17" i="16"/>
  <c r="AU17" i="16"/>
  <c r="AT17" i="16"/>
  <c r="BJ16" i="16"/>
  <c r="BI16" i="16"/>
  <c r="AU16" i="16"/>
  <c r="AT16" i="16"/>
  <c r="BJ15" i="16"/>
  <c r="BI15" i="16"/>
  <c r="AU15" i="16"/>
  <c r="AT15" i="16"/>
  <c r="BJ13" i="16"/>
  <c r="BI13" i="16"/>
  <c r="AU13" i="16"/>
  <c r="AT13" i="16"/>
  <c r="BJ12" i="16"/>
  <c r="BI12" i="16"/>
  <c r="AU12" i="16"/>
  <c r="AT12" i="16"/>
  <c r="BJ9" i="16"/>
  <c r="BI9" i="16"/>
  <c r="AU9" i="16"/>
  <c r="AT9" i="16"/>
  <c r="BJ8" i="16"/>
  <c r="BI8" i="16"/>
  <c r="AU8" i="16"/>
  <c r="AT8" i="16"/>
  <c r="BJ7" i="16"/>
  <c r="BI7" i="16"/>
  <c r="AU7" i="16"/>
  <c r="AT7" i="16"/>
  <c r="BJ6" i="16"/>
  <c r="BI6" i="16"/>
  <c r="AU6" i="16"/>
  <c r="AT6" i="16"/>
  <c r="BJ4" i="16"/>
  <c r="BI4" i="16"/>
  <c r="AU4" i="16"/>
  <c r="AT4" i="16"/>
  <c r="BJ3" i="16"/>
  <c r="BI3" i="16"/>
  <c r="AU3" i="16"/>
  <c r="AT3" i="16"/>
  <c r="D36" i="15"/>
  <c r="E36" i="15"/>
  <c r="F36" i="15"/>
  <c r="G36" i="15"/>
  <c r="H36" i="15"/>
  <c r="I36" i="15"/>
  <c r="J36" i="15"/>
  <c r="K36" i="15"/>
  <c r="L36" i="15"/>
  <c r="M36" i="15"/>
  <c r="N36" i="15"/>
  <c r="O36" i="15"/>
  <c r="P36" i="15"/>
  <c r="Q36" i="15"/>
  <c r="R36" i="15"/>
  <c r="S36" i="15"/>
  <c r="T36" i="15"/>
  <c r="U36" i="15"/>
  <c r="V36" i="15"/>
  <c r="W36" i="15"/>
  <c r="X36" i="15"/>
  <c r="Y36" i="15"/>
  <c r="Z36" i="15"/>
  <c r="AA36" i="15"/>
  <c r="AB36" i="15"/>
  <c r="AC36" i="15"/>
  <c r="AD36" i="15"/>
  <c r="AE36" i="15"/>
  <c r="AF36" i="15"/>
  <c r="AG36" i="15"/>
  <c r="AH36" i="15"/>
  <c r="AI36" i="15"/>
  <c r="AJ36" i="15"/>
  <c r="AK36" i="15"/>
  <c r="AL36" i="15"/>
  <c r="AM36" i="15"/>
  <c r="D37" i="15"/>
  <c r="E37" i="15"/>
  <c r="F37" i="15"/>
  <c r="G37" i="15"/>
  <c r="H37" i="15"/>
  <c r="I37" i="15"/>
  <c r="J37" i="15"/>
  <c r="K37" i="15"/>
  <c r="L37" i="15"/>
  <c r="M37" i="15"/>
  <c r="N37" i="15"/>
  <c r="O37" i="15"/>
  <c r="P37" i="15"/>
  <c r="Q37" i="15"/>
  <c r="R37" i="15"/>
  <c r="S37" i="15"/>
  <c r="T37" i="15"/>
  <c r="U37" i="15"/>
  <c r="V37" i="15"/>
  <c r="W37" i="15"/>
  <c r="X37" i="15"/>
  <c r="Y37" i="15"/>
  <c r="Z37" i="15"/>
  <c r="AA37" i="15"/>
  <c r="AB37" i="15"/>
  <c r="AC37" i="15"/>
  <c r="AD37" i="15"/>
  <c r="AE37" i="15"/>
  <c r="AF37" i="15"/>
  <c r="AG37" i="15"/>
  <c r="AH37" i="15"/>
  <c r="AI37" i="15"/>
  <c r="AJ37" i="15"/>
  <c r="AK37" i="15"/>
  <c r="AL37" i="15"/>
  <c r="AM37" i="15"/>
  <c r="C37" i="15"/>
  <c r="C36" i="15"/>
  <c r="BI4" i="1"/>
  <c r="BI5" i="1"/>
  <c r="BI6" i="1"/>
  <c r="BI7" i="1"/>
  <c r="BI8" i="1"/>
  <c r="BI9" i="1"/>
  <c r="BI10" i="1"/>
  <c r="BI11" i="1"/>
  <c r="BI12" i="1"/>
  <c r="BI13" i="1"/>
  <c r="BI14" i="1"/>
  <c r="BI15" i="1"/>
  <c r="BI16" i="1"/>
  <c r="BI17" i="1"/>
  <c r="BI18" i="1"/>
  <c r="BI19" i="1"/>
  <c r="BI20" i="1"/>
  <c r="BI21" i="1"/>
  <c r="BI22" i="1"/>
  <c r="BI23" i="1"/>
  <c r="BI24" i="1"/>
  <c r="BI25" i="1"/>
  <c r="BI26" i="1"/>
  <c r="BI27" i="1"/>
  <c r="BI28" i="1"/>
  <c r="BI29" i="1"/>
  <c r="BI30" i="1"/>
  <c r="BI31" i="1"/>
  <c r="BI32" i="1"/>
  <c r="BI33" i="1"/>
  <c r="BI34" i="1"/>
  <c r="BI3" i="1"/>
  <c r="BH4" i="1"/>
  <c r="BH5" i="1"/>
  <c r="BH6" i="1"/>
  <c r="BH7" i="1"/>
  <c r="BH8" i="1"/>
  <c r="BH9" i="1"/>
  <c r="BH10" i="1"/>
  <c r="BH11" i="1"/>
  <c r="BH12" i="1"/>
  <c r="BH13" i="1"/>
  <c r="BH14" i="1"/>
  <c r="BH15" i="1"/>
  <c r="BH16" i="1"/>
  <c r="BH17" i="1"/>
  <c r="BH18" i="1"/>
  <c r="BH19" i="1"/>
  <c r="BH20" i="1"/>
  <c r="BH21" i="1"/>
  <c r="BH22" i="1"/>
  <c r="BH23" i="1"/>
  <c r="BH24" i="1"/>
  <c r="BH25" i="1"/>
  <c r="BH26" i="1"/>
  <c r="BH27" i="1"/>
  <c r="BH28" i="1"/>
  <c r="BH29" i="1"/>
  <c r="BH30" i="1"/>
  <c r="BH31" i="1"/>
  <c r="BH32" i="1"/>
  <c r="BH33" i="1"/>
  <c r="BH34" i="1"/>
  <c r="BH3" i="1"/>
  <c r="K4" i="15"/>
  <c r="K5" i="15"/>
  <c r="K6" i="15"/>
  <c r="K7" i="15"/>
  <c r="K9" i="15"/>
  <c r="K10" i="15"/>
  <c r="K11" i="15"/>
  <c r="K12" i="15"/>
  <c r="K13" i="15"/>
  <c r="K14" i="15"/>
  <c r="K15" i="15"/>
  <c r="K16" i="15"/>
  <c r="K8" i="15"/>
  <c r="K17" i="15"/>
  <c r="K18" i="15"/>
  <c r="K19" i="15"/>
  <c r="K20" i="15"/>
  <c r="K21" i="15"/>
  <c r="K22" i="15"/>
  <c r="K23" i="15"/>
  <c r="K24" i="15"/>
  <c r="K25" i="15"/>
  <c r="K26" i="15"/>
  <c r="K27" i="15"/>
  <c r="K28" i="15"/>
  <c r="K29" i="15"/>
  <c r="K30" i="15"/>
  <c r="K31" i="15"/>
  <c r="K32" i="15"/>
  <c r="K33" i="15"/>
  <c r="K34" i="15"/>
  <c r="K3" i="15"/>
  <c r="J4" i="15"/>
  <c r="J5" i="15"/>
  <c r="J6" i="15"/>
  <c r="J7" i="15"/>
  <c r="J9" i="15"/>
  <c r="J10" i="15"/>
  <c r="J11" i="15"/>
  <c r="J12" i="15"/>
  <c r="J13" i="15"/>
  <c r="J14" i="15"/>
  <c r="J15" i="15"/>
  <c r="J16" i="15"/>
  <c r="J8" i="15"/>
  <c r="J17" i="15"/>
  <c r="J18" i="15"/>
  <c r="J19" i="15"/>
  <c r="J20" i="15"/>
  <c r="J21" i="15"/>
  <c r="J22" i="15"/>
  <c r="J23" i="15"/>
  <c r="J24" i="15"/>
  <c r="J25" i="15"/>
  <c r="J26" i="15"/>
  <c r="J27" i="15"/>
  <c r="J28" i="15"/>
  <c r="J29" i="15"/>
  <c r="J30" i="15"/>
  <c r="J31" i="15"/>
  <c r="J32" i="15"/>
  <c r="J33" i="15"/>
  <c r="J34" i="15"/>
  <c r="J3" i="15"/>
  <c r="I34" i="15"/>
  <c r="H34" i="15"/>
  <c r="G34" i="15"/>
  <c r="F34" i="15"/>
  <c r="E34" i="15"/>
  <c r="I33" i="15"/>
  <c r="H33" i="15"/>
  <c r="G33" i="15"/>
  <c r="F33" i="15"/>
  <c r="E33" i="15"/>
  <c r="I32" i="15"/>
  <c r="H32" i="15"/>
  <c r="G32" i="15"/>
  <c r="F32" i="15"/>
  <c r="E32" i="15"/>
  <c r="I31" i="15"/>
  <c r="H31" i="15"/>
  <c r="G31" i="15"/>
  <c r="F31" i="15"/>
  <c r="E31" i="15"/>
  <c r="I30" i="15"/>
  <c r="H30" i="15"/>
  <c r="G30" i="15"/>
  <c r="F30" i="15"/>
  <c r="E30" i="15"/>
  <c r="I29" i="15"/>
  <c r="H29" i="15"/>
  <c r="G29" i="15"/>
  <c r="F29" i="15"/>
  <c r="E29" i="15"/>
  <c r="I28" i="15"/>
  <c r="H28" i="15"/>
  <c r="G28" i="15"/>
  <c r="F28" i="15"/>
  <c r="E28" i="15"/>
  <c r="I27" i="15"/>
  <c r="H27" i="15"/>
  <c r="G27" i="15"/>
  <c r="F27" i="15"/>
  <c r="E27" i="15"/>
  <c r="I26" i="15"/>
  <c r="H26" i="15"/>
  <c r="G26" i="15"/>
  <c r="F26" i="15"/>
  <c r="E26" i="15"/>
  <c r="I25" i="15"/>
  <c r="H25" i="15"/>
  <c r="G25" i="15"/>
  <c r="F25" i="15"/>
  <c r="E25" i="15"/>
  <c r="I24" i="15"/>
  <c r="H24" i="15"/>
  <c r="G24" i="15"/>
  <c r="F24" i="15"/>
  <c r="E24" i="15"/>
  <c r="I23" i="15"/>
  <c r="H23" i="15"/>
  <c r="G23" i="15"/>
  <c r="F23" i="15"/>
  <c r="E23" i="15"/>
  <c r="I22" i="15"/>
  <c r="H22" i="15"/>
  <c r="G22" i="15"/>
  <c r="F22" i="15"/>
  <c r="E22" i="15"/>
  <c r="I21" i="15"/>
  <c r="H21" i="15"/>
  <c r="G21" i="15"/>
  <c r="F21" i="15"/>
  <c r="E21" i="15"/>
  <c r="I20" i="15"/>
  <c r="H20" i="15"/>
  <c r="G20" i="15"/>
  <c r="F20" i="15"/>
  <c r="E20" i="15"/>
  <c r="I19" i="15"/>
  <c r="H19" i="15"/>
  <c r="G19" i="15"/>
  <c r="F19" i="15"/>
  <c r="E19" i="15"/>
  <c r="I18" i="15"/>
  <c r="H18" i="15"/>
  <c r="G18" i="15"/>
  <c r="F18" i="15"/>
  <c r="E18" i="15"/>
  <c r="I17" i="15"/>
  <c r="H17" i="15"/>
  <c r="G17" i="15"/>
  <c r="F17" i="15"/>
  <c r="E17" i="15"/>
  <c r="I8" i="15"/>
  <c r="H8" i="15"/>
  <c r="G8" i="15"/>
  <c r="F8" i="15"/>
  <c r="E8" i="15"/>
  <c r="I16" i="15"/>
  <c r="H16" i="15"/>
  <c r="G16" i="15"/>
  <c r="F16" i="15"/>
  <c r="E16" i="15"/>
  <c r="I15" i="15"/>
  <c r="H15" i="15"/>
  <c r="G15" i="15"/>
  <c r="F15" i="15"/>
  <c r="E15" i="15"/>
  <c r="I14" i="15"/>
  <c r="H14" i="15"/>
  <c r="G14" i="15"/>
  <c r="F14" i="15"/>
  <c r="E14" i="15"/>
  <c r="I13" i="15"/>
  <c r="H13" i="15"/>
  <c r="G13" i="15"/>
  <c r="F13" i="15"/>
  <c r="E13" i="15"/>
  <c r="I12" i="15"/>
  <c r="H12" i="15"/>
  <c r="G12" i="15"/>
  <c r="F12" i="15"/>
  <c r="E12" i="15"/>
  <c r="I11" i="15"/>
  <c r="H11" i="15"/>
  <c r="G11" i="15"/>
  <c r="F11" i="15"/>
  <c r="E11" i="15"/>
  <c r="I10" i="15"/>
  <c r="H10" i="15"/>
  <c r="G10" i="15"/>
  <c r="F10" i="15"/>
  <c r="E10" i="15"/>
  <c r="I9" i="15"/>
  <c r="H9" i="15"/>
  <c r="G9" i="15"/>
  <c r="F9" i="15"/>
  <c r="E9" i="15"/>
  <c r="I7" i="15"/>
  <c r="H7" i="15"/>
  <c r="G7" i="15"/>
  <c r="F7" i="15"/>
  <c r="E7" i="15"/>
  <c r="I6" i="15"/>
  <c r="H6" i="15"/>
  <c r="G6" i="15"/>
  <c r="F6" i="15"/>
  <c r="E6" i="15"/>
  <c r="I5" i="15"/>
  <c r="H5" i="15"/>
  <c r="G5" i="15"/>
  <c r="F5" i="15"/>
  <c r="E5" i="15"/>
  <c r="I4" i="15"/>
  <c r="H4" i="15"/>
  <c r="G4" i="15"/>
  <c r="F4" i="15"/>
  <c r="E4" i="15"/>
  <c r="I3" i="15"/>
  <c r="H3" i="15"/>
  <c r="G3" i="15"/>
  <c r="F3" i="15"/>
  <c r="E3" i="15"/>
  <c r="D34" i="15"/>
  <c r="D33" i="15"/>
  <c r="D32" i="15"/>
  <c r="D31" i="15"/>
  <c r="D30" i="15"/>
  <c r="D29" i="15"/>
  <c r="D28" i="15"/>
  <c r="D27" i="15"/>
  <c r="D26" i="15"/>
  <c r="D25" i="15"/>
  <c r="D24" i="15"/>
  <c r="D23" i="15"/>
  <c r="D22" i="15"/>
  <c r="D21" i="15"/>
  <c r="D20" i="15"/>
  <c r="D19" i="15"/>
  <c r="D18" i="15"/>
  <c r="D17" i="15"/>
  <c r="D8" i="15"/>
  <c r="D16" i="15"/>
  <c r="D15" i="15"/>
  <c r="D14" i="15"/>
  <c r="D13" i="15"/>
  <c r="D12" i="15"/>
  <c r="D11" i="15"/>
  <c r="D10" i="15"/>
  <c r="D9" i="15"/>
  <c r="D7" i="15"/>
  <c r="D6" i="15"/>
  <c r="D5" i="15"/>
  <c r="D4" i="15"/>
  <c r="D3" i="15"/>
  <c r="C7" i="13"/>
  <c r="B7" i="13"/>
  <c r="C6" i="13"/>
  <c r="B6" i="13"/>
  <c r="C5" i="13"/>
  <c r="B5" i="13"/>
  <c r="C4" i="13"/>
  <c r="B4" i="13"/>
  <c r="C3" i="13"/>
  <c r="C8" i="13"/>
  <c r="C9" i="13"/>
  <c r="C10" i="13"/>
  <c r="C11" i="13"/>
  <c r="C12" i="13"/>
  <c r="C13" i="13"/>
  <c r="C14" i="13"/>
  <c r="C15" i="13"/>
  <c r="C16" i="13"/>
  <c r="C17" i="13"/>
  <c r="C18" i="13"/>
  <c r="C19" i="13"/>
  <c r="C20" i="13"/>
  <c r="C21" i="13"/>
  <c r="C22" i="13"/>
  <c r="C23" i="13"/>
  <c r="C24" i="13"/>
  <c r="C25" i="13"/>
  <c r="C26" i="13"/>
  <c r="C27" i="13"/>
  <c r="C28" i="13"/>
  <c r="C29" i="13"/>
  <c r="C30" i="13"/>
  <c r="C31" i="13"/>
  <c r="C32" i="13"/>
  <c r="C33" i="13"/>
  <c r="B3" i="13"/>
  <c r="C2" i="13"/>
  <c r="B2" i="13"/>
  <c r="B8" i="13"/>
  <c r="B9" i="13"/>
  <c r="B10" i="13"/>
  <c r="B11" i="13"/>
  <c r="B12" i="13"/>
  <c r="B13" i="13"/>
  <c r="B14" i="13"/>
  <c r="B15" i="13"/>
  <c r="B16" i="13"/>
  <c r="B17" i="13"/>
  <c r="B18" i="13"/>
  <c r="B19" i="13"/>
  <c r="B20" i="13"/>
  <c r="B21" i="13"/>
  <c r="B22" i="13"/>
  <c r="B23" i="13"/>
  <c r="B24" i="13"/>
  <c r="B25" i="13"/>
  <c r="B26" i="13"/>
  <c r="B27" i="13"/>
  <c r="B28" i="13"/>
  <c r="B29" i="13"/>
  <c r="B30" i="13"/>
  <c r="B31" i="13"/>
  <c r="B32" i="13"/>
  <c r="B33" i="13"/>
  <c r="BJ3" i="1"/>
  <c r="BJ4" i="1"/>
  <c r="BJ5" i="1"/>
  <c r="BJ6" i="1"/>
  <c r="BJ7" i="1"/>
  <c r="BJ8" i="1"/>
  <c r="BJ9" i="1"/>
  <c r="BJ10" i="1"/>
  <c r="BJ11" i="1"/>
  <c r="BJ12" i="1"/>
  <c r="BJ13" i="1"/>
  <c r="BJ14" i="1"/>
  <c r="BJ15" i="1"/>
  <c r="BJ16" i="1"/>
  <c r="BJ17" i="1"/>
  <c r="BJ18" i="1"/>
  <c r="BJ19" i="1"/>
  <c r="BJ20" i="1"/>
  <c r="BJ21" i="1"/>
  <c r="BJ22" i="1"/>
  <c r="BJ23" i="1"/>
  <c r="BJ24" i="1"/>
  <c r="BJ25" i="1"/>
  <c r="BJ26" i="1"/>
  <c r="BJ27" i="1"/>
  <c r="BJ28" i="1"/>
  <c r="BJ29" i="1"/>
  <c r="BJ30" i="1"/>
  <c r="BJ31" i="1"/>
  <c r="BJ32" i="1"/>
  <c r="BJ33" i="1"/>
  <c r="BJ34" i="1"/>
  <c r="AS3" i="1"/>
  <c r="AS4" i="1"/>
  <c r="AS5" i="1"/>
  <c r="AS6" i="1"/>
  <c r="AS7" i="1"/>
  <c r="AS8" i="1"/>
  <c r="AS9" i="1"/>
  <c r="AS10" i="1"/>
  <c r="AS11" i="1"/>
  <c r="AS12" i="1"/>
  <c r="AS13" i="1"/>
  <c r="AS14" i="1"/>
  <c r="AS15" i="1"/>
  <c r="AS16" i="1"/>
  <c r="AS17" i="1"/>
  <c r="AS18" i="1"/>
  <c r="AS19" i="1"/>
  <c r="AS20" i="1"/>
  <c r="AS21" i="1"/>
  <c r="AS22" i="1"/>
  <c r="AS23" i="1"/>
  <c r="AS24" i="1"/>
  <c r="AS25" i="1"/>
  <c r="AS26" i="1"/>
  <c r="AS27" i="1"/>
  <c r="AS28" i="1"/>
  <c r="AS29" i="1"/>
  <c r="AS30" i="1"/>
  <c r="AS31" i="1"/>
  <c r="AS32" i="1"/>
  <c r="AS33" i="1"/>
  <c r="AS34" i="1"/>
  <c r="BK4" i="1"/>
  <c r="BK5" i="1"/>
  <c r="BK6" i="1"/>
  <c r="BK7" i="1"/>
  <c r="BK8" i="1"/>
  <c r="BK9" i="1"/>
  <c r="BK10" i="1"/>
  <c r="BK11" i="1"/>
  <c r="BK12" i="1"/>
  <c r="BK13" i="1"/>
  <c r="BK14" i="1"/>
  <c r="BK15" i="1"/>
  <c r="BK16" i="1"/>
  <c r="BK17" i="1"/>
  <c r="BK18" i="1"/>
  <c r="BK19" i="1"/>
  <c r="BK20" i="1"/>
  <c r="BK21" i="1"/>
  <c r="BK22" i="1"/>
  <c r="BK23" i="1"/>
  <c r="BK24" i="1"/>
  <c r="BK25" i="1"/>
  <c r="BK26" i="1"/>
  <c r="BK27" i="1"/>
  <c r="BK28" i="1"/>
  <c r="BK29" i="1"/>
  <c r="BK30" i="1"/>
  <c r="BK31" i="1"/>
  <c r="BK32" i="1"/>
  <c r="BK33" i="1"/>
  <c r="BK34" i="1"/>
  <c r="BK3" i="1"/>
  <c r="AT4" i="1"/>
  <c r="AT5" i="1"/>
  <c r="AT6" i="1"/>
  <c r="AT7" i="1"/>
  <c r="AT8" i="1"/>
  <c r="AT9" i="1"/>
  <c r="AT10" i="1"/>
  <c r="AT11" i="1"/>
  <c r="AT12" i="1"/>
  <c r="AT13" i="1"/>
  <c r="AT14" i="1"/>
  <c r="AT15" i="1"/>
  <c r="AT16" i="1"/>
  <c r="AT17" i="1"/>
  <c r="AT18" i="1"/>
  <c r="AT19" i="1"/>
  <c r="AT20" i="1"/>
  <c r="AT21" i="1"/>
  <c r="AT22" i="1"/>
  <c r="AT23" i="1"/>
  <c r="AT24" i="1"/>
  <c r="AT25" i="1"/>
  <c r="AT26" i="1"/>
  <c r="AT27" i="1"/>
  <c r="AT28" i="1"/>
  <c r="AT29" i="1"/>
  <c r="AT30" i="1"/>
  <c r="AT31" i="1"/>
  <c r="AT32" i="1"/>
  <c r="AT33" i="1"/>
  <c r="AT34" i="1"/>
  <c r="G4" i="6"/>
  <c r="AT3" i="1"/>
  <c r="C4" i="12"/>
  <c r="C5" i="12"/>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 i="12"/>
  <c r="H34" i="12"/>
  <c r="G34" i="12"/>
  <c r="F34" i="12"/>
  <c r="E34" i="12"/>
  <c r="H33" i="12"/>
  <c r="G33" i="12"/>
  <c r="F33" i="12"/>
  <c r="E33" i="12"/>
  <c r="H32" i="12"/>
  <c r="G32" i="12"/>
  <c r="F32" i="12"/>
  <c r="E32" i="12"/>
  <c r="H31" i="12"/>
  <c r="G31" i="12"/>
  <c r="F31" i="12"/>
  <c r="E31" i="12"/>
  <c r="H30" i="12"/>
  <c r="G30" i="12"/>
  <c r="F30" i="12"/>
  <c r="E30" i="12"/>
  <c r="H29" i="12"/>
  <c r="G29" i="12"/>
  <c r="F29" i="12"/>
  <c r="E29" i="12"/>
  <c r="H28" i="12"/>
  <c r="G28" i="12"/>
  <c r="F28" i="12"/>
  <c r="E28" i="12"/>
  <c r="H27" i="12"/>
  <c r="G27" i="12"/>
  <c r="F27" i="12"/>
  <c r="E27" i="12"/>
  <c r="H26" i="12"/>
  <c r="G26" i="12"/>
  <c r="F26" i="12"/>
  <c r="E26" i="12"/>
  <c r="H25" i="12"/>
  <c r="G25" i="12"/>
  <c r="F25" i="12"/>
  <c r="E25" i="12"/>
  <c r="H24" i="12"/>
  <c r="G24" i="12"/>
  <c r="F24" i="12"/>
  <c r="E24" i="12"/>
  <c r="H23" i="12"/>
  <c r="G23" i="12"/>
  <c r="F23" i="12"/>
  <c r="E23" i="12"/>
  <c r="H22" i="12"/>
  <c r="G22" i="12"/>
  <c r="F22" i="12"/>
  <c r="E22" i="12"/>
  <c r="H21" i="12"/>
  <c r="G21" i="12"/>
  <c r="F21" i="12"/>
  <c r="E21" i="12"/>
  <c r="H20" i="12"/>
  <c r="G20" i="12"/>
  <c r="F20" i="12"/>
  <c r="E20" i="12"/>
  <c r="H19" i="12"/>
  <c r="G19" i="12"/>
  <c r="F19" i="12"/>
  <c r="E19" i="12"/>
  <c r="H18" i="12"/>
  <c r="G18" i="12"/>
  <c r="F18" i="12"/>
  <c r="E18" i="12"/>
  <c r="H17" i="12"/>
  <c r="G17" i="12"/>
  <c r="F17" i="12"/>
  <c r="E17" i="12"/>
  <c r="H16" i="12"/>
  <c r="G16" i="12"/>
  <c r="F16" i="12"/>
  <c r="E16" i="12"/>
  <c r="H15" i="12"/>
  <c r="G15" i="12"/>
  <c r="F15" i="12"/>
  <c r="E15" i="12"/>
  <c r="H14" i="12"/>
  <c r="G14" i="12"/>
  <c r="F14" i="12"/>
  <c r="E14" i="12"/>
  <c r="H13" i="12"/>
  <c r="G13" i="12"/>
  <c r="F13" i="12"/>
  <c r="E13" i="12"/>
  <c r="H12" i="12"/>
  <c r="G12" i="12"/>
  <c r="F12" i="12"/>
  <c r="E12" i="12"/>
  <c r="H11" i="12"/>
  <c r="G11" i="12"/>
  <c r="F11" i="12"/>
  <c r="E11" i="12"/>
  <c r="H10" i="12"/>
  <c r="G10" i="12"/>
  <c r="F10" i="12"/>
  <c r="E10" i="12"/>
  <c r="H9" i="12"/>
  <c r="G9" i="12"/>
  <c r="F9" i="12"/>
  <c r="E9" i="12"/>
  <c r="H8" i="12"/>
  <c r="G8" i="12"/>
  <c r="F8" i="12"/>
  <c r="E8" i="12"/>
  <c r="H7" i="12"/>
  <c r="G7" i="12"/>
  <c r="F7" i="12"/>
  <c r="E7" i="12"/>
  <c r="H6" i="12"/>
  <c r="G6" i="12"/>
  <c r="F6" i="12"/>
  <c r="E6" i="12"/>
  <c r="H5" i="12"/>
  <c r="G5" i="12"/>
  <c r="F5" i="12"/>
  <c r="E5" i="12"/>
  <c r="H4" i="12"/>
  <c r="G4" i="12"/>
  <c r="F4" i="12"/>
  <c r="E4" i="12"/>
  <c r="H3" i="12"/>
  <c r="G3" i="12"/>
  <c r="F3" i="12"/>
  <c r="E3" i="12"/>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 i="6"/>
  <c r="H34" i="11"/>
  <c r="G34" i="11"/>
  <c r="F34" i="11"/>
  <c r="E34" i="11"/>
  <c r="H33" i="11"/>
  <c r="G33" i="11"/>
  <c r="F33" i="11"/>
  <c r="E33" i="11"/>
  <c r="H32" i="11"/>
  <c r="G32" i="11"/>
  <c r="F32" i="11"/>
  <c r="E32" i="11"/>
  <c r="H31" i="11"/>
  <c r="G31" i="11"/>
  <c r="F31" i="11"/>
  <c r="E31" i="11"/>
  <c r="H30" i="11"/>
  <c r="G30" i="11"/>
  <c r="F30" i="11"/>
  <c r="E30" i="11"/>
  <c r="H29" i="11"/>
  <c r="G29" i="11"/>
  <c r="F29" i="11"/>
  <c r="E29" i="11"/>
  <c r="H28" i="11"/>
  <c r="G28" i="11"/>
  <c r="F28" i="11"/>
  <c r="E28" i="11"/>
  <c r="H27" i="11"/>
  <c r="G27" i="11"/>
  <c r="F27" i="11"/>
  <c r="E27" i="11"/>
  <c r="H26" i="11"/>
  <c r="G26" i="11"/>
  <c r="F26" i="11"/>
  <c r="E26" i="11"/>
  <c r="H25" i="11"/>
  <c r="G25" i="11"/>
  <c r="F25" i="11"/>
  <c r="E25" i="11"/>
  <c r="H24" i="11"/>
  <c r="G24" i="11"/>
  <c r="F24" i="11"/>
  <c r="E24" i="11"/>
  <c r="H23" i="11"/>
  <c r="G23" i="11"/>
  <c r="F23" i="11"/>
  <c r="E23" i="11"/>
  <c r="H22" i="11"/>
  <c r="G22" i="11"/>
  <c r="F22" i="11"/>
  <c r="E22" i="11"/>
  <c r="H21" i="11"/>
  <c r="G21" i="11"/>
  <c r="F21" i="11"/>
  <c r="E21" i="11"/>
  <c r="H20" i="11"/>
  <c r="G20" i="11"/>
  <c r="F20" i="11"/>
  <c r="E20" i="11"/>
  <c r="H19" i="11"/>
  <c r="G19" i="11"/>
  <c r="F19" i="11"/>
  <c r="E19" i="11"/>
  <c r="H18" i="11"/>
  <c r="G18" i="11"/>
  <c r="F18" i="11"/>
  <c r="E18" i="11"/>
  <c r="H17" i="11"/>
  <c r="G17" i="11"/>
  <c r="F17" i="11"/>
  <c r="E17" i="11"/>
  <c r="H16" i="11"/>
  <c r="G16" i="11"/>
  <c r="F16" i="11"/>
  <c r="E16" i="11"/>
  <c r="H15" i="11"/>
  <c r="G15" i="11"/>
  <c r="F15" i="11"/>
  <c r="E15" i="11"/>
  <c r="H14" i="11"/>
  <c r="G14" i="11"/>
  <c r="F14" i="11"/>
  <c r="E14" i="11"/>
  <c r="H13" i="11"/>
  <c r="G13" i="11"/>
  <c r="F13" i="11"/>
  <c r="E13" i="11"/>
  <c r="H12" i="11"/>
  <c r="G12" i="11"/>
  <c r="F12" i="11"/>
  <c r="E12" i="11"/>
  <c r="H11" i="11"/>
  <c r="G11" i="11"/>
  <c r="F11" i="11"/>
  <c r="E11" i="11"/>
  <c r="H10" i="11"/>
  <c r="G10" i="11"/>
  <c r="F10" i="11"/>
  <c r="E10" i="11"/>
  <c r="H9" i="11"/>
  <c r="G9" i="11"/>
  <c r="F9" i="11"/>
  <c r="E9" i="11"/>
  <c r="H8" i="11"/>
  <c r="G8" i="11"/>
  <c r="F8" i="11"/>
  <c r="E8" i="11"/>
  <c r="H7" i="11"/>
  <c r="G7" i="11"/>
  <c r="F7" i="11"/>
  <c r="E7" i="11"/>
  <c r="H6" i="11"/>
  <c r="G6" i="11"/>
  <c r="F6" i="11"/>
  <c r="E6" i="11"/>
  <c r="H5" i="11"/>
  <c r="G5" i="11"/>
  <c r="F5" i="11"/>
  <c r="E5" i="11"/>
  <c r="H4" i="11"/>
  <c r="G4" i="11"/>
  <c r="F4" i="11"/>
  <c r="E4" i="11"/>
  <c r="H3" i="11"/>
  <c r="G3" i="11"/>
  <c r="F3" i="11"/>
  <c r="E3" i="11"/>
  <c r="G3" i="6"/>
  <c r="H130" i="9"/>
  <c r="G130" i="9"/>
  <c r="F130" i="9"/>
  <c r="E130" i="9"/>
  <c r="H129" i="9"/>
  <c r="G129" i="9"/>
  <c r="F129" i="9"/>
  <c r="E129" i="9"/>
  <c r="H128" i="9"/>
  <c r="G128" i="9"/>
  <c r="F128" i="9"/>
  <c r="E128" i="9"/>
  <c r="H127" i="9"/>
  <c r="G127" i="9"/>
  <c r="F127" i="9"/>
  <c r="E127" i="9"/>
  <c r="H126" i="9"/>
  <c r="G126" i="9"/>
  <c r="F126" i="9"/>
  <c r="E126" i="9"/>
  <c r="H125" i="9"/>
  <c r="G125" i="9"/>
  <c r="F125" i="9"/>
  <c r="E125" i="9"/>
  <c r="H124" i="9"/>
  <c r="G124" i="9"/>
  <c r="F124" i="9"/>
  <c r="E124" i="9"/>
  <c r="H123" i="9"/>
  <c r="G123" i="9"/>
  <c r="F123" i="9"/>
  <c r="E123" i="9"/>
  <c r="H122" i="9"/>
  <c r="G122" i="9"/>
  <c r="F122" i="9"/>
  <c r="E122" i="9"/>
  <c r="H121" i="9"/>
  <c r="G121" i="9"/>
  <c r="F121" i="9"/>
  <c r="E121" i="9"/>
  <c r="H120" i="9"/>
  <c r="G120" i="9"/>
  <c r="F120" i="9"/>
  <c r="E120" i="9"/>
  <c r="H119" i="9"/>
  <c r="G119" i="9"/>
  <c r="F119" i="9"/>
  <c r="E119" i="9"/>
  <c r="H118" i="9"/>
  <c r="G118" i="9"/>
  <c r="F118" i="9"/>
  <c r="E118" i="9"/>
  <c r="H117" i="9"/>
  <c r="G117" i="9"/>
  <c r="F117" i="9"/>
  <c r="E117" i="9"/>
  <c r="H116" i="9"/>
  <c r="G116" i="9"/>
  <c r="F116" i="9"/>
  <c r="E116" i="9"/>
  <c r="H115" i="9"/>
  <c r="G115" i="9"/>
  <c r="F115" i="9"/>
  <c r="E115" i="9"/>
  <c r="H114" i="9"/>
  <c r="G114" i="9"/>
  <c r="F114" i="9"/>
  <c r="E114" i="9"/>
  <c r="H113" i="9"/>
  <c r="G113" i="9"/>
  <c r="F113" i="9"/>
  <c r="E113" i="9"/>
  <c r="H112" i="9"/>
  <c r="G112" i="9"/>
  <c r="F112" i="9"/>
  <c r="E112" i="9"/>
  <c r="H111" i="9"/>
  <c r="G111" i="9"/>
  <c r="F111" i="9"/>
  <c r="E111" i="9"/>
  <c r="H110" i="9"/>
  <c r="G110" i="9"/>
  <c r="F110" i="9"/>
  <c r="E110" i="9"/>
  <c r="H109" i="9"/>
  <c r="G109" i="9"/>
  <c r="F109" i="9"/>
  <c r="E109" i="9"/>
  <c r="H108" i="9"/>
  <c r="G108" i="9"/>
  <c r="F108" i="9"/>
  <c r="E108" i="9"/>
  <c r="H107" i="9"/>
  <c r="G107" i="9"/>
  <c r="F107" i="9"/>
  <c r="E107" i="9"/>
  <c r="H106" i="9"/>
  <c r="G106" i="9"/>
  <c r="F106" i="9"/>
  <c r="E106" i="9"/>
  <c r="H105" i="9"/>
  <c r="G105" i="9"/>
  <c r="F105" i="9"/>
  <c r="E105" i="9"/>
  <c r="H104" i="9"/>
  <c r="G104" i="9"/>
  <c r="F104" i="9"/>
  <c r="E104" i="9"/>
  <c r="H103" i="9"/>
  <c r="G103" i="9"/>
  <c r="F103" i="9"/>
  <c r="E103" i="9"/>
  <c r="H102" i="9"/>
  <c r="G102" i="9"/>
  <c r="F102" i="9"/>
  <c r="E102" i="9"/>
  <c r="H101" i="9"/>
  <c r="G101" i="9"/>
  <c r="F101" i="9"/>
  <c r="E101" i="9"/>
  <c r="H100" i="9"/>
  <c r="G100" i="9"/>
  <c r="F100" i="9"/>
  <c r="E100" i="9"/>
  <c r="H99" i="9"/>
  <c r="G99" i="9"/>
  <c r="F99" i="9"/>
  <c r="E99" i="9"/>
  <c r="H98" i="9"/>
  <c r="G98" i="9"/>
  <c r="F98" i="9"/>
  <c r="E98" i="9"/>
  <c r="H97" i="9"/>
  <c r="G97" i="9"/>
  <c r="F97" i="9"/>
  <c r="E97" i="9"/>
  <c r="H96" i="9"/>
  <c r="G96" i="9"/>
  <c r="F96" i="9"/>
  <c r="E96" i="9"/>
  <c r="H95" i="9"/>
  <c r="G95" i="9"/>
  <c r="F95" i="9"/>
  <c r="E95" i="9"/>
  <c r="H94" i="9"/>
  <c r="G94" i="9"/>
  <c r="F94" i="9"/>
  <c r="E94" i="9"/>
  <c r="H93" i="9"/>
  <c r="G93" i="9"/>
  <c r="F93" i="9"/>
  <c r="E93" i="9"/>
  <c r="H92" i="9"/>
  <c r="G92" i="9"/>
  <c r="F92" i="9"/>
  <c r="E92" i="9"/>
  <c r="H91" i="9"/>
  <c r="G91" i="9"/>
  <c r="F91" i="9"/>
  <c r="E91" i="9"/>
  <c r="H90" i="9"/>
  <c r="G90" i="9"/>
  <c r="F90" i="9"/>
  <c r="E90" i="9"/>
  <c r="H89" i="9"/>
  <c r="G89" i="9"/>
  <c r="F89" i="9"/>
  <c r="E89" i="9"/>
  <c r="H88" i="9"/>
  <c r="G88" i="9"/>
  <c r="F88" i="9"/>
  <c r="E88" i="9"/>
  <c r="H87" i="9"/>
  <c r="G87" i="9"/>
  <c r="F87" i="9"/>
  <c r="E87" i="9"/>
  <c r="H86" i="9"/>
  <c r="G86" i="9"/>
  <c r="F86" i="9"/>
  <c r="E86" i="9"/>
  <c r="H85" i="9"/>
  <c r="G85" i="9"/>
  <c r="F85" i="9"/>
  <c r="E85" i="9"/>
  <c r="H84" i="9"/>
  <c r="G84" i="9"/>
  <c r="F84" i="9"/>
  <c r="E84" i="9"/>
  <c r="H83" i="9"/>
  <c r="G83" i="9"/>
  <c r="F83" i="9"/>
  <c r="E83" i="9"/>
  <c r="H82" i="9"/>
  <c r="G82" i="9"/>
  <c r="F82" i="9"/>
  <c r="E82" i="9"/>
  <c r="H81" i="9"/>
  <c r="G81" i="9"/>
  <c r="F81" i="9"/>
  <c r="E81" i="9"/>
  <c r="H80" i="9"/>
  <c r="G80" i="9"/>
  <c r="F80" i="9"/>
  <c r="E80" i="9"/>
  <c r="H79" i="9"/>
  <c r="G79" i="9"/>
  <c r="F79" i="9"/>
  <c r="E79" i="9"/>
  <c r="H78" i="9"/>
  <c r="G78" i="9"/>
  <c r="F78" i="9"/>
  <c r="E78" i="9"/>
  <c r="H77" i="9"/>
  <c r="G77" i="9"/>
  <c r="F77" i="9"/>
  <c r="E77" i="9"/>
  <c r="H76" i="9"/>
  <c r="G76" i="9"/>
  <c r="F76" i="9"/>
  <c r="E76" i="9"/>
  <c r="H75" i="9"/>
  <c r="G75" i="9"/>
  <c r="F75" i="9"/>
  <c r="E75" i="9"/>
  <c r="H74" i="9"/>
  <c r="G74" i="9"/>
  <c r="F74" i="9"/>
  <c r="E74" i="9"/>
  <c r="H73" i="9"/>
  <c r="G73" i="9"/>
  <c r="F73" i="9"/>
  <c r="E73" i="9"/>
  <c r="H72" i="9"/>
  <c r="G72" i="9"/>
  <c r="F72" i="9"/>
  <c r="E72" i="9"/>
  <c r="H71" i="9"/>
  <c r="G71" i="9"/>
  <c r="F71" i="9"/>
  <c r="E71" i="9"/>
  <c r="H70" i="9"/>
  <c r="G70" i="9"/>
  <c r="F70" i="9"/>
  <c r="E70" i="9"/>
  <c r="H69" i="9"/>
  <c r="G69" i="9"/>
  <c r="F69" i="9"/>
  <c r="E69" i="9"/>
  <c r="H68" i="9"/>
  <c r="G68" i="9"/>
  <c r="F68" i="9"/>
  <c r="E68" i="9"/>
  <c r="H67" i="9"/>
  <c r="G67" i="9"/>
  <c r="F67" i="9"/>
  <c r="E67" i="9"/>
  <c r="H66" i="9"/>
  <c r="G66" i="9"/>
  <c r="F66" i="9"/>
  <c r="E66" i="9"/>
  <c r="H65" i="9"/>
  <c r="G65" i="9"/>
  <c r="F65" i="9"/>
  <c r="E65" i="9"/>
  <c r="H64" i="9"/>
  <c r="G64" i="9"/>
  <c r="F64" i="9"/>
  <c r="E64" i="9"/>
  <c r="H63" i="9"/>
  <c r="G63" i="9"/>
  <c r="F63" i="9"/>
  <c r="E63" i="9"/>
  <c r="H62" i="9"/>
  <c r="G62" i="9"/>
  <c r="F62" i="9"/>
  <c r="E62" i="9"/>
  <c r="H61" i="9"/>
  <c r="G61" i="9"/>
  <c r="F61" i="9"/>
  <c r="E61" i="9"/>
  <c r="H60" i="9"/>
  <c r="G60" i="9"/>
  <c r="F60" i="9"/>
  <c r="E60" i="9"/>
  <c r="H59" i="9"/>
  <c r="G59" i="9"/>
  <c r="F59" i="9"/>
  <c r="E59" i="9"/>
  <c r="H58" i="9"/>
  <c r="G58" i="9"/>
  <c r="F58" i="9"/>
  <c r="E58" i="9"/>
  <c r="H57" i="9"/>
  <c r="G57" i="9"/>
  <c r="F57" i="9"/>
  <c r="E57" i="9"/>
  <c r="H56" i="9"/>
  <c r="G56" i="9"/>
  <c r="F56" i="9"/>
  <c r="E56" i="9"/>
  <c r="H55" i="9"/>
  <c r="G55" i="9"/>
  <c r="F55" i="9"/>
  <c r="E55" i="9"/>
  <c r="H54" i="9"/>
  <c r="G54" i="9"/>
  <c r="F54" i="9"/>
  <c r="E54" i="9"/>
  <c r="H53" i="9"/>
  <c r="G53" i="9"/>
  <c r="F53" i="9"/>
  <c r="E53" i="9"/>
  <c r="H52" i="9"/>
  <c r="G52" i="9"/>
  <c r="F52" i="9"/>
  <c r="E52" i="9"/>
  <c r="H51" i="9"/>
  <c r="G51" i="9"/>
  <c r="F51" i="9"/>
  <c r="E51" i="9"/>
  <c r="H50" i="9"/>
  <c r="G50" i="9"/>
  <c r="F50" i="9"/>
  <c r="E50" i="9"/>
  <c r="H49" i="9"/>
  <c r="G49" i="9"/>
  <c r="F49" i="9"/>
  <c r="E49" i="9"/>
  <c r="H48" i="9"/>
  <c r="G48" i="9"/>
  <c r="F48" i="9"/>
  <c r="E48" i="9"/>
  <c r="H47" i="9"/>
  <c r="G47" i="9"/>
  <c r="F47" i="9"/>
  <c r="E47" i="9"/>
  <c r="H46" i="9"/>
  <c r="G46" i="9"/>
  <c r="F46" i="9"/>
  <c r="E46" i="9"/>
  <c r="H45" i="9"/>
  <c r="G45" i="9"/>
  <c r="F45" i="9"/>
  <c r="E45" i="9"/>
  <c r="H44" i="9"/>
  <c r="G44" i="9"/>
  <c r="F44" i="9"/>
  <c r="E44" i="9"/>
  <c r="H43" i="9"/>
  <c r="G43" i="9"/>
  <c r="F43" i="9"/>
  <c r="E43" i="9"/>
  <c r="H42" i="9"/>
  <c r="G42" i="9"/>
  <c r="F42" i="9"/>
  <c r="E42" i="9"/>
  <c r="H41" i="9"/>
  <c r="G41" i="9"/>
  <c r="F41" i="9"/>
  <c r="E41" i="9"/>
  <c r="H40" i="9"/>
  <c r="G40" i="9"/>
  <c r="F40" i="9"/>
  <c r="E40" i="9"/>
  <c r="H39" i="9"/>
  <c r="G39" i="9"/>
  <c r="F39" i="9"/>
  <c r="E39" i="9"/>
  <c r="H38" i="9"/>
  <c r="G38" i="9"/>
  <c r="F38" i="9"/>
  <c r="E38" i="9"/>
  <c r="H37" i="9"/>
  <c r="G37" i="9"/>
  <c r="F37" i="9"/>
  <c r="E37" i="9"/>
  <c r="H36" i="9"/>
  <c r="G36" i="9"/>
  <c r="F36" i="9"/>
  <c r="E36" i="9"/>
  <c r="H35" i="9"/>
  <c r="G35" i="9"/>
  <c r="F35" i="9"/>
  <c r="E35" i="9"/>
  <c r="H34" i="9"/>
  <c r="G34" i="9"/>
  <c r="F34" i="9"/>
  <c r="E34" i="9"/>
  <c r="H33" i="9"/>
  <c r="G33" i="9"/>
  <c r="F33" i="9"/>
  <c r="E33" i="9"/>
  <c r="H32" i="9"/>
  <c r="G32" i="9"/>
  <c r="F32" i="9"/>
  <c r="E32" i="9"/>
  <c r="H31" i="9"/>
  <c r="G31" i="9"/>
  <c r="F31" i="9"/>
  <c r="E31" i="9"/>
  <c r="H30" i="9"/>
  <c r="G30" i="9"/>
  <c r="F30" i="9"/>
  <c r="E30" i="9"/>
  <c r="H29" i="9"/>
  <c r="G29" i="9"/>
  <c r="F29" i="9"/>
  <c r="E29" i="9"/>
  <c r="H28" i="9"/>
  <c r="G28" i="9"/>
  <c r="F28" i="9"/>
  <c r="E28" i="9"/>
  <c r="H27" i="9"/>
  <c r="G27" i="9"/>
  <c r="F27" i="9"/>
  <c r="E27" i="9"/>
  <c r="H26" i="9"/>
  <c r="G26" i="9"/>
  <c r="F26" i="9"/>
  <c r="E26" i="9"/>
  <c r="H25" i="9"/>
  <c r="G25" i="9"/>
  <c r="F25" i="9"/>
  <c r="E25" i="9"/>
  <c r="H24" i="9"/>
  <c r="G24" i="9"/>
  <c r="F24" i="9"/>
  <c r="E24" i="9"/>
  <c r="H23" i="9"/>
  <c r="G23" i="9"/>
  <c r="F23" i="9"/>
  <c r="E23" i="9"/>
  <c r="H22" i="9"/>
  <c r="G22" i="9"/>
  <c r="F22" i="9"/>
  <c r="E22" i="9"/>
  <c r="H21" i="9"/>
  <c r="G21" i="9"/>
  <c r="F21" i="9"/>
  <c r="E21" i="9"/>
  <c r="H20" i="9"/>
  <c r="G20" i="9"/>
  <c r="F20" i="9"/>
  <c r="E20" i="9"/>
  <c r="H19" i="9"/>
  <c r="G19" i="9"/>
  <c r="F19" i="9"/>
  <c r="E19" i="9"/>
  <c r="H18" i="9"/>
  <c r="G18" i="9"/>
  <c r="F18" i="9"/>
  <c r="E18" i="9"/>
  <c r="H17" i="9"/>
  <c r="G17" i="9"/>
  <c r="F17" i="9"/>
  <c r="E17" i="9"/>
  <c r="H16" i="9"/>
  <c r="G16" i="9"/>
  <c r="F16" i="9"/>
  <c r="E16" i="9"/>
  <c r="H15" i="9"/>
  <c r="G15" i="9"/>
  <c r="F15" i="9"/>
  <c r="E15" i="9"/>
  <c r="H14" i="9"/>
  <c r="G14" i="9"/>
  <c r="F14" i="9"/>
  <c r="E14" i="9"/>
  <c r="H13" i="9"/>
  <c r="G13" i="9"/>
  <c r="F13" i="9"/>
  <c r="E13" i="9"/>
  <c r="H12" i="9"/>
  <c r="G12" i="9"/>
  <c r="F12" i="9"/>
  <c r="E12" i="9"/>
  <c r="H11" i="9"/>
  <c r="G11" i="9"/>
  <c r="F11" i="9"/>
  <c r="E11" i="9"/>
  <c r="H10" i="9"/>
  <c r="G10" i="9"/>
  <c r="F10" i="9"/>
  <c r="E10" i="9"/>
  <c r="H9" i="9"/>
  <c r="G9" i="9"/>
  <c r="F9" i="9"/>
  <c r="E9" i="9"/>
  <c r="H8" i="9"/>
  <c r="G8" i="9"/>
  <c r="F8" i="9"/>
  <c r="E8" i="9"/>
  <c r="H7" i="9"/>
  <c r="G7" i="9"/>
  <c r="F7" i="9"/>
  <c r="E7" i="9"/>
  <c r="H6" i="9"/>
  <c r="G6" i="9"/>
  <c r="F6" i="9"/>
  <c r="E6" i="9"/>
  <c r="H5" i="9"/>
  <c r="G5" i="9"/>
  <c r="F5" i="9"/>
  <c r="E5" i="9"/>
  <c r="H4" i="9"/>
  <c r="G4" i="9"/>
  <c r="F4" i="9"/>
  <c r="E4" i="9"/>
  <c r="H3" i="9"/>
  <c r="G3" i="9"/>
  <c r="F3" i="9"/>
  <c r="E3" i="9"/>
  <c r="H34" i="8"/>
  <c r="G34" i="8"/>
  <c r="F34" i="8"/>
  <c r="E34" i="8"/>
  <c r="H33" i="8"/>
  <c r="G33" i="8"/>
  <c r="F33" i="8"/>
  <c r="E33" i="8"/>
  <c r="H32" i="8"/>
  <c r="G32" i="8"/>
  <c r="F32" i="8"/>
  <c r="E32" i="8"/>
  <c r="H31" i="8"/>
  <c r="G31" i="8"/>
  <c r="F31" i="8"/>
  <c r="E31" i="8"/>
  <c r="H30" i="8"/>
  <c r="G30" i="8"/>
  <c r="F30" i="8"/>
  <c r="E30" i="8"/>
  <c r="H29" i="8"/>
  <c r="G29" i="8"/>
  <c r="F29" i="8"/>
  <c r="E29" i="8"/>
  <c r="H28" i="8"/>
  <c r="G28" i="8"/>
  <c r="F28" i="8"/>
  <c r="E28" i="8"/>
  <c r="H27" i="8"/>
  <c r="G27" i="8"/>
  <c r="F27" i="8"/>
  <c r="E27" i="8"/>
  <c r="H26" i="8"/>
  <c r="G26" i="8"/>
  <c r="F26" i="8"/>
  <c r="E26" i="8"/>
  <c r="H25" i="8"/>
  <c r="G25" i="8"/>
  <c r="F25" i="8"/>
  <c r="E25" i="8"/>
  <c r="H24" i="8"/>
  <c r="G24" i="8"/>
  <c r="F24" i="8"/>
  <c r="E24" i="8"/>
  <c r="H23" i="8"/>
  <c r="G23" i="8"/>
  <c r="F23" i="8"/>
  <c r="E23" i="8"/>
  <c r="H22" i="8"/>
  <c r="G22" i="8"/>
  <c r="F22" i="8"/>
  <c r="E22" i="8"/>
  <c r="H21" i="8"/>
  <c r="G21" i="8"/>
  <c r="F21" i="8"/>
  <c r="E21" i="8"/>
  <c r="H20" i="8"/>
  <c r="G20" i="8"/>
  <c r="F20" i="8"/>
  <c r="E20" i="8"/>
  <c r="H19" i="8"/>
  <c r="G19" i="8"/>
  <c r="F19" i="8"/>
  <c r="E19" i="8"/>
  <c r="H18" i="8"/>
  <c r="G18" i="8"/>
  <c r="F18" i="8"/>
  <c r="E18" i="8"/>
  <c r="H17" i="8"/>
  <c r="G17" i="8"/>
  <c r="F17" i="8"/>
  <c r="E17" i="8"/>
  <c r="H16" i="8"/>
  <c r="G16" i="8"/>
  <c r="F16" i="8"/>
  <c r="E16" i="8"/>
  <c r="H15" i="8"/>
  <c r="G15" i="8"/>
  <c r="F15" i="8"/>
  <c r="E15" i="8"/>
  <c r="H14" i="8"/>
  <c r="G14" i="8"/>
  <c r="F14" i="8"/>
  <c r="E14" i="8"/>
  <c r="H13" i="8"/>
  <c r="G13" i="8"/>
  <c r="F13" i="8"/>
  <c r="E13" i="8"/>
  <c r="H12" i="8"/>
  <c r="G12" i="8"/>
  <c r="F12" i="8"/>
  <c r="E12" i="8"/>
  <c r="H11" i="8"/>
  <c r="G11" i="8"/>
  <c r="F11" i="8"/>
  <c r="E11" i="8"/>
  <c r="H10" i="8"/>
  <c r="G10" i="8"/>
  <c r="F10" i="8"/>
  <c r="E10" i="8"/>
  <c r="H9" i="8"/>
  <c r="G9" i="8"/>
  <c r="F9" i="8"/>
  <c r="E9" i="8"/>
  <c r="H8" i="8"/>
  <c r="G8" i="8"/>
  <c r="F8" i="8"/>
  <c r="E8" i="8"/>
  <c r="H7" i="8"/>
  <c r="G7" i="8"/>
  <c r="F7" i="8"/>
  <c r="E7" i="8"/>
  <c r="H6" i="8"/>
  <c r="G6" i="8"/>
  <c r="F6" i="8"/>
  <c r="E6" i="8"/>
  <c r="H5" i="8"/>
  <c r="G5" i="8"/>
  <c r="F5" i="8"/>
  <c r="E5" i="8"/>
  <c r="H4" i="8"/>
  <c r="G4" i="8"/>
  <c r="F4" i="8"/>
  <c r="E4" i="8"/>
  <c r="H3" i="8"/>
  <c r="G3" i="8"/>
  <c r="F3" i="8"/>
  <c r="E3" i="8"/>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 i="6"/>
  <c r="E4" i="6"/>
  <c r="E5" i="6"/>
  <c r="E6" i="6"/>
  <c r="AQ3" i="1"/>
  <c r="AQ4" i="1"/>
  <c r="AQ5" i="1"/>
  <c r="AQ6" i="1"/>
  <c r="AQ7" i="1"/>
  <c r="AQ8" i="1"/>
  <c r="AQ9" i="1"/>
  <c r="AQ10" i="1"/>
  <c r="AQ11" i="1"/>
  <c r="AQ12" i="1"/>
  <c r="AQ13" i="1"/>
  <c r="AQ14" i="1"/>
  <c r="AQ15" i="1"/>
  <c r="AQ16" i="1"/>
  <c r="AQ17" i="1"/>
  <c r="AQ18" i="1"/>
  <c r="AQ19" i="1"/>
  <c r="AQ20" i="1"/>
  <c r="AQ21" i="1"/>
  <c r="AQ22" i="1"/>
  <c r="AQ23" i="1"/>
  <c r="AQ24" i="1"/>
  <c r="AQ25" i="1"/>
  <c r="AQ26" i="1"/>
  <c r="AQ27" i="1"/>
  <c r="AQ28" i="1"/>
  <c r="AQ29" i="1"/>
  <c r="AQ30" i="1"/>
  <c r="AQ31" i="1"/>
  <c r="AQ32" i="1"/>
  <c r="AQ33" i="1"/>
  <c r="AQ34" i="1"/>
  <c r="AP3" i="1"/>
  <c r="AP4" i="1"/>
  <c r="AP5"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P34" i="1"/>
  <c r="AO3" i="1"/>
  <c r="AO4" i="1"/>
  <c r="AO5" i="1"/>
  <c r="AO6" i="1"/>
  <c r="AO7" i="1"/>
  <c r="AO8" i="1"/>
  <c r="AO9" i="1"/>
  <c r="AO10" i="1"/>
  <c r="AO11" i="1"/>
  <c r="AO12" i="1"/>
  <c r="AO13" i="1"/>
  <c r="AO14" i="1"/>
  <c r="AO15" i="1"/>
  <c r="AO16" i="1"/>
  <c r="AO17" i="1"/>
  <c r="AO18" i="1"/>
  <c r="AO19" i="1"/>
  <c r="AO20" i="1"/>
  <c r="AO21" i="1"/>
  <c r="AO22" i="1"/>
  <c r="AO23" i="1"/>
  <c r="AO24" i="1"/>
  <c r="AO25" i="1"/>
  <c r="AO26" i="1"/>
  <c r="AO27" i="1"/>
  <c r="AO28" i="1"/>
  <c r="AO29" i="1"/>
  <c r="AO30" i="1"/>
  <c r="AO31" i="1"/>
  <c r="AO32" i="1"/>
  <c r="AO33" i="1"/>
  <c r="AO34" i="1"/>
  <c r="AN3" i="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BJ37" i="1"/>
  <c r="BK37" i="1"/>
  <c r="BL37" i="1"/>
  <c r="BM37" i="1"/>
  <c r="BN37" i="1"/>
  <c r="BO37" i="1"/>
  <c r="BP37" i="1"/>
  <c r="BQ37" i="1"/>
  <c r="BR37" i="1"/>
  <c r="BS37" i="1"/>
  <c r="BT37" i="1"/>
  <c r="BU37" i="1"/>
  <c r="BJ36" i="1"/>
  <c r="BK36" i="1"/>
  <c r="BL36" i="1"/>
  <c r="BM36" i="1"/>
  <c r="BN36" i="1"/>
  <c r="BO36" i="1"/>
  <c r="BP36" i="1"/>
  <c r="BQ36" i="1"/>
  <c r="BR36" i="1"/>
  <c r="BS36" i="1"/>
  <c r="BT36" i="1"/>
  <c r="BU36" i="1"/>
  <c r="AV37" i="1"/>
  <c r="AW37" i="1"/>
  <c r="AX37" i="1"/>
  <c r="AY37" i="1"/>
  <c r="AZ37" i="1"/>
  <c r="BA37" i="1"/>
  <c r="BB37" i="1"/>
  <c r="BC37" i="1"/>
  <c r="BD37" i="1"/>
  <c r="BE37" i="1"/>
  <c r="BF37" i="1"/>
  <c r="AX36" i="1"/>
  <c r="AY36" i="1"/>
  <c r="AZ36" i="1"/>
  <c r="BA36" i="1"/>
  <c r="BB36" i="1"/>
  <c r="BC36" i="1"/>
  <c r="BD36" i="1"/>
  <c r="BE36" i="1"/>
  <c r="BF36" i="1"/>
  <c r="AV36" i="1"/>
  <c r="AW36" i="1"/>
  <c r="AU37" i="1"/>
  <c r="AU36" i="1"/>
  <c r="AM3" i="1"/>
  <c r="AM4" i="1"/>
  <c r="AM5" i="1"/>
  <c r="AM6" i="1"/>
  <c r="AM7" i="1"/>
  <c r="AM8" i="1"/>
  <c r="AM9" i="1"/>
  <c r="AM10" i="1"/>
  <c r="AM11" i="1"/>
  <c r="AM12" i="1"/>
  <c r="AM13" i="1"/>
  <c r="AM14" i="1"/>
  <c r="AM15" i="1"/>
  <c r="AM16" i="1"/>
  <c r="AM17" i="1"/>
  <c r="AM18" i="1"/>
  <c r="AM19" i="1"/>
  <c r="AM20" i="1"/>
  <c r="AM21" i="1"/>
  <c r="AM22" i="1"/>
  <c r="AM23" i="1"/>
  <c r="AM24" i="1"/>
  <c r="AM25" i="1"/>
  <c r="AM26" i="1"/>
  <c r="AM27" i="1"/>
  <c r="AM28" i="1"/>
  <c r="AM29" i="1"/>
  <c r="AM30" i="1"/>
  <c r="AM31" i="1"/>
  <c r="AM32" i="1"/>
  <c r="AM33" i="1"/>
  <c r="AM34" i="1"/>
  <c r="R3" i="1"/>
  <c r="Q3" i="1" s="1"/>
  <c r="R4" i="1"/>
  <c r="Q4" i="1" s="1"/>
  <c r="R5" i="1"/>
  <c r="Q5" i="1" s="1"/>
  <c r="R6" i="1"/>
  <c r="Q6" i="1" s="1"/>
  <c r="R7" i="1"/>
  <c r="Q7" i="1" s="1"/>
  <c r="R8" i="1"/>
  <c r="Q8" i="1" s="1"/>
  <c r="R9" i="1"/>
  <c r="Q9" i="1" s="1"/>
  <c r="R10" i="1"/>
  <c r="Q10" i="1" s="1"/>
  <c r="R11" i="1"/>
  <c r="Q11" i="1" s="1"/>
  <c r="R12" i="1"/>
  <c r="Q12" i="1" s="1"/>
  <c r="R13" i="1"/>
  <c r="Q13" i="1" s="1"/>
  <c r="R14" i="1"/>
  <c r="Q14" i="1" s="1"/>
  <c r="R15" i="1"/>
  <c r="Q15" i="1" s="1"/>
  <c r="R16" i="1"/>
  <c r="Q16" i="1" s="1"/>
  <c r="R17" i="1"/>
  <c r="Q17" i="1" s="1"/>
  <c r="R18" i="1"/>
  <c r="Q18" i="1" s="1"/>
  <c r="R19" i="1"/>
  <c r="Q19" i="1" s="1"/>
  <c r="R20" i="1"/>
  <c r="Q20" i="1" s="1"/>
  <c r="R21" i="1"/>
  <c r="Q21" i="1" s="1"/>
  <c r="R22" i="1"/>
  <c r="Q22" i="1" s="1"/>
  <c r="R23" i="1"/>
  <c r="Q23" i="1" s="1"/>
  <c r="R24" i="1"/>
  <c r="Q24" i="1" s="1"/>
  <c r="R25" i="1"/>
  <c r="Q25" i="1" s="1"/>
  <c r="R26" i="1"/>
  <c r="Q26" i="1" s="1"/>
  <c r="R27" i="1"/>
  <c r="Q27" i="1" s="1"/>
  <c r="R28" i="1"/>
  <c r="Q28" i="1" s="1"/>
  <c r="R29" i="1"/>
  <c r="Q29" i="1" s="1"/>
  <c r="R30" i="1"/>
  <c r="Q30" i="1" s="1"/>
  <c r="R31" i="1"/>
  <c r="Q31" i="1" s="1"/>
  <c r="R32" i="1"/>
  <c r="Q32" i="1" s="1"/>
  <c r="R33" i="1"/>
  <c r="Q33" i="1" s="1"/>
  <c r="R34" i="1"/>
  <c r="Q34" i="1" s="1"/>
  <c r="J19" i="17" l="1"/>
  <c r="C19" i="17"/>
  <c r="D19" i="17"/>
  <c r="E19" i="17"/>
  <c r="G20" i="17"/>
  <c r="F20" i="17"/>
  <c r="H20" i="17"/>
  <c r="I19" i="17"/>
  <c r="F19" i="17"/>
  <c r="K19" i="17"/>
  <c r="H19" i="17"/>
  <c r="G19" i="17"/>
  <c r="D20" i="17"/>
  <c r="C20" i="17"/>
  <c r="E20" i="17"/>
  <c r="I20" i="17"/>
  <c r="J20" i="17"/>
  <c r="K20" i="17"/>
  <c r="D5" i="13"/>
  <c r="D6" i="13"/>
  <c r="D7" i="13"/>
  <c r="D2" i="13"/>
  <c r="D3" i="13"/>
  <c r="D4" i="13"/>
  <c r="C7" i="15"/>
  <c r="C27" i="15"/>
  <c r="C11" i="15"/>
  <c r="C30" i="15"/>
  <c r="C31" i="15"/>
  <c r="C17" i="15"/>
  <c r="C9" i="15"/>
  <c r="C18" i="15"/>
  <c r="C28" i="15"/>
  <c r="C10" i="15"/>
  <c r="C19" i="15"/>
  <c r="C29" i="15"/>
  <c r="C20" i="15"/>
  <c r="C12" i="15"/>
  <c r="C21" i="15"/>
  <c r="C13" i="15"/>
  <c r="C22" i="15"/>
  <c r="C32" i="15"/>
  <c r="C3" i="15"/>
  <c r="C14" i="15"/>
  <c r="C23" i="15"/>
  <c r="C33" i="15"/>
  <c r="C4" i="15"/>
  <c r="C15" i="15"/>
  <c r="C24" i="15"/>
  <c r="C34" i="15"/>
  <c r="C5" i="15"/>
  <c r="C16" i="15"/>
  <c r="C25" i="15"/>
  <c r="C6" i="15"/>
  <c r="C8" i="15"/>
  <c r="C26" i="15"/>
  <c r="AQ37" i="1"/>
  <c r="AP36" i="1"/>
  <c r="AN36" i="1"/>
  <c r="AP37" i="1"/>
  <c r="AN37" i="1"/>
  <c r="AO37" i="1"/>
  <c r="AQ36" i="1"/>
  <c r="AO36" i="1"/>
  <c r="AM36" i="1"/>
  <c r="AM37" i="1"/>
  <c r="Q36" i="1"/>
  <c r="Q37" i="1"/>
  <c r="R36" i="1"/>
  <c r="R37" i="1"/>
</calcChain>
</file>

<file path=xl/sharedStrings.xml><?xml version="1.0" encoding="utf-8"?>
<sst xmlns="http://schemas.openxmlformats.org/spreadsheetml/2006/main" count="24753" uniqueCount="6725">
  <si>
    <t>Timestamp</t>
  </si>
  <si>
    <t>Participant ID:</t>
  </si>
  <si>
    <t>1- I can always manage to solve difficult problems if I try hard enough.</t>
  </si>
  <si>
    <t>2-  If someone opposes me, I can find the means and ways to get what I want.</t>
  </si>
  <si>
    <t>3-  It is easy for me to stick to my aims and accomplish my goals.</t>
  </si>
  <si>
    <t>4-  I am confident that I could deal efficiently with unexpected events.</t>
  </si>
  <si>
    <t>5- Thanks to my resourcefulness, I know how to handle unforeseen situations.</t>
  </si>
  <si>
    <t>6-  I can solve most problems if I invest the necessary effort.</t>
  </si>
  <si>
    <t>7-  I can remain calm when facing difficulties because I can rely on my coping abilities.</t>
  </si>
  <si>
    <t>8- When I am confronted with a problem, I can usually find several solutions.</t>
  </si>
  <si>
    <t>9- If I am in trouble, I can usually think of a solution.</t>
  </si>
  <si>
    <t>10- I can usually handle whatever comes my way.</t>
  </si>
  <si>
    <t xml:space="preserve">1- I can trust persons and organizations related to development of robots </t>
  </si>
  <si>
    <t xml:space="preserve">2- Persons and organizations related to development of robots will consider the needs, thoughts and feelings of their users </t>
  </si>
  <si>
    <t xml:space="preserve">3- I can trust a robot </t>
  </si>
  <si>
    <t>4- I would feel relaxed talking with a robot</t>
  </si>
  <si>
    <t>5- If robots had emotions, I would be able to be friend with them</t>
  </si>
  <si>
    <t>6- I would feel uneasy if I was given a job where I had to use robots</t>
  </si>
  <si>
    <t>7- I fear that a robot would not understand my commands</t>
  </si>
  <si>
    <t xml:space="preserve">8- Robots scare me </t>
  </si>
  <si>
    <t xml:space="preserve">9- I would feel very nervous just being around a robot </t>
  </si>
  <si>
    <t>10- I don’t want a robot to touch me</t>
  </si>
  <si>
    <t xml:space="preserve">11- Robots are necessary because they can do jobs that are too hard or too dangerous for people </t>
  </si>
  <si>
    <t xml:space="preserve">12- Robots can make life easier </t>
  </si>
  <si>
    <t xml:space="preserve">13- Assigning routine tasks to robots lets people do more meaningful tasks </t>
  </si>
  <si>
    <t xml:space="preserve">14- Dangerous tasks should primarily be given to robots </t>
  </si>
  <si>
    <t>15- Robots are a good thing for society, because they help people</t>
  </si>
  <si>
    <t xml:space="preserve">16- Robots may make us even lazier </t>
  </si>
  <si>
    <t xml:space="preserve">17- Widespread use of robots is going to take away jobs from people </t>
  </si>
  <si>
    <t xml:space="preserve">18- I am afraid that robots will encourage less interaction between humans </t>
  </si>
  <si>
    <t xml:space="preserve">19- Robotics is one of the areas of technology that needs to be closely monitored </t>
  </si>
  <si>
    <t>20- Unregulated use of robotics can lead to societal upheavals</t>
  </si>
  <si>
    <t>Gender</t>
  </si>
  <si>
    <t>Age</t>
  </si>
  <si>
    <t>Have you ever had any experience cooperating or interacting with a robot before this experiment?</t>
  </si>
  <si>
    <t>1- Is the robot’s presence pleasant to you?</t>
  </si>
  <si>
    <t>Male</t>
  </si>
  <si>
    <t>Yes</t>
  </si>
  <si>
    <t>p11</t>
  </si>
  <si>
    <t>Female</t>
  </si>
  <si>
    <t>P12</t>
  </si>
  <si>
    <t>P13</t>
  </si>
  <si>
    <t>P14</t>
  </si>
  <si>
    <t>No</t>
  </si>
  <si>
    <t>P15</t>
  </si>
  <si>
    <t>P16</t>
  </si>
  <si>
    <t>P17</t>
  </si>
  <si>
    <t>P18</t>
  </si>
  <si>
    <t>P10</t>
  </si>
  <si>
    <t>P19</t>
  </si>
  <si>
    <t>P20</t>
  </si>
  <si>
    <t>P21</t>
  </si>
  <si>
    <t>P22</t>
  </si>
  <si>
    <t>P23</t>
  </si>
  <si>
    <t>P25</t>
  </si>
  <si>
    <t>P26</t>
  </si>
  <si>
    <t>P27</t>
  </si>
  <si>
    <t>P28</t>
  </si>
  <si>
    <t>P29</t>
  </si>
  <si>
    <t>P30</t>
  </si>
  <si>
    <t>P31</t>
  </si>
  <si>
    <t>P32</t>
  </si>
  <si>
    <t>P33</t>
  </si>
  <si>
    <t>P34</t>
  </si>
  <si>
    <t>P36</t>
  </si>
  <si>
    <t>P35</t>
  </si>
  <si>
    <t>P24</t>
  </si>
  <si>
    <t>Demographics</t>
  </si>
  <si>
    <t>Self Assesment</t>
  </si>
  <si>
    <t>General Attitude toward robots</t>
  </si>
  <si>
    <t xml:space="preserve">Please indicate the scenario you just completed: </t>
  </si>
  <si>
    <r>
      <t xml:space="preserve">1.)  </t>
    </r>
    <r>
      <rPr>
        <b/>
        <sz val="10"/>
        <color theme="1"/>
        <rFont val="Arial"/>
        <family val="2"/>
      </rPr>
      <t xml:space="preserve">Mental Demand: </t>
    </r>
    <r>
      <rPr>
        <sz val="10"/>
        <color theme="1"/>
        <rFont val="Arial"/>
        <family val="2"/>
      </rPr>
      <t>How much thinking, deciding, or calculating was required to perform the tasks?</t>
    </r>
  </si>
  <si>
    <r>
      <t xml:space="preserve"> 2.)  </t>
    </r>
    <r>
      <rPr>
        <b/>
        <sz val="10"/>
        <color theme="1"/>
        <rFont val="Arial"/>
        <family val="2"/>
      </rPr>
      <t xml:space="preserve">Physical Demand: </t>
    </r>
    <r>
      <rPr>
        <sz val="10"/>
        <color theme="1"/>
        <rFont val="Arial"/>
        <family val="2"/>
      </rPr>
      <t xml:space="preserve">How much physical activity was required to perform the tasks?     </t>
    </r>
  </si>
  <si>
    <r>
      <t xml:space="preserve">3.) </t>
    </r>
    <r>
      <rPr>
        <b/>
        <sz val="10"/>
        <color theme="1"/>
        <rFont val="Arial"/>
        <family val="2"/>
      </rPr>
      <t xml:space="preserve">Temporal Demand: </t>
    </r>
    <r>
      <rPr>
        <sz val="10"/>
        <color theme="1"/>
        <rFont val="Arial"/>
        <family val="2"/>
      </rPr>
      <t>How hurried or rushed was the pace of the tasks?</t>
    </r>
  </si>
  <si>
    <r>
      <t xml:space="preserve">4.)  </t>
    </r>
    <r>
      <rPr>
        <b/>
        <sz val="10"/>
        <color theme="1"/>
        <rFont val="Arial"/>
        <family val="2"/>
      </rPr>
      <t xml:space="preserve">Performance: </t>
    </r>
    <r>
      <rPr>
        <sz val="10"/>
        <color theme="1"/>
        <rFont val="Arial"/>
        <family val="2"/>
      </rPr>
      <t>How successful were you in accomplishing what you were asked to do?</t>
    </r>
  </si>
  <si>
    <r>
      <t>5.)</t>
    </r>
    <r>
      <rPr>
        <b/>
        <sz val="10"/>
        <color theme="1"/>
        <rFont val="Arial"/>
        <family val="2"/>
      </rPr>
      <t xml:space="preserve"> Effort: </t>
    </r>
    <r>
      <rPr>
        <sz val="10"/>
        <color theme="1"/>
        <rFont val="Arial"/>
        <family val="2"/>
      </rPr>
      <t>How hard did you have to work to accomplish and maintain your level of performance?</t>
    </r>
  </si>
  <si>
    <r>
      <t xml:space="preserve">6.) </t>
    </r>
    <r>
      <rPr>
        <b/>
        <sz val="10"/>
        <color theme="1"/>
        <rFont val="Arial"/>
        <family val="2"/>
      </rPr>
      <t xml:space="preserve">Frustration: </t>
    </r>
    <r>
      <rPr>
        <sz val="10"/>
        <color theme="1"/>
        <rFont val="Arial"/>
        <family val="2"/>
      </rPr>
      <t xml:space="preserve">How insecure, discouraged, irritated, stressed, and annoyed were you?     </t>
    </r>
  </si>
  <si>
    <r>
      <t xml:space="preserve">7.) </t>
    </r>
    <r>
      <rPr>
        <b/>
        <sz val="10"/>
        <color theme="1"/>
        <rFont val="Arial"/>
        <family val="2"/>
      </rPr>
      <t>Satisfaction:</t>
    </r>
    <r>
      <rPr>
        <sz val="10"/>
        <color theme="1"/>
        <rFont val="Arial"/>
        <family val="2"/>
      </rPr>
      <t xml:space="preserve"> How satisfied were you with the outcome of the collaboration.</t>
    </r>
  </si>
  <si>
    <r>
      <t xml:space="preserve">8.) </t>
    </r>
    <r>
      <rPr>
        <b/>
        <sz val="10"/>
        <color theme="1"/>
        <rFont val="Arial"/>
        <family val="2"/>
      </rPr>
      <t xml:space="preserve">Fairness: </t>
    </r>
    <r>
      <rPr>
        <sz val="10"/>
        <color theme="1"/>
        <rFont val="Arial"/>
        <family val="2"/>
      </rPr>
      <t xml:space="preserve">How fair do you think your </t>
    </r>
    <r>
      <rPr>
        <b/>
        <sz val="10"/>
        <color theme="1"/>
        <rFont val="Arial"/>
        <family val="2"/>
      </rPr>
      <t>task allocation</t>
    </r>
    <r>
      <rPr>
        <sz val="10"/>
        <color theme="1"/>
        <rFont val="Arial"/>
        <family val="2"/>
      </rPr>
      <t xml:space="preserve"> was? </t>
    </r>
  </si>
  <si>
    <r>
      <t xml:space="preserve">9.) </t>
    </r>
    <r>
      <rPr>
        <b/>
        <sz val="10"/>
        <color theme="1"/>
        <rFont val="Arial"/>
        <family val="2"/>
      </rPr>
      <t>Efficency:</t>
    </r>
    <r>
      <rPr>
        <sz val="10"/>
        <color theme="1"/>
        <rFont val="Arial"/>
        <family val="2"/>
      </rPr>
      <t xml:space="preserve"> How efficient your </t>
    </r>
    <r>
      <rPr>
        <b/>
        <sz val="10"/>
        <color theme="1"/>
        <rFont val="Arial"/>
        <family val="2"/>
      </rPr>
      <t>task allocation</t>
    </r>
    <r>
      <rPr>
        <sz val="10"/>
        <color theme="1"/>
        <rFont val="Arial"/>
        <family val="2"/>
      </rPr>
      <t xml:space="preserve"> was?</t>
    </r>
  </si>
  <si>
    <r>
      <t xml:space="preserve">10.) </t>
    </r>
    <r>
      <rPr>
        <b/>
        <sz val="10"/>
        <color theme="1"/>
        <rFont val="Arial"/>
        <family val="2"/>
      </rPr>
      <t xml:space="preserve">Task Allocation: </t>
    </r>
    <r>
      <rPr>
        <sz val="10"/>
        <color theme="1"/>
        <rFont val="Arial"/>
        <family val="2"/>
      </rPr>
      <t>How satisfied are you with your task allocation?</t>
    </r>
  </si>
  <si>
    <r>
      <t xml:space="preserve">11.) </t>
    </r>
    <r>
      <rPr>
        <b/>
        <sz val="10"/>
        <color theme="1"/>
        <rFont val="Arial"/>
        <family val="2"/>
      </rPr>
      <t>Willingness:</t>
    </r>
    <r>
      <rPr>
        <sz val="10"/>
        <color theme="1"/>
        <rFont val="Arial"/>
        <family val="2"/>
      </rPr>
      <t xml:space="preserve"> Are you willing to collaborate with this robot on more important tasks?</t>
    </r>
  </si>
  <si>
    <r>
      <t xml:space="preserve">12.)  </t>
    </r>
    <r>
      <rPr>
        <b/>
        <sz val="10"/>
        <color theme="1"/>
        <rFont val="Arial"/>
        <family val="2"/>
      </rPr>
      <t xml:space="preserve">Decision-Making: </t>
    </r>
    <r>
      <rPr>
        <sz val="10"/>
        <color theme="1"/>
        <rFont val="Arial"/>
        <family val="2"/>
      </rPr>
      <t>How difficult was it to decide which tasks to assign to yourself versus the robot?</t>
    </r>
  </si>
  <si>
    <t>Without pop-up questions</t>
  </si>
  <si>
    <t>With pop-up questions</t>
  </si>
  <si>
    <t>Please indicate the scenario you just completed:</t>
  </si>
  <si>
    <r>
      <t xml:space="preserve">9.) </t>
    </r>
    <r>
      <rPr>
        <b/>
        <sz val="10"/>
        <color theme="1"/>
        <rFont val="Arial"/>
        <family val="2"/>
      </rPr>
      <t>Efficiency:</t>
    </r>
    <r>
      <rPr>
        <sz val="10"/>
        <color theme="1"/>
        <rFont val="Arial"/>
        <family val="2"/>
      </rPr>
      <t xml:space="preserve"> How efficient your </t>
    </r>
    <r>
      <rPr>
        <b/>
        <sz val="10"/>
        <color theme="1"/>
        <rFont val="Arial"/>
        <family val="2"/>
      </rPr>
      <t>task allocation</t>
    </r>
    <r>
      <rPr>
        <sz val="10"/>
        <color theme="1"/>
        <rFont val="Arial"/>
        <family val="2"/>
      </rPr>
      <t xml:space="preserve"> was?</t>
    </r>
  </si>
  <si>
    <t>1.)  Mental Demand: How much thinking, deciding, or calculating was required to perform the tasks?2</t>
  </si>
  <si>
    <t xml:space="preserve"> 2.)  Physical Demand: How much physical activity was required to perform the tasks?     3</t>
  </si>
  <si>
    <t>3.) Temporal Demand: How hurried or rushed was the pace of the tasks?4</t>
  </si>
  <si>
    <t>4.)  Performance: How successful were you in accomplishing what you were asked to do?5</t>
  </si>
  <si>
    <t>5.) Effort: How hard did you have to work to accomplish and maintain your level of performance?6</t>
  </si>
  <si>
    <t>6.) Frustration: How insecure, discouraged, irritated, stressed, and annoyed were you?     7</t>
  </si>
  <si>
    <t>7.) Satisfaction: How satisfied were you with the outcome of the collaboration.8</t>
  </si>
  <si>
    <t>8.) Fairness: How fair do you think your task allocation was? 9</t>
  </si>
  <si>
    <t>10.) Task Allocation: How satisfied are you with your task allocation?10</t>
  </si>
  <si>
    <t>11.) Willingness: Are you willing to collaborate with this robot on more important tasks?11</t>
  </si>
  <si>
    <t>12.)  Decision-Making: How difficult was it to decide which tasks to assign to yourself versus the robot?12</t>
  </si>
  <si>
    <t>Nasa TLX</t>
  </si>
  <si>
    <t>Nasa TlX</t>
  </si>
  <si>
    <t>what would be the quickest and where I could parallize tasks</t>
  </si>
  <si>
    <t>it is a simple pick and place task</t>
  </si>
  <si>
    <t>no</t>
  </si>
  <si>
    <t>sometimes, but it was on me to find a way to make it balanced</t>
  </si>
  <si>
    <t>yes</t>
  </si>
  <si>
    <t>I felt in control of the robot, since I had to decide the task allocation</t>
  </si>
  <si>
    <t xml:space="preserve">where I could do some work in parallel </t>
  </si>
  <si>
    <t>I would change the order and allocate some more tasks while answering the maths questions, while allocating less when not doing anything else in parallel</t>
  </si>
  <si>
    <t xml:space="preserve">I tried to increase paralleliyation of tasks and to reduce waiting times. The first step I kept to the human in order to maintain control. </t>
  </si>
  <si>
    <t>It is verz capable for pick and place tasks, predictable, but slow.</t>
  </si>
  <si>
    <t>Zes, in reproducing positioned pick and place tasks. For all the rest, I was better.</t>
  </si>
  <si>
    <t>yes, team. I did not wand to stop it and wanted to increase productivitz in the sense of reducing overall process time.</t>
  </si>
  <si>
    <t>speed, spatial position of the building blocks on the board, so that we could work in parallel</t>
  </si>
  <si>
    <t>a little bit as I experienced that the positioning of the robot was verz precise *(good) but also negativelz as there were two collisions at the wheel placement task</t>
  </si>
  <si>
    <t>I would probably keep pretty much the same allocation, perhaps I would play around with some variants to improve the process and to reduce the process time</t>
  </si>
  <si>
    <t xml:space="preserve">Based on buildings, if I have to screw I thought it would make sense to also place the components, to focus on complete buildings, and the cobot can assign in the meantime other buildings. </t>
  </si>
  <si>
    <t>The robot did a good job, sometimes the accuracy was not perfect, but it improved the speed of the whole process</t>
  </si>
  <si>
    <t>I thought we are a team, but I have the possiblity to decide</t>
  </si>
  <si>
    <t>that the robot can only do pick and place tasks and no screwing tasks</t>
  </si>
  <si>
    <t xml:space="preserve">I think in the last version it was a good collaboration, which was also efficient. So I would not reallocate anything. Maybe I would try further combinations to check if there are more efficient ones </t>
  </si>
  <si>
    <t xml:space="preserve">based on the spatial layout of the task such that the robot does not get in my way and by estimating how long the robot will take to do those tasks to avoid either of me or the robot being idle. </t>
  </si>
  <si>
    <t>nothing specific</t>
  </si>
  <si>
    <t>it felt balanced in the last run, because i optimised the allocation strategy and both me and the robot pretty much finished at the exact same time</t>
  </si>
  <si>
    <t>no. elaborate answer - after 1-2 runs i figured out it takes around 6-7 robot actions for me to finish the task. i would not assign more or less because then i would have to wait for the robot to finish</t>
  </si>
  <si>
    <t>i felt like a team when we finished at the same time. But my opinion on this matter is biased based on prior literature on HRI</t>
  </si>
  <si>
    <t>nothing specific - i did not pay attention to the robot much. instead, i focused on the layout</t>
  </si>
  <si>
    <t>i believe i changed the allocation slightly, due to a.) fine tuning the number of actions and how long they take and b.) some things about the task were not that clear and became clearer during the process, so i adapted my strategy</t>
  </si>
  <si>
    <t>nothing specific, i believe after 4 runs i more or less optimised my strategy</t>
  </si>
  <si>
    <t>Based on experienced downtime and perceived bottlenecks</t>
  </si>
  <si>
    <t>It does its job on predetermined coordinates</t>
  </si>
  <si>
    <t>in terms of task load / capacity : sure</t>
  </si>
  <si>
    <t>sure</t>
  </si>
  <si>
    <t>lead</t>
  </si>
  <si>
    <t>downtime</t>
  </si>
  <si>
    <t>sequence of tasks, to minimize downtime</t>
  </si>
  <si>
    <t>Reducing waiting time, Reducing total completion time</t>
  </si>
  <si>
    <t>Not to wait for robot, but whith pop up questions it was much more complicated.</t>
  </si>
  <si>
    <t>It was good, I liked how it was doing dovetail uper parts.</t>
  </si>
  <si>
    <t>No, but when I needed to think for questions it was better.</t>
  </si>
  <si>
    <t>Yes, I feel if I had one more round it could be optimized in both set up.</t>
  </si>
  <si>
    <t xml:space="preserve">Yes, probably doing screw with nuts. </t>
  </si>
  <si>
    <t>more like a team that I needed to adjust my moves to it and when is the optimom time to do the task and not to crash.</t>
  </si>
  <si>
    <t>low pace of robot made me sometimes change the allocations</t>
  </si>
  <si>
    <t>for without question I do wheel myself and second part of bridge and second part of hospital, for with questions just I do the second part of hospital and the rest with robot.</t>
  </si>
  <si>
    <t xml:space="preserve">Reducing waiting time, Workspace layout (how space is divided between me and the robot), Working at a comfortable pace, Robot’s limitations for certain tasks, Let the robot do the work </t>
  </si>
  <si>
    <t>Limitations of the robot</t>
  </si>
  <si>
    <t xml:space="preserve">Quite nice, but hopefully can be do more soon </t>
  </si>
  <si>
    <t>No, it was able to do the simple tasks</t>
  </si>
  <si>
    <t>Yes, seemed good. I let the robot do the collaboration tasks first and then the robot only tasks.</t>
  </si>
  <si>
    <t>Yes, could use time for something else</t>
  </si>
  <si>
    <t>No, he is my work assistant</t>
  </si>
  <si>
    <t>safe time for me</t>
  </si>
  <si>
    <t>First, I thought optimizing the overal performance, then reducing my workload</t>
  </si>
  <si>
    <t xml:space="preserve">I would not reallocate the tasks, but focus on iterative steps on improving the collaboration. I need to understand the capabilities of the robot first, before assigning tasks to it. </t>
  </si>
  <si>
    <t xml:space="preserve">Previous tasks where the human had to do the job, where assiged to the robot, in order to work in parallel. </t>
  </si>
  <si>
    <t>They were sufficient and helpful to work in parallel</t>
  </si>
  <si>
    <t>Not after doing it several times. But untrained for sure at all tasks.</t>
  </si>
  <si>
    <t>It was like working with a partner.</t>
  </si>
  <si>
    <t xml:space="preserve">The certainty of completing the task. Setting the first step so I can build on it and at the same time the robot can do further tasks, where I again can contribute. </t>
  </si>
  <si>
    <t>No. I pro robot</t>
  </si>
  <si>
    <t xml:space="preserve">The last run was perfect for me. The robot first needs to place the buildings where i can work on it. So i never have to wait for the robot. </t>
  </si>
  <si>
    <t>Reducing waiting time, Reducing total completion time, Robot’s limitations for certain tasks</t>
  </si>
  <si>
    <t xml:space="preserve">Based on how fast I vs. the robot would be able to do it. </t>
  </si>
  <si>
    <t xml:space="preserve">Very impresive, although the robot having to go back to its original starting location between tasks might be unefficient in more time sensitive tasks. </t>
  </si>
  <si>
    <t xml:space="preserve">More presiye and less prone to mistakes. While i might knock a building block with my arm while building, the robot does not. </t>
  </si>
  <si>
    <t xml:space="preserve">Yes </t>
  </si>
  <si>
    <t xml:space="preserve">No, I felt the robot was capable enough. </t>
  </si>
  <si>
    <t>Yes, I felt we were a team.</t>
  </si>
  <si>
    <t xml:space="preserve">The speed with which the robot would complete a task and whether or not if the robot was capable of it. </t>
  </si>
  <si>
    <t xml:space="preserve">No. </t>
  </si>
  <si>
    <t xml:space="preserve">I might try to divide the tasks between the robot and myself more to reduce my waiting time while the robot works. </t>
  </si>
  <si>
    <t>Reducing total completion time</t>
  </si>
  <si>
    <t>which is going to be faster</t>
  </si>
  <si>
    <t xml:space="preserve">robot perform really good </t>
  </si>
  <si>
    <t>individually no, maybe robot is better at math</t>
  </si>
  <si>
    <t>im in the lead, i would consider the robot a tool not a team mate</t>
  </si>
  <si>
    <t>what can the robot do whitout stopping.</t>
  </si>
  <si>
    <t>would be interesting to see if the robot can solve the math problems and if i can also allocate the math problems to the robot, what I would choose</t>
  </si>
  <si>
    <t>Reducing waiting time, Reducing total completion time, Workspace layout (how space is divided between me and the robot), Robot’s limitations for certain tasks, My safety (avoiding collisions with the robot)</t>
  </si>
  <si>
    <t>I thought about how I could allocate the tasks, so that I don't sit waiting around for the robot to finish certain tasks</t>
  </si>
  <si>
    <t>very good, it was preciser than I thought and was moving in a sense that I could work around it</t>
  </si>
  <si>
    <t>at the end yes, when I realised which allocation would make more sense</t>
  </si>
  <si>
    <t>Yes definitely</t>
  </si>
  <si>
    <t>I felt like a team, moreso I had the feeling that the robot was the lead and I was assisting it</t>
  </si>
  <si>
    <t>the robot not being able to detect my hand, when working around it</t>
  </si>
  <si>
    <t>not much, I had a good one from the beginning</t>
  </si>
  <si>
    <t>try to make it even more efficient, so I can already place certain building parallel and try to put the screwing parts to the end</t>
  </si>
  <si>
    <t>Reducing waiting time, Reducing total completion time, Workspace layout (how space is divided between me and the robot), Robot’s limitations for certain tasks</t>
  </si>
  <si>
    <t>I tried to maximiye parallel tasks.</t>
  </si>
  <si>
    <t>It would be great if it could do the screw task.</t>
  </si>
  <si>
    <t>zes</t>
  </si>
  <si>
    <t>if it was faster yes.</t>
  </si>
  <si>
    <t>I was the lead.</t>
  </si>
  <si>
    <t>Speed and movement direction.</t>
  </si>
  <si>
    <t>yes when I found out how high it brings the objects. I tried to avoid being on its way by changing task order.</t>
  </si>
  <si>
    <t>I would give the last parts of hostpital to myself because the robot did not align them well.</t>
  </si>
  <si>
    <t>Reducing waiting time, Reducing total completion time, Workspace layout (how space is divided between me and the robot)</t>
  </si>
  <si>
    <t>My goal was to reduce the time for the task. Therefore, I tried to assign task to the robot where I need to do the tasks which the robot cannot perform. Then I had a look at the layout where I need to perform the task to enable work in parallel. And if possible I assigned to to me because I am faster.</t>
  </si>
  <si>
    <t>I did not really consider this because it was already predefined which task the robot can do which tasks the robot cannot do but for example the assempz of the dovetail i take over because at the first place it was not fully assembled. All the other task are very good performed by the robot.</t>
  </si>
  <si>
    <t>I would say not but it was good to have his support at the task to work in parallel.</t>
  </si>
  <si>
    <t>Not always because for example at both round the robot finished already earlier than be which could be more optimized but generally it was a good balance</t>
  </si>
  <si>
    <t>If the movments are faster then probably yes because this is currently from my perspective which makes him slow.</t>
  </si>
  <si>
    <t>I would consider us as a team because we worked together on the project and were successfully.</t>
  </si>
  <si>
    <t>I did not really consider the qualitites of the robot because in the first place I saw the robot is able to do the task good and this supported that I can assign him the available task and do not consider other qualities of the robots.</t>
  </si>
  <si>
    <t>No, I always saw it the way that the robot and I am a team and we are working together on the project to finish it fast..</t>
  </si>
  <si>
    <t>I would better manage it that I and the robot finish at the same time because when the robot is doing nothing at the and it does not really reduce the cycle time. And also consider more the layout because at a run I looked at the wrong workplace because the arranged differently where the robot is comming and then I could not work that in parallel as I wished.</t>
  </si>
  <si>
    <t>Reducing waiting time, Reducing total completion time, My own performance/abilities, Robot’s limitations for certain tasks</t>
  </si>
  <si>
    <t>efficiency</t>
  </si>
  <si>
    <t>very impressive</t>
  </si>
  <si>
    <t>in most of the pick and place tasks the robot is better than myself</t>
  </si>
  <si>
    <t>yes, even though I prefer to hand more of the tasks to the robot</t>
  </si>
  <si>
    <t>yes, certainly</t>
  </si>
  <si>
    <t>it felt like a team working on the same task, because the robot waited for me to complete</t>
  </si>
  <si>
    <t>speed, precision</t>
  </si>
  <si>
    <t>yes. in the beginning I thought about allocating all of the tasks, in the end I figured out that we would be faster if the tasks are distributed more evenly</t>
  </si>
  <si>
    <t>in the long run I would assign more tasks to the robot even though this would mean a slight decrease in productivity overall</t>
  </si>
  <si>
    <t>Reducing waiting time, Reducing total completion time, Workspace layout (how space is divided between me and the robot), My own performance/abilities</t>
  </si>
  <si>
    <t>With the reasons mentioned above and the mock tries before the main experiment.</t>
  </si>
  <si>
    <t>I believe there is room for improvments as in doing more difficults tasks and make the task devition more fair.</t>
  </si>
  <si>
    <t>No, everything could actually be done easily as a human, but in the matter of collaboration, it did help with the time efficiency.</t>
  </si>
  <si>
    <t>the last time yes, but as in fairness of task allocation, I belive it could learn more things to do.</t>
  </si>
  <si>
    <t>Yes definatly.</t>
  </si>
  <si>
    <t>The last round yes I would say. but overall I felt like allocation of the tasks, answering the pop up questions, and also working on the main tasks puts you kinda in a leading position, and also being aware of the position and the doings of the robat.</t>
  </si>
  <si>
    <t>Speed, Movement and positioning</t>
  </si>
  <si>
    <t>Yes, the last round I was happy that i caculated its speed and movement, therefore I felt we were working more as one, rather than just waiting for each other.</t>
  </si>
  <si>
    <t>Nothing really, I feel like I found the best task allocation combination for both of us.</t>
  </si>
  <si>
    <t>Reducing waiting time, Reducing total completion time, Workspace layout (how space is divided between me and the robot), My own performance/abilities, Robot’s limitations for certain tasks</t>
  </si>
  <si>
    <t>I tried to analyze previous experiments to understand robot's and mine bottlenecks and tried to reduce waiting time for both of us and ensure that me and robot finish simultaneously.</t>
  </si>
  <si>
    <t>It was very capable.</t>
  </si>
  <si>
    <t>Yes, in quickly identifying the correct parts which should be placed next.</t>
  </si>
  <si>
    <t>Yes.</t>
  </si>
  <si>
    <t>I felt as a team.</t>
  </si>
  <si>
    <t>Speed of robot (sometimes it was slow in getting parts, and it was quicker to do it myself once a building was "started"). It was also nicer to let robot begin the tasks, because after the first part was placed i knew what to do.</t>
  </si>
  <si>
    <t>Not really.</t>
  </si>
  <si>
    <t>I think my last two strategies were pretty efficient, I would stay with them.</t>
  </si>
  <si>
    <t>I tried to assign as many tasks to the robot as possible</t>
  </si>
  <si>
    <t>It is performing most of its assigned tasks well.</t>
  </si>
  <si>
    <t>Yes, many times the robot finished its assigned before I could finish mine</t>
  </si>
  <si>
    <t>The robot behaves dominant during the task, as it does not wait for the human to finish his or her task to avoid collisions.</t>
  </si>
  <si>
    <t>The amount of tasks it is capable to perform.</t>
  </si>
  <si>
    <t>Yes, I would change the order. So that the human has to wait only as little as possible to start with the tasks assigned.</t>
  </si>
  <si>
    <t>My own performance/abilities, Robot’s limitations for certain tasks, My safety (avoiding collisions with the robot)</t>
  </si>
  <si>
    <t>After experimenting with the robot, I found that for example It woulkd be more efficient for me if I do the Wheel task by myself.</t>
  </si>
  <si>
    <t>I thought it is quite interesting what he is capable of doing and it would make thing more efficient or easy if thez are implementet in some tasks or activities.</t>
  </si>
  <si>
    <t>Not really, I mean I can also place the things in their forms. The Robot also took its time to place the figures and sometimes they are not quite fix placed.</t>
  </si>
  <si>
    <t>Yes, it did. It felt alright, like a team work</t>
  </si>
  <si>
    <t>Sure, I think so.</t>
  </si>
  <si>
    <t>It felt like a teamworked, while I was busy doing some tasks, he managed to do the rest.</t>
  </si>
  <si>
    <t>It was more the position of the Bilduing rather than the Robot capacities. The way he moved also influenced wether I should start with a task or another.</t>
  </si>
  <si>
    <t>No, I think it is useful and could be really nice id in the future could do more things.</t>
  </si>
  <si>
    <t>Mazbe the position of the Wheel and the Hospital. If you want the  robot to do most of the things but zou also want to be readz with your tasks, then you will probablz start with these 2 task, but because they are to aproximated to each other, it is kind of difficult to work wihtout colliding with the robot.</t>
  </si>
  <si>
    <t>Reducing waiting time, Reducing total completion time, Workspace layout (how space is divided between me and the robot), Working at a comfortable pace, Robot’s limitations for certain tasks, My safety (avoiding collisions with the robot)</t>
  </si>
  <si>
    <t>If robot can do the tasks, than assign to robot.</t>
  </si>
  <si>
    <t xml:space="preserve">Supporting task, ex. Holding a block during screwing or putting the blocks on the right place. avoiding colisions with my arms. </t>
  </si>
  <si>
    <t xml:space="preserve">yes, at the beginnig of the expereiment. Because I needed to unterstand the building process and it tooks some time at first. </t>
  </si>
  <si>
    <t xml:space="preserve">yes. There was clear definition of which tasks can be done with robots and human. </t>
  </si>
  <si>
    <t>yes, certainly, ex. Screwing or Cliking (?) of the Snap.</t>
  </si>
  <si>
    <t>I felt I was the lead because I had to controlled and mangend the path of my amrs to avoid a collisions or checked in which stage the robot is working.</t>
  </si>
  <si>
    <t xml:space="preserve">Capability of the Robot - Can robot do this? </t>
  </si>
  <si>
    <t>yes, more positive</t>
  </si>
  <si>
    <t xml:space="preserve">I would rellocate the tasks in the order of the position of the blocks &gt; Robot puts the blocks from front to back so I can screw the Wheel and the hospital without collisions with the robot. </t>
  </si>
  <si>
    <t>more tasks for robot and less for me</t>
  </si>
  <si>
    <t>assign to robot as much as possible</t>
  </si>
  <si>
    <t>safe enough but very slow</t>
  </si>
  <si>
    <t>nope</t>
  </si>
  <si>
    <t>team working: yes, lead robot: so so</t>
  </si>
  <si>
    <t>no specific quality, I prefer to perfom less tasks</t>
  </si>
  <si>
    <t>yes, it executed tasks slowly</t>
  </si>
  <si>
    <t>maybe less tasks to robot</t>
  </si>
  <si>
    <t>I tried to allocate the tasks in a way that both the robot and I had something to do at all times. Usually i did the more complex tasks, while the robot did things where it only had to place the buildings.</t>
  </si>
  <si>
    <t xml:space="preserve">It was capable of everything it was assigned to do, however some things were just faster to do by myself. 
I thought the robot could also to some of the screws but i am aware that this is more complex since it can´t really place the screw and screw it in at the same time. </t>
  </si>
  <si>
    <t>Yes, it was faster at finding the blocks and where to put them. Although i also got faster at it while completing the experiment more often.</t>
  </si>
  <si>
    <t>yes, but i would still want the total time to be minimal so I would take that into consideration</t>
  </si>
  <si>
    <t>The fact that it doesnt do any screwing and, i also tried to the tasks that requires more "complex" movement as these take rather long.</t>
  </si>
  <si>
    <t>Maybe I would place something myself to at the end so i am not watching the robot finsish while doing nothing.</t>
  </si>
  <si>
    <t>Random choice, Reducing waiting time, Robot’s limitations for certain tasks</t>
  </si>
  <si>
    <t>In couple of tasks random, for the others considered waiting time for efficiency</t>
  </si>
  <si>
    <t>Good, just it could be better for putting parts in the places more precisely.</t>
  </si>
  <si>
    <t>Yes, for some parts I was mixing the directions, e.g. hospital. The robots could put it faster than me.</t>
  </si>
  <si>
    <t>Exactly. I allocated some parts to me since I saw that it was more difficult to put it precisely.</t>
  </si>
  <si>
    <t>I can consider. Just I should check afterwards what the robot completed whether it is correct.</t>
  </si>
  <si>
    <t>The interlocking of two parts, e.g. dovetail</t>
  </si>
  <si>
    <t>Yes, I was not sure how we could collaborate together while assembling two pieces together closely like in the hospital part. But surprisingly got used to work with it.</t>
  </si>
  <si>
    <t>I wouldn't work with him on the same task; I would allocate him tasks that I wasn't involved in. This slowed me down more than it should have.</t>
  </si>
  <si>
    <t xml:space="preserve">
When I had the feeling that I could do it faster without stress due to other tasks that I have. So if I had enough time at that point I would rather assign some task to myself.</t>
  </si>
  <si>
    <t>It did everything what it was programmed to do and that was very precise.</t>
  </si>
  <si>
    <t>Not really, but it had more time to do the tasks when I was answering questions. It was nice to split the workload.</t>
  </si>
  <si>
    <t>Yes, because I splitted the workload for my preferences so it feels balanced and fairly splitted.</t>
  </si>
  <si>
    <t>Yes, I would also let him put the screws if he could do it and would not need much longer than me.</t>
  </si>
  <si>
    <t>It felt more like a team, as I gave it nearly all of the tasks it could do.</t>
  </si>
  <si>
    <t>The speed.</t>
  </si>
  <si>
    <t>No, it always did exactly what I told him to do.</t>
  </si>
  <si>
    <t>I would look on the board and try to allocate the tasks in an order, so I will not have to pause my current task because the robot is getting in my way.</t>
  </si>
  <si>
    <t>Reducing waiting time, Reducing total completion time, Working at a comfortable pace, Robot’s limitations for certain tasks</t>
  </si>
  <si>
    <t xml:space="preserve">increasing collaboration by distributing the tasks between me and the robot, taking the time it takes it or me to complete the task as an indicator </t>
  </si>
  <si>
    <t>good for the task</t>
  </si>
  <si>
    <t>not realy, but it was more consistent and did not need to learn the process</t>
  </si>
  <si>
    <t xml:space="preserve">yes, e.g. the screwing </t>
  </si>
  <si>
    <t>when allocating the tasks I felt like the leader, but when working I felt like a team with the robot</t>
  </si>
  <si>
    <t>the speed of the robot</t>
  </si>
  <si>
    <t>slightly to the positive, precision was good.</t>
  </si>
  <si>
    <t>some minor changes for better distribution between me and the robot</t>
  </si>
  <si>
    <t>If I can finish the task before in time so he can start with the following aready, or calculating in some buffer time to answer some questions.</t>
  </si>
  <si>
    <t>He can offload task but cant do them better</t>
  </si>
  <si>
    <t xml:space="preserve">No, he was there to paralellisiese the task while I had to answer questions or so </t>
  </si>
  <si>
    <t>For me yes, but it was not equal for both</t>
  </si>
  <si>
    <t>No he is not more capable</t>
  </si>
  <si>
    <t>I was the lead</t>
  </si>
  <si>
    <t>Speed</t>
  </si>
  <si>
    <t>No everything worked out perfectly</t>
  </si>
  <si>
    <t>Reducing waiting time, Reducing total completion time, Working at a comfortable pace</t>
  </si>
  <si>
    <t>I would rather have the robot complete the whole building by itself than sharing the building with the robot</t>
  </si>
  <si>
    <t>I was precise, one time it didnät fit the block exactly in the correct spot but overall it was capable of completing all tasks</t>
  </si>
  <si>
    <t>at the beginning, I was a bit confused which side should some buildings face and the robot was quicker to put the blocks down correctly</t>
  </si>
  <si>
    <t>yes, depending on the task allocation</t>
  </si>
  <si>
    <t>yes, I would let the robot do everything</t>
  </si>
  <si>
    <t>we were a team</t>
  </si>
  <si>
    <t>the lenght of the performed task, if we had to collaborate on a building, I would put this task as one of the first so then when I have to spend time screwing the screws, the robot could build the blocks themselves</t>
  </si>
  <si>
    <t>I would try to allocate them in a way that the robot is not in my way when Im screwing the screws</t>
  </si>
  <si>
    <t xml:space="preserve">Tried to think about how long it takes me and the robot to complete a task, and then assign the tasks such that we both finish at the same time in the end, maximizing efficiency. </t>
  </si>
  <si>
    <t xml:space="preserve">Something that I forgot to take into account is how precise the robot is, meaning that although it does not move as fast, the movement it does is calculated and does not waste time. </t>
  </si>
  <si>
    <t xml:space="preserve">Maybe sliding the dovetail upper part in, it seemed strangely efficient at that. </t>
  </si>
  <si>
    <t>For the most part, yes.</t>
  </si>
  <si>
    <t>Definitely.</t>
  </si>
  <si>
    <t>I felt like a team, maybe even as if the robot was the lead on some occassions, as it always finished before me.</t>
  </si>
  <si>
    <t>Probably the fact that that it is not able to do the screwing parts.</t>
  </si>
  <si>
    <t xml:space="preserve">It did, in the beginning I did not assign as many tasks to it, as I thought that I will be faster than the robot. By the last experiment I basically almost allocated all the tasks the robot could do to it. </t>
  </si>
  <si>
    <t>I think moving the wheel holder placement higher, as during the last run I was waiting a bit too long for that to be placed. Except that, I believe the allocation was fine.</t>
  </si>
  <si>
    <t>Reducing waiting time, Workspace layout (how space is divided between me and the robot), Robot’s limitations for certain tasks, My safety (avoiding collisions with the robot)</t>
  </si>
  <si>
    <t>Based on the experienced waiting time</t>
  </si>
  <si>
    <t>Keeping the pace. precision</t>
  </si>
  <si>
    <t>Precision of placement, no error in orders</t>
  </si>
  <si>
    <t>yes, we are a team</t>
  </si>
  <si>
    <t>the limitations and the safety in the workspace</t>
  </si>
  <si>
    <t>no, it was positive from beginning</t>
  </si>
  <si>
    <t>The last allocation of tasks was optimal, minimum stall time for me and robot, safety in the mvements</t>
  </si>
  <si>
    <t>Reducing waiting time, Workspace layout (how space is divided between me and the robot), Robot’s limitations for certain tasks</t>
  </si>
  <si>
    <t>Taking into account the pop-up questions helped with the waiting times for the robot, as if timed correctly the questions can basically mask the time spent waiting for the robot to complete its tasks. Otherwise, the robot is fairly slow with picking up and placing the pieces, so complex parts can be shifted to be mostly done by humans, or in the case of the museum, the robot was not properly placing the piece.</t>
  </si>
  <si>
    <t>It is ok, but I would prefer it if it were doing the screwing and detailed tasks like passing the rod through the buildings, as I feel it's were most of the effort is.</t>
  </si>
  <si>
    <t>Somewhat, once the paths of the robot are fixed and well-known it is easier to work around it</t>
  </si>
  <si>
    <t>Definitely, especially for screwing</t>
  </si>
  <si>
    <t>It felt more like the robot was helping me, rather than working together, also because the robot was not getting the pop-up questions</t>
  </si>
  <si>
    <t>Its slowness</t>
  </si>
  <si>
    <t>With the pop-up questions it actually improved a bit, because its slowness was on-par with the context switching for taking care of the pop-up questions</t>
  </si>
  <si>
    <t>I am fairly satisfied with how I placed the tasks for the pop-up questions, so nothing</t>
  </si>
  <si>
    <t>Reducing waiting time, Reducing total completion time, Workspace layout (how space is divided between me and the robot), Working at a comfortable pace, Robot’s limitations for certain tasks</t>
  </si>
  <si>
    <t>I tried to reduce the working time and that the robot and i had the same work load.</t>
  </si>
  <si>
    <t>Faster in placing the pieces correctly than i thougt.</t>
  </si>
  <si>
    <t>The robot doesn´t make mistakes caused by stress and works very constantly.</t>
  </si>
  <si>
    <t>Yes, i would.</t>
  </si>
  <si>
    <t>I think we worked as a team and the robot is a very good support.</t>
  </si>
  <si>
    <t>The robot should do the things he is capable of, the routine work, and i did the things, he couldn´t.</t>
  </si>
  <si>
    <t>Yes, first i was a little bit sceptic, but the robot is work and "emotional" support, makes you feel more productive.</t>
  </si>
  <si>
    <t>I would try to balance the workload more for more effiency, to save time. But if i would work with the robot for 8 hours, i would give the robot more tasks, so i won`t get exhausted.</t>
  </si>
  <si>
    <t>Reducing total completion time, My own performance/abilities, Robot’s limitations for certain tasks</t>
  </si>
  <si>
    <t>most demanding tasks at first, then the robot does the work</t>
  </si>
  <si>
    <t>Very good, but could be quicker</t>
  </si>
  <si>
    <t>yes, team</t>
  </si>
  <si>
    <t>Moving parts to the right place, when it makes the most sense</t>
  </si>
  <si>
    <t>actually nothing</t>
  </si>
  <si>
    <t>I wanted to safe time while using the robot</t>
  </si>
  <si>
    <t>Good for parallel task while I do something else like screwing</t>
  </si>
  <si>
    <t>No. In general I would say he is slower in doing the tasks, therefore I decided at the last round to do a view of the tasks by my one. But it is good to use him for tasks while i do something else (see answer 3)</t>
  </si>
  <si>
    <t>Yeah, if it could save some time for me or if it releaves some stress I would allocate more tasks to him, depending on the use case.</t>
  </si>
  <si>
    <t>I think we were a equal team</t>
  </si>
  <si>
    <t>My allocation decision was not influenced by the qualities of the robot I would say, but rahter on the duration and steps within the task</t>
  </si>
  <si>
    <t>Yeah, I would realocate the order of the tasks to finish even faster</t>
  </si>
  <si>
    <t xml:space="preserve">1- What factors influenced how you assigned tasks between yourself and the robot? (Select all that apply) </t>
  </si>
  <si>
    <t>2- How did you decide whether to assign a task to yourself or the robot?</t>
  </si>
  <si>
    <t>3-  What were your thoughts about the robot’s capabilities?</t>
  </si>
  <si>
    <t>4-  Did you feel the robot was better at any tasks than you?</t>
  </si>
  <si>
    <t>5-  Did the collaboration feel balanced?</t>
  </si>
  <si>
    <t>6- Do you think if the robot was more capable you would allocate more tasks to it?</t>
  </si>
  <si>
    <t>7-  Did you consider yourself and the robot as a team? Or did you feel you are the lead of it?</t>
  </si>
  <si>
    <t>8-  What qualities of the robot influenced your allocation decisions?</t>
  </si>
  <si>
    <t>9- Did your opinion of the robot change during the task?</t>
  </si>
  <si>
    <t>10- If you could reallocate the tasks after this experience, what would you change and why?</t>
  </si>
  <si>
    <t>Post experiment</t>
  </si>
  <si>
    <t>SUM</t>
  </si>
  <si>
    <t>Mean</t>
  </si>
  <si>
    <t>average:</t>
  </si>
  <si>
    <t>SD:</t>
  </si>
  <si>
    <t>Sum( reversed negative values)</t>
  </si>
  <si>
    <t>With Question:</t>
  </si>
  <si>
    <t>Personal positive</t>
  </si>
  <si>
    <t>Personal negative</t>
  </si>
  <si>
    <t>Social Posiitve</t>
  </si>
  <si>
    <t>Social negative</t>
  </si>
  <si>
    <t>2025-08-12 10:43:50.069</t>
  </si>
  <si>
    <t>Task Allocation Changed</t>
  </si>
  <si>
    <t>{'taskId': '5', 'assignedTo': 'Robot', 'sliderValue': 10}</t>
  </si>
  <si>
    <t>2025-08-12 10:43:50.828</t>
  </si>
  <si>
    <t>{'taskId': '6', 'assignedTo': 'Robot', 'sliderValue': 10}</t>
  </si>
  <si>
    <t>2025-08-12 10:43:58.321</t>
  </si>
  <si>
    <t>{'taskId': '14', 'assignedTo': 'Human', 'sliderValue': 0}</t>
  </si>
  <si>
    <t>2025-08-12 10:44:02.984</t>
  </si>
  <si>
    <t>{'taskId': '1', 'assignedTo': 'Robot', 'sliderValue': 10}</t>
  </si>
  <si>
    <t>2025-08-12 10:44:04.183</t>
  </si>
  <si>
    <t>{'taskId': '2', 'assignedTo': 'Robot', 'sliderValue': 10}</t>
  </si>
  <si>
    <t>2025-08-12 10:44:05.248</t>
  </si>
  <si>
    <t>{'taskId': '3', 'assignedTo': 'Robot', 'sliderValue': 10}</t>
  </si>
  <si>
    <t>2025-08-12 10:44:08.467</t>
  </si>
  <si>
    <t>{'taskId': '8', 'assignedTo': 'Human', 'sliderValue': 0}</t>
  </si>
  <si>
    <t>2025-08-12 10:44:09.306</t>
  </si>
  <si>
    <t>{'taskId': '9', 'assignedTo': 'Human', 'sliderValue': 0}</t>
  </si>
  <si>
    <t>2025-08-12 10:44:11.585</t>
  </si>
  <si>
    <t>{'taskId': '10', 'assignedTo': 'Robot', 'sliderValue': 10}</t>
  </si>
  <si>
    <t>2025-08-12 10:44:13.242</t>
  </si>
  <si>
    <t>{'taskId': '12', 'assignedTo': 'Human', 'sliderValue': 0}</t>
  </si>
  <si>
    <t>2025-08-12 10:44:25.889</t>
  </si>
  <si>
    <t>{'taskId': '15', 'assignedTo': 'Robot', 'sliderValue': 10}</t>
  </si>
  <si>
    <t>2025-08-12 10:44:34.010</t>
  </si>
  <si>
    <t>{'taskId': '18', 'assignedTo': 'Robot', 'sliderValue': 9}</t>
  </si>
  <si>
    <t>2025-08-12 10:44:36.016</t>
  </si>
  <si>
    <t>{'taskId': '18', 'assignedTo': 'Robot', 'sliderValue': 10}</t>
  </si>
  <si>
    <t>2025-08-12 10:43:43.800</t>
  </si>
  <si>
    <t>Apply Button Pressed</t>
  </si>
  <si>
    <t>{'taskMode': 'First: Yellow', 'taskOrder': 'Free'}</t>
  </si>
  <si>
    <t>2025-08-12 10:43:44.306</t>
  </si>
  <si>
    <t>Initialize Robot Button Pressed</t>
  </si>
  <si>
    <t>{}</t>
  </si>
  <si>
    <t>2025-08-12 10:44:58.082</t>
  </si>
  <si>
    <t>Start Button Pressed</t>
  </si>
  <si>
    <t>2025-08-12 10:45:05.331</t>
  </si>
  <si>
    <t>Next Button Pressed</t>
  </si>
  <si>
    <t>{'taskId': 'Task_14'}</t>
  </si>
  <si>
    <t>Robot</t>
  </si>
  <si>
    <t>2025-08-12 10:45:15.737</t>
  </si>
  <si>
    <t>Robot Task Completed</t>
  </si>
  <si>
    <t>{'task_name': 'Bridge_triangle_roof', 'urp_name': 'Bridge_triangle_roof'}</t>
  </si>
  <si>
    <t>2025-08-12 10:45:33.435</t>
  </si>
  <si>
    <t>{'task_name': 'Bridge_flat_roof', 'urp_name': 'Bridge_flat_roof'}</t>
  </si>
  <si>
    <t>2025-08-12 10:45:35.196</t>
  </si>
  <si>
    <t>{'taskId': 'Task_7'}</t>
  </si>
  <si>
    <t>2025-08-12 10:45:48.901</t>
  </si>
  <si>
    <t>{'task_name': 'Hospital_base', 'urp_name': 'Hospital_base'}</t>
  </si>
  <si>
    <t>2025-08-12 10:46:03.732</t>
  </si>
  <si>
    <t>{'task_name': 'Hospital_big_top', 'urp_name': 'Hospital_big_top'}</t>
  </si>
  <si>
    <t>2025-08-12 10:46:20.031</t>
  </si>
  <si>
    <t>{'task_name': 'Hospital_small_top', 'urp_name': 'Hospital_small_top'}</t>
  </si>
  <si>
    <t>2025-08-12 10:46:29.978</t>
  </si>
  <si>
    <t>{'taskId': 'Task_4'}</t>
  </si>
  <si>
    <t>2025-08-12 10:46:31.600</t>
  </si>
  <si>
    <t>{'taskId': 'Task_8'}</t>
  </si>
  <si>
    <t>2025-08-12 10:46:32.182</t>
  </si>
  <si>
    <t>{'taskId': 'Task_9'}</t>
  </si>
  <si>
    <t>2025-08-12 10:46:35.499</t>
  </si>
  <si>
    <t>{'task_name': 'Snap_buttom', 'urp_name': 'Snap_buttom'}</t>
  </si>
  <si>
    <t>2025-08-12 10:46:39.779</t>
  </si>
  <si>
    <t>{'taskId': 'Task_16'}</t>
  </si>
  <si>
    <t>2025-08-12 10:46:44.919</t>
  </si>
  <si>
    <t>{'taskId': 'Task_17'}</t>
  </si>
  <si>
    <t>2025-08-12 10:46:52.473</t>
  </si>
  <si>
    <t>{'task_name': 'Wheel_holder', 'urp_name': 'Wheel_holder'}</t>
  </si>
  <si>
    <t>2025-08-12 10:47:13.866</t>
  </si>
  <si>
    <t>{'task_name': 'Museum', 'urp_name': 'Museum'}</t>
  </si>
  <si>
    <t>2025-08-12 10:47:27.736</t>
  </si>
  <si>
    <t>{'taskId': 'Task_11'}</t>
  </si>
  <si>
    <t>2025-08-12 10:47:28.870</t>
  </si>
  <si>
    <t>{'taskId': 'Task_12'}</t>
  </si>
  <si>
    <t>2025-08-12 10:47:30.843</t>
  </si>
  <si>
    <t>{'taskId': 'Task_13'}</t>
  </si>
  <si>
    <t>2025-08-12 10:47:33.090</t>
  </si>
  <si>
    <t>Finish Button Pressed</t>
  </si>
  <si>
    <t>{'taskId': 'Task_19'}</t>
  </si>
  <si>
    <t>2025-08-12 10:47:47.648</t>
  </si>
  <si>
    <t>{'taskMode': 'Second: Orange', 'taskOrder': 'Free'}</t>
  </si>
  <si>
    <t>2025-08-12 10:47:47.720</t>
  </si>
  <si>
    <t>Previous Allocation Loaded</t>
  </si>
  <si>
    <t>{'previousAllocations': [{'name': 'Participant ID', 'assignedTo': 'Unassigned', 'sliderValue': 5}, {'name': 'Allocation Time', 'assignedTo': 'Unassigned', 'sliderValue': 5}, {'name': 'Start Time', 'assignedTo': 'Unassigned', 'sliderValue': 5}, {'name': 'Finish Time', 'assignedTo': 'Unassigned', 'sliderValue': 5}, {'name': 'Hospital_base', 'assignedTo': 'Robot', 'sliderValue': 10}, {'name': 'Hospital_big_top', 'assignedTo': 'Robot', 'sliderValue': 10}, {'name': 'Hospital_small_top', 'assignedTo': 'Robot', 'sliderValue': 10}, {'name': 'Hospital_screws', 'assignedTo': 'Human', 'sliderValue': 0}, {'name': 'Bridge_triangle_roof', 'assignedTo': 'Robot', 'sliderValue': 10}, {'name': 'Bridge_flat_roof', 'assignedTo': 'Robot', 'sliderValue': 10}, {'name': 'Bridge rod placement', 'assignedTo': 'Human', 'sliderValue': 0}, {'name': 'Dovetail_buttom', 'assignedTo': 'Human', 'sliderValue': 0}, {'name': 'Dovetail_top', 'assignedTo': 'Human', 'sliderValue': 0}, {'name': 'Wheel_holder', 'assignedTo': 'Robot', 'sliderValue': 10}, {'name': 'Wheel_holder_screws', 'assignedTo': 'Human', 'sliderValue': 0}, {'name': 'Wheel', 'assignedTo': 'Human', 'sliderValue': 0}, {'name': 'Wheel_screw', 'assignedTo': 'Human', 'sliderValue': 0}, {'name': 'Triangle', 'assignedTo': 'Human', 'sliderValue': 0}, {'name': 'Snap_buttom', 'assignedTo': 'Robot', 'sliderValue': 10}, {'name': 'Snap_middle', 'assignedTo': 'Human', 'sliderValue': 0}, {'name': 'Snap_top', 'assignedTo': 'Human', 'sliderValue': 0}, {'name': 'Museum', 'assignedTo': 'Robot', 'sliderValue': 10}, {'name': 'Inspection', 'assignedTo': 'Human', 'sliderValue': 0}]}</t>
  </si>
  <si>
    <t>2025-08-12 10:48:02.197</t>
  </si>
  <si>
    <t>2025-08-12 10:48:42.955</t>
  </si>
  <si>
    <t>2025-08-12 10:49:02.754</t>
  </si>
  <si>
    <t>2025-08-12 10:49:21.868</t>
  </si>
  <si>
    <t>2025-08-12 10:49:40.263</t>
  </si>
  <si>
    <t>2025-08-12 10:49:47.922</t>
  </si>
  <si>
    <t>2025-08-12 10:49:55.236</t>
  </si>
  <si>
    <t>2025-08-12 10:50:01.549</t>
  </si>
  <si>
    <t>2025-08-12 10:50:16.994</t>
  </si>
  <si>
    <t>2025-08-12 10:50:31.714</t>
  </si>
  <si>
    <t>2025-08-12 10:50:34.408</t>
  </si>
  <si>
    <t>2025-08-12 10:50:37.003</t>
  </si>
  <si>
    <t>2025-08-12 10:50:37.641</t>
  </si>
  <si>
    <t>2025-08-12 10:50:45.765</t>
  </si>
  <si>
    <t>2025-08-12 10:51:00.501</t>
  </si>
  <si>
    <t>2025-08-12 10:51:08.115</t>
  </si>
  <si>
    <t>2025-08-12 10:51:09.924</t>
  </si>
  <si>
    <t>2025-08-12 10:51:36.947</t>
  </si>
  <si>
    <t>2025-08-12 10:51:38.577</t>
  </si>
  <si>
    <t>2025-08-12 10:51:39.201</t>
  </si>
  <si>
    <t>2025-08-12 10:51:39.993</t>
  </si>
  <si>
    <t>2025-08-12 10:55:00.681</t>
  </si>
  <si>
    <t>{'taskMode': 'First: Yellow', 'taskOrder': 'Question'}</t>
  </si>
  <si>
    <t>2025-08-12 10:55:01.194</t>
  </si>
  <si>
    <t>2025-08-12 10:55:14.882</t>
  </si>
  <si>
    <t>{'taskId': '14', 'assignedTo': 'Robot', 'sliderValue': 10}</t>
  </si>
  <si>
    <t>2025-08-12 10:55:14.963</t>
  </si>
  <si>
    <t>2025-08-12 10:55:15.042</t>
  </si>
  <si>
    <t>2025-08-12 10:55:15.133</t>
  </si>
  <si>
    <t>2025-08-12 10:55:19.287</t>
  </si>
  <si>
    <t>2025-08-12 10:55:20.186</t>
  </si>
  <si>
    <t>2025-08-12 10:55:21.873</t>
  </si>
  <si>
    <t>{'taskId': '1', 'assignedTo': 'Human', 'sliderValue': 0}</t>
  </si>
  <si>
    <t>2025-08-12 10:55:22.684</t>
  </si>
  <si>
    <t>{'taskId': '2', 'assignedTo': 'Human', 'sliderValue': 0}</t>
  </si>
  <si>
    <t>2025-08-12 10:55:23.227</t>
  </si>
  <si>
    <t>{'taskId': '3', 'assignedTo': 'Human', 'sliderValue': 0}</t>
  </si>
  <si>
    <t>2025-08-12 10:55:28.721</t>
  </si>
  <si>
    <t>{'taskId': '8', 'assignedTo': 'Robot', 'sliderValue': 10}</t>
  </si>
  <si>
    <t>2025-08-12 10:55:29.959</t>
  </si>
  <si>
    <t>2025-08-12 10:55:33.252</t>
  </si>
  <si>
    <t>{'taskId': '10', 'assignedTo': 'Human', 'sliderValue': 0}</t>
  </si>
  <si>
    <t>2025-08-12 10:55:34.567</t>
  </si>
  <si>
    <t>2025-08-12 10:55:38.809</t>
  </si>
  <si>
    <t>2025-08-12 10:55:59.423</t>
  </si>
  <si>
    <t>{'taskId': '18', 'assignedTo': 'Human', 'sliderValue': 0}</t>
  </si>
  <si>
    <t>2025-08-12 10:56:06.154</t>
  </si>
  <si>
    <t>2025-08-12 10:56:10.456</t>
  </si>
  <si>
    <t>{'taskId': 'Task_10'}</t>
  </si>
  <si>
    <t>2025-08-12 10:56:21.173</t>
  </si>
  <si>
    <t>Question Popup Shown</t>
  </si>
  <si>
    <t>{'question': '√49 = ?'}</t>
  </si>
  <si>
    <t>2025-08-12 10:56:23.094</t>
  </si>
  <si>
    <t>{'task_name': 'Triangle', 'urp_name': 'Triangle'}</t>
  </si>
  <si>
    <t>2025-08-12 10:56:31.508</t>
  </si>
  <si>
    <t>Question Answered</t>
  </si>
  <si>
    <t>{'question': '√49 = ?', 'answer': '7'}</t>
  </si>
  <si>
    <t>2025-08-12 10:56:40.738</t>
  </si>
  <si>
    <t>2025-08-12 10:56:46.517</t>
  </si>
  <si>
    <t>{'question': '15 + 74 - 3 = ?'}</t>
  </si>
  <si>
    <t>2025-08-12 10:56:56.178</t>
  </si>
  <si>
    <t>{'question': '15 + 74 - 3 = ?', 'answer': '86'}</t>
  </si>
  <si>
    <t>2025-08-12 10:56:58.376</t>
  </si>
  <si>
    <t>2025-08-12 10:56:58.481</t>
  </si>
  <si>
    <t>2025-08-12 10:57:02.260</t>
  </si>
  <si>
    <t>2025-08-12 10:57:11.192</t>
  </si>
  <si>
    <t>{'question': '72 ÷ 8 = ?'}</t>
  </si>
  <si>
    <t>2025-08-12 10:57:13.834</t>
  </si>
  <si>
    <t>{'task_name': 'Dovetail_buttom', 'urp_name': 'Dovetail_buttom'}</t>
  </si>
  <si>
    <t>2025-08-12 10:57:27.008</t>
  </si>
  <si>
    <t>{'question': '72 ÷ 8 = ?', 'answer': '9'}</t>
  </si>
  <si>
    <t>Participant ID</t>
  </si>
  <si>
    <t>Time (ms)</t>
  </si>
  <si>
    <t>Time (Readable)</t>
  </si>
  <si>
    <t>Event</t>
  </si>
  <si>
    <t>Details</t>
  </si>
  <si>
    <t>2025-08-12 10:57:28.698</t>
  </si>
  <si>
    <t>2025-08-12 10:57:29.298</t>
  </si>
  <si>
    <t>2025-08-12 10:57:33.038</t>
  </si>
  <si>
    <t>{'taskId': 'Task_1'}</t>
  </si>
  <si>
    <t>2025-08-12 10:57:36.633</t>
  </si>
  <si>
    <t>{'taskId': 'Task_2'}</t>
  </si>
  <si>
    <t>2025-08-12 10:57:39.793</t>
  </si>
  <si>
    <t>{'taskId': 'Task_3'}</t>
  </si>
  <si>
    <t>2025-08-12 10:57:42.012</t>
  </si>
  <si>
    <t>{'question': '125 ÷ 5 = ?'}</t>
  </si>
  <si>
    <t>2025-08-12 10:57:49.209</t>
  </si>
  <si>
    <t>{'question': '125 ÷ 5 = ?', 'answer': '25'}</t>
  </si>
  <si>
    <t>2025-08-12 10:58:04.216</t>
  </si>
  <si>
    <t>{'question': '√81 = ?'}</t>
  </si>
  <si>
    <t>2025-08-12 10:58:07.111</t>
  </si>
  <si>
    <t>{'question': '√81 = ?', 'answer': '9'}</t>
  </si>
  <si>
    <t>2025-08-12 10:58:08.450</t>
  </si>
  <si>
    <t>2025-08-12 10:58:16.018</t>
  </si>
  <si>
    <t>2025-08-12 10:58:21.733</t>
  </si>
  <si>
    <t>2025-08-12 10:58:22.116</t>
  </si>
  <si>
    <t>2025-08-12 10:58:25.150</t>
  </si>
  <si>
    <t>2025-08-12 10:58:27.323</t>
  </si>
  <si>
    <t>2025-08-12 10:58:30.868</t>
  </si>
  <si>
    <t>2025-08-12 10:58:37.693</t>
  </si>
  <si>
    <t>{'taskId': 'Task_18'}</t>
  </si>
  <si>
    <t>2025-08-12 10:58:38.969</t>
  </si>
  <si>
    <t>2025-08-12 10:58:50.075</t>
  </si>
  <si>
    <t>{'taskMode': 'Second: Orange', 'taskOrder': 'Question'}</t>
  </si>
  <si>
    <t>2025-08-12 10:58:50.130</t>
  </si>
  <si>
    <t>{'previousAllocations': [{'name': 'Participant ID', 'assignedTo': 'Unassigned', 'sliderValue': 5}, {'name': 'Allocation Time', 'assignedTo': 'Unassigned', 'sliderValue': 5}, {'name': 'Start Time', 'assignedTo': 'Unassigned', 'sliderValue': 5}, {'name': 'Finish Time', 'assignedTo': 'Unassigned', 'sliderValue': 5}, {'name': 'Hospital_base', 'assignedTo': 'Human', 'sliderValue': 0}, {'name': 'Hospital_big_top', 'assignedTo': 'Human', 'sliderValue': 0}, {'name': 'Hospital_small_top', 'assignedTo': 'Human', 'sliderValue': 0}, {'name': 'Hospital_screws', 'assignedTo': 'Human', 'sliderValue': 0}, {'name': 'Bridge_triangle_roof', 'assignedTo': 'Robot', 'sliderValue': 10}, {'name': 'Bridge_flat_roof', 'assignedTo': 'Robot', 'sliderValue': 10}, {'name': 'Bridge rod placement', 'assignedTo': 'Human', 'sliderValue': 0}, {'name': 'Dovetail_buttom', 'assignedTo': 'Robot', 'sliderValue': 10}, {'name': 'Dovetail_top', 'assignedTo': 'Human', 'sliderValue': 0}, {'name': 'Wheel_holder', 'assignedTo': 'Human', 'sliderValue': 0}, {'name': 'Wheel_holder_screws', 'assignedTo': 'Human', 'sliderValue': 0}, {'name': 'Wheel', 'assignedTo': 'Human', 'sliderValue': 0}, {'name': 'Wheel_screw', 'assignedTo': 'Human', 'sliderValue': 0}, {'name': 'Triangle', 'assignedTo': 'Robot', 'sliderValue': 10}, {'name': 'Snap_buttom', 'assignedTo': 'Robot', 'sliderValue': 10}, {'name': 'Snap_middle', 'assignedTo': 'Human', 'sliderValue': 0}, {'name': 'Snap_top', 'assignedTo': 'Human', 'sliderValue': 0}, {'name': 'Museum', 'assignedTo': 'Human', 'sliderValue': 0}, {'name': 'Inspection', 'assignedTo': 'Human', 'sliderValue': 0}]}</t>
  </si>
  <si>
    <t>2025-08-12 10:59:04.370</t>
  </si>
  <si>
    <t>2025-08-12 10:59:04.446</t>
  </si>
  <si>
    <t>2025-08-12 10:59:04.508</t>
  </si>
  <si>
    <t>2025-08-12 10:59:04.581</t>
  </si>
  <si>
    <t>2025-08-12 10:59:04.635</t>
  </si>
  <si>
    <t>{'taskId': '12', 'assignedTo': 'Robot', 'sliderValue': 10}</t>
  </si>
  <si>
    <t>2025-08-12 10:59:05.484</t>
  </si>
  <si>
    <t>2025-08-12 10:59:13.585</t>
  </si>
  <si>
    <t>2025-08-12 10:59:28.605</t>
  </si>
  <si>
    <t>2025-08-12 10:59:33.356</t>
  </si>
  <si>
    <t>2025-08-12 10:59:35.256</t>
  </si>
  <si>
    <t>2025-08-12 10:59:48.892</t>
  </si>
  <si>
    <t>2025-08-12 10:59:50.263</t>
  </si>
  <si>
    <t>{'question': '35 + 12 - 7= ?'}</t>
  </si>
  <si>
    <t>2025-08-12 11:00:04.340</t>
  </si>
  <si>
    <t>2025-08-12 11:00:06.163</t>
  </si>
  <si>
    <t>{'question': '35 + 12 - 7= ?', 'answer': '40'}</t>
  </si>
  <si>
    <t>2025-08-12 11:00:08.842</t>
  </si>
  <si>
    <t>2025-08-12 11:00:09.795</t>
  </si>
  <si>
    <t>2025-08-12 11:00:11.550</t>
  </si>
  <si>
    <t>2025-08-12 11:00:20.564</t>
  </si>
  <si>
    <t>2025-08-12 11:00:21.164</t>
  </si>
  <si>
    <t>2025-08-12 11:00:23.900</t>
  </si>
  <si>
    <t>2025-08-12 11:00:25.407</t>
  </si>
  <si>
    <t>2025-08-12 11:00:33.750</t>
  </si>
  <si>
    <t>2025-08-12 11:00:38.910</t>
  </si>
  <si>
    <t>2025-08-12 11:00:43.093</t>
  </si>
  <si>
    <t>2025-08-12 11:00:45.072</t>
  </si>
  <si>
    <t>2025-08-12 11:00:58.109</t>
  </si>
  <si>
    <t>2025-08-12 11:01:10.266</t>
  </si>
  <si>
    <t>2025-08-12 11:01:12.001</t>
  </si>
  <si>
    <t>2025-08-12 11:01:25.278</t>
  </si>
  <si>
    <t>{'question': '17 × 3 = ?'}</t>
  </si>
  <si>
    <t>2025-08-12 11:01:30.510</t>
  </si>
  <si>
    <t>{'task_name': 'Wheel', 'urp_name': 'Wheel'}</t>
  </si>
  <si>
    <t>2025-08-12 11:01:39.504</t>
  </si>
  <si>
    <t>{'question': '17 × 3 = ?', 'answer': '51'}</t>
  </si>
  <si>
    <t>2025-08-12 11:01:47.383</t>
  </si>
  <si>
    <t>2025-08-12 11:01:54.517</t>
  </si>
  <si>
    <t>{'question': '72 ÷ 9 = ?'}</t>
  </si>
  <si>
    <t>2025-08-12 11:02:00.483</t>
  </si>
  <si>
    <t>{'question': '72 ÷ 9 = ?', 'answer': '8'}</t>
  </si>
  <si>
    <t>2025-08-12 11:02:01.797</t>
  </si>
  <si>
    <t>2025-08-12 11:02:02.142</t>
  </si>
  <si>
    <t>2025-08-12 11:02:11.969</t>
  </si>
  <si>
    <t>2025-08-12 11:02:12.628</t>
  </si>
  <si>
    <t>2025-08-12 11:02:15.494</t>
  </si>
  <si>
    <t>2025-08-12 11:02:21.562</t>
  </si>
  <si>
    <t>2025-08-12 11:02:22.543</t>
  </si>
  <si>
    <t>2025-08-12 11:02:23.403</t>
  </si>
  <si>
    <t>pilotstudy 1</t>
  </si>
  <si>
    <t>2025-08-12 14:50:05.508</t>
  </si>
  <si>
    <t>2025-08-12 14:50:12.800</t>
  </si>
  <si>
    <t>2025-08-12 14:50:22.788</t>
  </si>
  <si>
    <t>2025-08-12 14:50:32.742</t>
  </si>
  <si>
    <t>2025-08-12 14:50:58.963</t>
  </si>
  <si>
    <t>2025-08-12 14:51:00.874</t>
  </si>
  <si>
    <t>2025-08-12 14:51:01.684</t>
  </si>
  <si>
    <t>2025-08-12 14:51:02.936</t>
  </si>
  <si>
    <t>2025-08-12 14:51:08.224</t>
  </si>
  <si>
    <t>2025-08-12 14:51:10.691</t>
  </si>
  <si>
    <t>2025-08-12 14:51:11.636</t>
  </si>
  <si>
    <t>2025-08-12 14:51:12.944</t>
  </si>
  <si>
    <t>2025-08-12 14:51:15.408</t>
  </si>
  <si>
    <t>2025-08-12 14:51:19.451</t>
  </si>
  <si>
    <t>2025-08-12 14:51:20.748</t>
  </si>
  <si>
    <t>2025-08-12 14:51:24.746</t>
  </si>
  <si>
    <t>2025-08-12 14:51:26.523</t>
  </si>
  <si>
    <t>2025-08-12 14:51:33.169</t>
  </si>
  <si>
    <t>2025-08-12 14:51:43.564</t>
  </si>
  <si>
    <t>2025-08-12 14:51:48.188</t>
  </si>
  <si>
    <t>2025-08-12 14:51:55.819</t>
  </si>
  <si>
    <t>2025-08-12 14:51:59.968</t>
  </si>
  <si>
    <t>2025-08-12 14:52:10.829</t>
  </si>
  <si>
    <t>2025-08-12 14:52:15.916</t>
  </si>
  <si>
    <t>2025-08-12 14:52:16.200</t>
  </si>
  <si>
    <t>2025-08-12 14:52:27.205</t>
  </si>
  <si>
    <t>2025-08-12 14:52:30.918</t>
  </si>
  <si>
    <t>2025-08-12 14:52:33.848</t>
  </si>
  <si>
    <t>2025-08-12 14:52:38.077</t>
  </si>
  <si>
    <t>2025-08-12 14:52:49.307</t>
  </si>
  <si>
    <t>P67</t>
  </si>
  <si>
    <t>P68</t>
  </si>
  <si>
    <t>{'taskId': '6', 'assignedTo': 'Human', 'sliderValue': 0}</t>
  </si>
  <si>
    <t>{'taskId': '9', 'assignedTo': 'Robot', 'sliderValue': 10}</t>
  </si>
  <si>
    <t>{'taskId': '18', 'assignedTo': 'Robot', 'sliderValue': 8}</t>
  </si>
  <si>
    <t>{'question': '15 × 3 = ?'}</t>
  </si>
  <si>
    <t>{'question': '15 × 3 = ?', 'answer': '45'}</t>
  </si>
  <si>
    <t>{'question': '46 + 7 - 5= ?'}</t>
  </si>
  <si>
    <t>{'question': '46 + 7 - 5= ?', 'answer': '48'}</t>
  </si>
  <si>
    <t>2025-08-12 14:52:52.844</t>
  </si>
  <si>
    <t>{'taskId': 'Task_6'}</t>
  </si>
  <si>
    <t>2025-08-12 14:52:53.077</t>
  </si>
  <si>
    <t>2025-08-12 14:52:58.824</t>
  </si>
  <si>
    <t>2025-08-12 14:52:59.610</t>
  </si>
  <si>
    <t>2025-08-12 14:53:06.354</t>
  </si>
  <si>
    <t>{'task_name': 'Dovetail_top', 'urp_name': 'Dovetail_top'}</t>
  </si>
  <si>
    <t>2025-08-12 14:53:06.821</t>
  </si>
  <si>
    <t>2025-08-12 14:53:13.829</t>
  </si>
  <si>
    <t>{'question': '14 + 28 + 2 = ?'}</t>
  </si>
  <si>
    <t>2025-08-12 14:53:20.028</t>
  </si>
  <si>
    <t>{'question': '14 + 28 + 2 = ?', 'answer': '44'}</t>
  </si>
  <si>
    <t>2025-08-12 14:53:23.263</t>
  </si>
  <si>
    <t>2025-08-12 14:53:31.170</t>
  </si>
  <si>
    <t>2025-08-12 14:53:35.042</t>
  </si>
  <si>
    <t>2025-08-12 14:53:38.729</t>
  </si>
  <si>
    <t>2025-08-12 14:53:40.095</t>
  </si>
  <si>
    <t>2025-08-12 14:53:41.296</t>
  </si>
  <si>
    <t>2025-08-12 14:53:55.102</t>
  </si>
  <si>
    <t>2025-08-12 14:54:00.046</t>
  </si>
  <si>
    <t>2025-08-12 14:54:04.742</t>
  </si>
  <si>
    <t>2025-08-12 14:54:11.153</t>
  </si>
  <si>
    <t>2025-08-12 14:54:19.745</t>
  </si>
  <si>
    <t>2025-08-12 14:54:24.050</t>
  </si>
  <si>
    <t>2025-08-12 14:54:25.012</t>
  </si>
  <si>
    <t>2025-08-12 14:54:25.918</t>
  </si>
  <si>
    <t>2025-08-12 14:54:27.854</t>
  </si>
  <si>
    <t>P69</t>
  </si>
  <si>
    <t>2025-08-12 14:54:39.665</t>
  </si>
  <si>
    <t>2025-08-12 14:54:39.744</t>
  </si>
  <si>
    <t>{'previousAllocations': [{'name': 'Participant ID', 'assignedTo': 'Unassigned', 'sliderValue': 5}, {'name': 'Allocation Time', 'assignedTo': 'Unassigned', 'sliderValue': 5}, {'name': 'Start Time', 'assignedTo': 'Unassigned', 'sliderValue': 5}, {'name': 'Finish Time', 'assignedTo': 'Unassigned', 'sliderValue': 5}, {'name': 'Hospital_base', 'assignedTo': 'Human', 'sliderValue': 0}, {'name': 'Hospital_big_top', 'assignedTo': 'Robot', 'sliderValue': 10}, {'name': 'Hospital_small_top', 'assignedTo': 'Robot', 'sliderValue': 10}, {'name': 'Hospital_screws', 'assignedTo': 'Human', 'sliderValue': 0}, {'name': 'Bridge_triangle_roof', 'assignedTo': 'Robot', 'sliderValue': 10}, {'name': 'Bridge_flat_roof', 'assignedTo': 'Human', 'sliderValue': 0}, {'name': 'Bridge rod placement', 'assignedTo': 'Human', 'sliderValue': 0}, {'name': 'Dovetail_buttom', 'assignedTo': 'Robot', 'sliderValue': 10}, {'name': 'Dovetail_top', 'assignedTo': 'Robot', 'sliderValue': 10}, {'name': 'Wheel_holder', 'assignedTo': 'Human', 'sliderValue': 0}, {'name': 'Wheel_holder_screws', 'assignedTo': 'Human', 'sliderValue': 0}, {'name': 'Wheel', 'assignedTo': 'Human', 'sliderValue': 0}, {'name': 'Wheel_screw', 'assignedTo': 'Human', 'sliderValue': 0}, {'name': 'Triangle', 'assignedTo': 'Robot', 'sliderValue': 10}, {'name': 'Snap_buttom', 'assignedTo': 'Robot', 'sliderValue': 10}, {'name': 'Snap_middle', 'assignedTo': 'Human', 'sliderValue': 0}, {'name': 'Snap_top', 'assignedTo': 'Human', 'sliderValue': 0}, {'name': 'Museum', 'assignedTo': 'Robot', 'sliderValue': 10}, {'name': 'Inspection', 'assignedTo': 'Human', 'sliderValue': 0}]}</t>
  </si>
  <si>
    <t>2025-08-12 14:54:40.249</t>
  </si>
  <si>
    <t>2025-08-12 14:54:59.531</t>
  </si>
  <si>
    <t>2025-08-12 14:55:21.693</t>
  </si>
  <si>
    <t>2025-08-12 14:55:27.493</t>
  </si>
  <si>
    <t>2025-08-12 14:55:37.535</t>
  </si>
  <si>
    <t>2025-08-12 14:55:42.514</t>
  </si>
  <si>
    <t>2025-08-12 14:55:51.472</t>
  </si>
  <si>
    <t>2025-08-12 14:55:56.637</t>
  </si>
  <si>
    <t>2025-08-12 14:56:06.478</t>
  </si>
  <si>
    <t>2025-08-12 14:56:11.630</t>
  </si>
  <si>
    <t>2025-08-12 14:56:15.009</t>
  </si>
  <si>
    <t>2025-08-12 14:56:22.674</t>
  </si>
  <si>
    <t>2025-08-12 14:56:26.636</t>
  </si>
  <si>
    <t>2025-08-12 14:56:30.400</t>
  </si>
  <si>
    <t>2025-08-12 14:56:37.283</t>
  </si>
  <si>
    <t>2025-08-12 14:56:46.604</t>
  </si>
  <si>
    <t>2025-08-12 14:56:52.295</t>
  </si>
  <si>
    <t>2025-08-12 14:56:55.528</t>
  </si>
  <si>
    <t>2025-08-12 14:56:56.698</t>
  </si>
  <si>
    <t>2025-08-12 14:56:57.738</t>
  </si>
  <si>
    <t>2025-08-12 14:56:59.696</t>
  </si>
  <si>
    <t>2025-08-12 14:57:04.281</t>
  </si>
  <si>
    <t>2025-08-12 14:57:10.533</t>
  </si>
  <si>
    <t>2025-08-12 14:57:14.310</t>
  </si>
  <si>
    <t>2025-08-12 14:57:15.281</t>
  </si>
  <si>
    <t>2025-08-12 14:57:18.989</t>
  </si>
  <si>
    <t>2025-08-12 14:57:20.541</t>
  </si>
  <si>
    <t>2025-08-12 14:57:29.319</t>
  </si>
  <si>
    <t>2025-08-12 14:57:39.902</t>
  </si>
  <si>
    <t>2025-08-12 14:57:54.905</t>
  </si>
  <si>
    <t>2025-08-12 14:57:59.636</t>
  </si>
  <si>
    <t>2025-08-12 14:58:00.543</t>
  </si>
  <si>
    <t>2025-08-12 14:58:07.611</t>
  </si>
  <si>
    <t>2025-08-12 14:58:14.652</t>
  </si>
  <si>
    <t>2025-08-12 14:58:23.742</t>
  </si>
  <si>
    <t>2025-08-12 14:58:24.908</t>
  </si>
  <si>
    <t>2025-08-12 14:58:37.329</t>
  </si>
  <si>
    <t>2025-08-12 14:58:38.759</t>
  </si>
  <si>
    <t>2025-08-12 14:58:43.211</t>
  </si>
  <si>
    <t>2025-08-12 14:58:44.003</t>
  </si>
  <si>
    <t>2025-08-12 14:58:45.107</t>
  </si>
  <si>
    <t>P70</t>
  </si>
  <si>
    <t>2025-08-12 15:00:31.524</t>
  </si>
  <si>
    <t>2025-08-12 15:00:45.753</t>
  </si>
  <si>
    <t>2025-08-12 15:00:50.398</t>
  </si>
  <si>
    <t>2025-08-12 15:00:51.602</t>
  </si>
  <si>
    <t>2025-08-12 15:00:59.976</t>
  </si>
  <si>
    <t>2025-08-12 15:01:00.876</t>
  </si>
  <si>
    <t>2025-08-12 15:02:30.740</t>
  </si>
  <si>
    <t>{'taskId': '1', 'assignedTo': 'Human', 'sliderValue': 1}</t>
  </si>
  <si>
    <t>2025-08-12 15:02:31.811</t>
  </si>
  <si>
    <t>2025-08-12 15:02:33.123</t>
  </si>
  <si>
    <t>2025-08-12 15:02:33.963</t>
  </si>
  <si>
    <t>2025-08-12 15:02:41.569</t>
  </si>
  <si>
    <t>2025-08-12 15:02:43.055</t>
  </si>
  <si>
    <t>2025-08-12 15:02:49.142</t>
  </si>
  <si>
    <t>2025-08-12 15:02:57.022</t>
  </si>
  <si>
    <t>2025-08-12 15:03:00.662</t>
  </si>
  <si>
    <t>2025-08-12 15:03:04.053</t>
  </si>
  <si>
    <t>{'taskId': '12', 'assignedTo': 'Robot', 'sliderValue': 9}</t>
  </si>
  <si>
    <t>2025-08-12 15:03:05.883</t>
  </si>
  <si>
    <t>2025-08-12 15:03:12.688</t>
  </si>
  <si>
    <t>2025-08-12 15:03:20.691</t>
  </si>
  <si>
    <t>2025-08-12 15:03:35.377</t>
  </si>
  <si>
    <t>2025-08-12 15:03:51.565</t>
  </si>
  <si>
    <t>2025-08-12 15:04:09.139</t>
  </si>
  <si>
    <t>2025-08-12 15:04:26.781</t>
  </si>
  <si>
    <t>2025-08-12 15:04:31.338</t>
  </si>
  <si>
    <t>2025-08-12 15:04:32.830</t>
  </si>
  <si>
    <t>2025-08-12 15:04:37.818</t>
  </si>
  <si>
    <t>2025-08-12 15:04:42.245</t>
  </si>
  <si>
    <t>2025-08-12 15:04:53.058</t>
  </si>
  <si>
    <t>2025-08-12 15:04:59.876</t>
  </si>
  <si>
    <t>2025-08-12 15:05:12.437</t>
  </si>
  <si>
    <t>2025-08-12 15:05:22.212</t>
  </si>
  <si>
    <t>2025-08-12 15:05:47.792</t>
  </si>
  <si>
    <t>2025-08-12 15:05:54.090</t>
  </si>
  <si>
    <t>2025-08-12 15:06:08.339</t>
  </si>
  <si>
    <t>pilotstudy 2</t>
  </si>
  <si>
    <t>pilotstudy 3</t>
  </si>
  <si>
    <t>2025-08-12 15:06:09.065</t>
  </si>
  <si>
    <t>2025-08-12 15:06:09.688</t>
  </si>
  <si>
    <t>2025-08-12 15:06:20.135</t>
  </si>
  <si>
    <t>2025-08-12 15:06:20.842</t>
  </si>
  <si>
    <t>P71</t>
  </si>
  <si>
    <t>2025-08-12 15:06:49.223</t>
  </si>
  <si>
    <t>2025-08-12 15:06:49.311</t>
  </si>
  <si>
    <t>{'previousAllocations': [{'name': 'Participant ID', 'assignedTo': 'Unassigned', 'sliderValue': 5}, {'name': 'Allocation Time', 'assignedTo': 'Unassigned', 'sliderValue': 5}, {'name': 'Start Time', 'assignedTo': 'Unassigned', 'sliderValue': 5}, {'name': 'Finish Time', 'assignedTo': 'Unassigned', 'sliderValue': 5}, {'name': 'Hospital_base', 'assignedTo': 'Human', 'sliderValue': 0}, {'name': 'Hospital_big_top', 'assignedTo': 'Robot', 'sliderValue': 10}, {'name': 'Hospital_small_top', 'assignedTo': 'Robot', 'sliderValue': 10}, {'name': 'Hospital_screws', 'assignedTo': 'Human', 'sliderValue': 0}, {'name': 'Bridge_triangle_roof', 'assignedTo': 'Robot', 'sliderValue': 10}, {'name': 'Bridge_flat_roof', 'assignedTo': 'Robot', 'sliderValue': 10}, {'name': 'Bridge rod placement', 'assignedTo': 'Human', 'sliderValue': 0}, {'name': 'Dovetail_buttom', 'assignedTo': 'Robot', 'sliderValue': 10}, {'name': 'Dovetail_top', 'assignedTo': 'Robot', 'sliderValue': 10}, {'name': 'Wheel_holder', 'assignedTo': 'Human', 'sliderValue': 0}, {'name': 'Wheel_holder_screws', 'assignedTo': 'Human', 'sliderValue': 0}, {'name': 'Wheel', 'assignedTo': 'Robot', 'sliderValue': 10}, {'name': 'Wheel_screw', 'assignedTo': 'Human', 'sliderValue': 0}, {'name': 'Triangle', 'assignedTo': 'Robot', 'sliderValue': 10}, {'name': 'Snap_buttom', 'assignedTo': 'Robot', 'sliderValue': 10}, {'name': 'Snap_middle', 'assignedTo': 'Human', 'sliderValue': 0}, {'name': 'Snap_top', 'assignedTo': 'Human', 'sliderValue': 0}, {'name': 'Museum', 'assignedTo': 'Robot', 'sliderValue': 10}, {'name': 'Inspection', 'assignedTo': 'Human', 'sliderValue': 0}]}</t>
  </si>
  <si>
    <t>2025-08-12 15:07:01.955</t>
  </si>
  <si>
    <t>2025-08-12 15:07:09.252</t>
  </si>
  <si>
    <t>2025-08-12 15:07:18.733</t>
  </si>
  <si>
    <t>2025-08-12 15:07:38.370</t>
  </si>
  <si>
    <t>2025-08-12 15:07:56.750</t>
  </si>
  <si>
    <t>2025-08-12 15:07:59.894</t>
  </si>
  <si>
    <t>2025-08-12 15:08:12.212</t>
  </si>
  <si>
    <t>2025-08-12 15:08:26.978</t>
  </si>
  <si>
    <t>2025-08-12 15:08:29.069</t>
  </si>
  <si>
    <t>2025-08-12 15:08:35.151</t>
  </si>
  <si>
    <t>2025-08-12 15:08:43.190</t>
  </si>
  <si>
    <t>2025-08-12 15:08:53.500</t>
  </si>
  <si>
    <t>2025-08-12 15:09:00.913</t>
  </si>
  <si>
    <t>2025-08-12 15:09:12.705</t>
  </si>
  <si>
    <t>2025-08-12 15:09:35.735</t>
  </si>
  <si>
    <t>2025-08-12 15:09:50.315</t>
  </si>
  <si>
    <t>2025-08-12 15:09:54.669</t>
  </si>
  <si>
    <t>2025-08-12 15:10:00.490</t>
  </si>
  <si>
    <t>2025-08-12 15:10:07.969</t>
  </si>
  <si>
    <t>2025-08-12 15:10:11.611</t>
  </si>
  <si>
    <t>2025-08-12 15:10:25.202</t>
  </si>
  <si>
    <t>2025-08-12 15:10:28.498</t>
  </si>
  <si>
    <t>P167</t>
  </si>
  <si>
    <t>2025-08-18 14:39:08.645</t>
  </si>
  <si>
    <t>2025-08-18 14:39:22.960</t>
  </si>
  <si>
    <t>2025-08-18 14:39:39.732</t>
  </si>
  <si>
    <t>{'taskId': '15', 'assignedTo': 'Human', 'sliderValue': 0}</t>
  </si>
  <si>
    <t>2025-08-18 14:39:44.277</t>
  </si>
  <si>
    <t>2025-08-18 14:39:53.396</t>
  </si>
  <si>
    <t>2025-08-18 14:40:05.374</t>
  </si>
  <si>
    <t>2025-08-18 14:40:06.011</t>
  </si>
  <si>
    <t>2025-08-18 14:40:06.627</t>
  </si>
  <si>
    <t>2025-08-18 14:40:11.142</t>
  </si>
  <si>
    <t>{'taskId': '5', 'assignedTo': 'Human', 'sliderValue': 0}</t>
  </si>
  <si>
    <t>2025-08-18 14:40:11.757</t>
  </si>
  <si>
    <t>2025-08-18 14:40:20.741</t>
  </si>
  <si>
    <t>2025-08-18 14:40:21.808</t>
  </si>
  <si>
    <t>2025-08-18 14:40:42.432</t>
  </si>
  <si>
    <t>2025-08-18 14:40:43.610</t>
  </si>
  <si>
    <t>2025-08-18 14:41:03.665</t>
  </si>
  <si>
    <t>2025-08-18 14:41:19.183</t>
  </si>
  <si>
    <t>2025-08-18 14:41:33.986</t>
  </si>
  <si>
    <t>2025-08-18 14:41:51.374</t>
  </si>
  <si>
    <t>2025-08-18 14:42:00.104</t>
  </si>
  <si>
    <t>2025-08-18 14:42:01.391</t>
  </si>
  <si>
    <t>{'taskId': 'Task_5'}</t>
  </si>
  <si>
    <t>2025-08-18 14:42:02.329</t>
  </si>
  <si>
    <t>2025-08-18 14:42:03.273</t>
  </si>
  <si>
    <t>2025-08-18 14:42:06.880</t>
  </si>
  <si>
    <t>2025-08-18 14:42:08.926</t>
  </si>
  <si>
    <t>2025-08-18 14:42:24.597</t>
  </si>
  <si>
    <t>2025-08-18 14:42:30.495</t>
  </si>
  <si>
    <t>2025-08-18 14:42:31.843</t>
  </si>
  <si>
    <t>2025-08-18 14:42:41.548</t>
  </si>
  <si>
    <t>2025-08-18 14:42:51.924</t>
  </si>
  <si>
    <t>2025-08-18 14:43:01.238</t>
  </si>
  <si>
    <t>{'taskId': 'Task_15'}</t>
  </si>
  <si>
    <t>2025-08-18 14:43:02.130</t>
  </si>
  <si>
    <t>2025-08-18 14:43:02.715</t>
  </si>
  <si>
    <t>2025-08-18 14:43:10.319</t>
  </si>
  <si>
    <t>2025-08-18 14:43:21.506</t>
  </si>
  <si>
    <t>P168</t>
  </si>
  <si>
    <t>2025-08-18 14:43:34.512</t>
  </si>
  <si>
    <t>2025-08-18 14:43:34.615</t>
  </si>
  <si>
    <t>{'previousAllocations': [{'name': 'Participant ID', 'assignedTo': 'Unassigned', 'sliderValue': 5}, {'name': 'Allocation Time', 'assignedTo': 'Unassigned', 'sliderValue': 5}, {'name': 'Start Time', 'assignedTo': 'Unassigned', 'sliderValue': 5}, {'name': 'Finish Time', 'assignedTo': 'Unassigned', 'sliderValue': 5}, {'name': 'Hospital_base', 'assignedTo': 'Robot', 'sliderValue': 10}, {'name': 'Hospital_big_top', 'assignedTo': 'Robot', 'sliderValue': 10}, {'name': 'Hospital_small_top', 'assignedTo': 'Robot', 'sliderValue': 10}, {'name': 'Hospital_screws', 'assignedTo': 'Human', 'sliderValue': 0}, {'name': 'Bridge_triangle_roof', 'assignedTo': 'Human', 'sliderValue': 0}, {'name': 'Bridge_flat_roof', 'assignedTo': 'Human', 'sliderValue': 0}, {'name': 'Bridge rod placement', 'assignedTo': 'Human', 'sliderValue': 0}, {'name': 'Dovetail_buttom', 'assignedTo': 'Robot', 'sliderValue': 10}, {'name': 'Dovetail_top', 'assignedTo': 'Robot', 'sliderValue': 10}, {'name': 'Wheel_holder', 'assignedTo': 'Human', 'sliderValue': 0}, {'name': 'Wheel_holder_screws', 'assignedTo': 'Human', 'sliderValue': 0}, {'name': 'Wheel', 'assignedTo': 'Human', 'sliderValue': 0}, {'name': 'Wheel_screw', 'assignedTo': 'Human', 'sliderValue': 0}, {'name': 'Triangle', 'assignedTo': 'Robot', 'sliderValue': 10}, {'name': 'Snap_buttom', 'assignedTo': 'Human', 'sliderValue': 0}, {'name': 'Snap_middle', 'assignedTo': 'Human', 'sliderValue': 0}, {'name': 'Snap_top', 'assignedTo': 'Human', 'sliderValue': 0}, {'name': 'Museum', 'assignedTo': 'Human', 'sliderValue': 0}, {'name': 'Inspection', 'assignedTo': 'Human', 'sliderValue': 0}]}</t>
  </si>
  <si>
    <t>2025-08-18 14:43:35.117</t>
  </si>
  <si>
    <t>2025-08-18 14:44:00.643</t>
  </si>
  <si>
    <t>2025-08-18 14:44:02.375</t>
  </si>
  <si>
    <t>2025-08-18 14:44:06.274</t>
  </si>
  <si>
    <t>2025-08-18 14:44:26.081</t>
  </si>
  <si>
    <t>2025-08-18 14:44:45.314</t>
  </si>
  <si>
    <t>2025-08-18 14:45:03.765</t>
  </si>
  <si>
    <t>2025-08-18 14:45:12.498</t>
  </si>
  <si>
    <t>2025-08-18 14:45:13.189</t>
  </si>
  <si>
    <t>2025-08-18 14:45:14.121</t>
  </si>
  <si>
    <t>2025-08-18 14:45:20.041</t>
  </si>
  <si>
    <t>2025-08-18 14:45:21.733</t>
  </si>
  <si>
    <t>2025-08-18 14:45:30.995</t>
  </si>
  <si>
    <t>2025-08-18 14:45:37.839</t>
  </si>
  <si>
    <t>2025-08-18 14:45:44.668</t>
  </si>
  <si>
    <t>2025-08-18 14:45:46.025</t>
  </si>
  <si>
    <t>2025-08-18 14:45:46.558</t>
  </si>
  <si>
    <t>2025-08-18 14:45:54.806</t>
  </si>
  <si>
    <t>2025-08-18 14:46:09.525</t>
  </si>
  <si>
    <t>2025-08-18 14:46:11.324</t>
  </si>
  <si>
    <t>2025-08-18 14:46:18.768</t>
  </si>
  <si>
    <t>2025-08-18 14:46:30.901</t>
  </si>
  <si>
    <t>2025-08-18 14:47:20.450</t>
  </si>
  <si>
    <t>P169</t>
  </si>
  <si>
    <t>2025-08-18 14:49:19.030</t>
  </si>
  <si>
    <t>2025-08-18 14:49:33.451</t>
  </si>
  <si>
    <t>2025-08-18 14:49:37.497</t>
  </si>
  <si>
    <t>2025-08-18 14:49:43.342</t>
  </si>
  <si>
    <t>2025-08-18 14:50:16.139</t>
  </si>
  <si>
    <t>2025-08-18 14:50:16.789</t>
  </si>
  <si>
    <t>2025-08-18 14:50:24.506</t>
  </si>
  <si>
    <t>2025-08-18 14:50:25.149</t>
  </si>
  <si>
    <t>2025-08-18 14:50:25.697</t>
  </si>
  <si>
    <t>2025-08-18 14:50:27.167</t>
  </si>
  <si>
    <t>2025-08-18 14:50:27.841</t>
  </si>
  <si>
    <t>2025-08-18 14:50:34.112</t>
  </si>
  <si>
    <t>2025-08-18 14:50:34.974</t>
  </si>
  <si>
    <t>2025-08-18 14:50:46.460</t>
  </si>
  <si>
    <t>2025-08-18 14:50:48.984</t>
  </si>
  <si>
    <t>2025-08-18 14:50:50.510</t>
  </si>
  <si>
    <t>2025-08-18 14:50:51.942</t>
  </si>
  <si>
    <t>2025-08-18 14:50:55.074</t>
  </si>
  <si>
    <t>2025-08-18 14:51:02.877</t>
  </si>
  <si>
    <t>2025-08-18 14:51:17.905</t>
  </si>
  <si>
    <t>2025-08-18 14:51:21.225</t>
  </si>
  <si>
    <t>2025-08-18 14:51:30.274</t>
  </si>
  <si>
    <t>2025-08-18 14:51:34.391</t>
  </si>
  <si>
    <t>2025-08-18 14:51:35.020</t>
  </si>
  <si>
    <t>2025-08-18 14:51:35.566</t>
  </si>
  <si>
    <t>2025-08-18 14:51:36.517</t>
  </si>
  <si>
    <t>2025-08-18 14:51:38.182</t>
  </si>
  <si>
    <t>2025-08-18 14:51:45.281</t>
  </si>
  <si>
    <t>2025-08-18 14:51:53.128</t>
  </si>
  <si>
    <t>2025-08-18 14:51:53.721</t>
  </si>
  <si>
    <t>2025-08-18 14:51:54.423</t>
  </si>
  <si>
    <t>2025-08-18 14:51:57.094</t>
  </si>
  <si>
    <t>2025-08-18 14:51:58.676</t>
  </si>
  <si>
    <t>2025-08-18 14:52:08.146</t>
  </si>
  <si>
    <t>2025-08-18 14:52:10.664</t>
  </si>
  <si>
    <t>2025-08-18 14:52:17.323</t>
  </si>
  <si>
    <t>2025-08-18 14:52:27.590</t>
  </si>
  <si>
    <t>2025-08-18 14:52:32.326</t>
  </si>
  <si>
    <t>2025-08-18 14:52:37.317</t>
  </si>
  <si>
    <t>2025-08-18 14:52:38.203</t>
  </si>
  <si>
    <t>2025-08-18 14:52:39.297</t>
  </si>
  <si>
    <t>2025-08-18 14:52:43.133</t>
  </si>
  <si>
    <t>2025-08-18 14:52:44.096</t>
  </si>
  <si>
    <t>2025-08-18 14:52:45.671</t>
  </si>
  <si>
    <t>2025-08-18 14:52:52.334</t>
  </si>
  <si>
    <t>2025-08-18 14:53:03.616</t>
  </si>
  <si>
    <t>2025-08-18 14:53:04.450</t>
  </si>
  <si>
    <t>2025-08-18 14:53:10.181</t>
  </si>
  <si>
    <t>P170</t>
  </si>
  <si>
    <t>2025-08-18 14:53:21.376</t>
  </si>
  <si>
    <t>2025-08-18 14:53:21.471</t>
  </si>
  <si>
    <t>{'previousAllocations': [{'name': 'Participant ID', 'assignedTo': 'Unassigned', 'sliderValue': 5}, {'name': 'Allocation Time', 'assignedTo': 'Unassigned', 'sliderValue': 5}, {'name': 'Start Time', 'assignedTo': 'Unassigned', 'sliderValue': 5}, {'name': 'Finish Time', 'assignedTo': 'Unassigned', 'sliderValue': 5}, {'name': 'Hospital_base', 'assignedTo': 'Human', 'sliderValue': 0}, {'name': 'Hospital_big_top', 'assignedTo': 'Human', 'sliderValue': 0}, {'name': 'Hospital_small_top', 'assignedTo': 'Human', 'sliderValue': 0}, {'name': 'Hospital_screws', 'assignedTo': 'Human', 'sliderValue': 0}, {'name': 'Bridge_triangle_roof', 'assignedTo': 'Robot', 'sliderValue': 10}, {'name': 'Bridge_flat_roof', 'assignedTo': 'Robot', 'sliderValue': 10}, {'name': 'Bridge rod placement', 'assignedTo': 'Human', 'sliderValue': 0}, {'name': 'Dovetail_buttom', 'assignedTo': 'Robot', 'sliderValue': 10}, {'name': 'Dovetail_top', 'assignedTo': 'Robot', 'sliderValue': 10}, {'name': 'Wheel_holder', 'assignedTo': 'Human', 'sliderValue': 0}, {'name': 'Wheel_holder_screws', 'assignedTo': 'Human', 'sliderValue': 0}, {'name': 'Wheel', 'assignedTo': 'Human', 'sliderValue': 0}, {'name': 'Wheel_screw', 'assignedTo': 'Human', 'sliderValue': 0}, {'name': 'Triangle', 'assignedTo': 'Robot', 'sliderValue': 10}, {'name': 'Snap_buttom', 'assignedTo': 'Robot', 'sliderValue': 10}, {'name': 'Snap_middle', 'assignedTo': 'Human', 'sliderValue': 0}, {'name': 'Snap_top', 'assignedTo': 'Human', 'sliderValue': 0}, {'name': 'Museum', 'assignedTo': 'Robot', 'sliderValue': 10}, {'name': 'Inspection', 'assignedTo': 'Human', 'sliderValue': 0}]}</t>
  </si>
  <si>
    <t>2025-08-18 14:53:35.844</t>
  </si>
  <si>
    <t>2025-08-18 14:53:40.755</t>
  </si>
  <si>
    <t>2025-08-18 14:53:55.777</t>
  </si>
  <si>
    <t>2025-08-18 14:53:56.187</t>
  </si>
  <si>
    <t>2025-08-18 14:54:08.515</t>
  </si>
  <si>
    <t>2025-08-18 14:54:11.662</t>
  </si>
  <si>
    <t>2025-08-18 14:54:13.285</t>
  </si>
  <si>
    <t>2025-08-18 14:54:13.725</t>
  </si>
  <si>
    <t>2025-08-18 14:54:14.575</t>
  </si>
  <si>
    <t>2025-08-18 14:54:15.096</t>
  </si>
  <si>
    <t>2025-08-18 14:54:16.341</t>
  </si>
  <si>
    <t>2025-08-18 14:54:23.519</t>
  </si>
  <si>
    <t>2025-08-18 14:54:27.890</t>
  </si>
  <si>
    <t>2025-08-18 14:54:30.962</t>
  </si>
  <si>
    <t>2025-08-18 14:54:36.105</t>
  </si>
  <si>
    <t>2025-08-18 14:54:45.653</t>
  </si>
  <si>
    <t>2025-08-18 14:54:45.978</t>
  </si>
  <si>
    <t>2025-08-18 14:54:53.893</t>
  </si>
  <si>
    <t>2025-08-18 14:54:54.984</t>
  </si>
  <si>
    <t>2025-08-18 14:54:55.519</t>
  </si>
  <si>
    <t>2025-08-18 14:54:58.056</t>
  </si>
  <si>
    <t>2025-08-18 14:55:02.572</t>
  </si>
  <si>
    <t>2025-08-18 14:55:08.895</t>
  </si>
  <si>
    <t>{'question': '5 × 25 = ?'}</t>
  </si>
  <si>
    <t>2025-08-18 14:55:16.738</t>
  </si>
  <si>
    <t>{'question': '5 × 25 = ?', 'answer': '125'}</t>
  </si>
  <si>
    <t>2025-08-18 14:55:17.329</t>
  </si>
  <si>
    <t>2025-08-18 14:55:22.365</t>
  </si>
  <si>
    <t>2025-08-18 14:55:26.361</t>
  </si>
  <si>
    <t>2025-08-18 14:55:31.750</t>
  </si>
  <si>
    <t>2025-08-18 14:55:37.731</t>
  </si>
  <si>
    <t>2025-08-18 14:55:38.706</t>
  </si>
  <si>
    <t>2025-08-18 14:55:50.030</t>
  </si>
  <si>
    <t>pilotstudy 4</t>
  </si>
  <si>
    <t>P175</t>
  </si>
  <si>
    <t>2025-08-18 15:32:43.642</t>
  </si>
  <si>
    <t>2025-08-18 15:32:44.156</t>
  </si>
  <si>
    <t>2025-08-18 15:36:03.718</t>
  </si>
  <si>
    <t>{'taskId': '5', 'assignedTo': 'Robot', 'sliderValue': 6}</t>
  </si>
  <si>
    <t>2025-08-18 15:36:03.792</t>
  </si>
  <si>
    <t>{'taskId': '5', 'assignedTo': 'Robot', 'sliderValue': 7}</t>
  </si>
  <si>
    <t>2025-08-18 15:36:03.863</t>
  </si>
  <si>
    <t>{'taskId': '5', 'assignedTo': 'Robot', 'sliderValue': 8}</t>
  </si>
  <si>
    <t>2025-08-18 15:36:03.949</t>
  </si>
  <si>
    <t>2025-08-18 15:36:04.032</t>
  </si>
  <si>
    <t>2025-08-18 15:36:04.114</t>
  </si>
  <si>
    <t>2025-08-18 15:36:04.180</t>
  </si>
  <si>
    <t>2025-08-18 15:36:04.240</t>
  </si>
  <si>
    <t>2025-08-18 15:36:04.309</t>
  </si>
  <si>
    <t>2025-08-18 15:36:04.381</t>
  </si>
  <si>
    <t>2025-08-18 15:36:04.455</t>
  </si>
  <si>
    <t>2025-08-18 15:36:04.503</t>
  </si>
  <si>
    <t>2025-08-18 15:36:05.085</t>
  </si>
  <si>
    <t>{'taskId': '5', 'assignedTo': 'Robot', 'sliderValue': 9}</t>
  </si>
  <si>
    <t>2025-08-18 15:36:05.498</t>
  </si>
  <si>
    <t>2025-08-18 15:36:06.728</t>
  </si>
  <si>
    <t>2025-08-18 15:36:08.024</t>
  </si>
  <si>
    <t>2025-08-18 15:36:30.300</t>
  </si>
  <si>
    <t>2025-08-18 15:36:34.074</t>
  </si>
  <si>
    <t>2025-08-18 15:36:43.538</t>
  </si>
  <si>
    <t>2025-08-18 15:36:44.100</t>
  </si>
  <si>
    <t>2025-08-18 15:36:44.572</t>
  </si>
  <si>
    <t>2025-08-18 15:37:12.737</t>
  </si>
  <si>
    <t>2025-08-18 15:37:13.458</t>
  </si>
  <si>
    <t>2025-08-18 15:37:25.260</t>
  </si>
  <si>
    <t>2025-08-18 15:37:26.506</t>
  </si>
  <si>
    <t>2025-08-18 15:38:06.692</t>
  </si>
  <si>
    <t>2025-08-18 15:38:21.725</t>
  </si>
  <si>
    <t>{'question': '12 + 7 - 5= ?'}</t>
  </si>
  <si>
    <t>2025-08-18 15:38:22.167</t>
  </si>
  <si>
    <t>2025-08-18 15:38:32.570</t>
  </si>
  <si>
    <t>{'question': '12 + 7 - 5= ?', 'answer': '14'}</t>
  </si>
  <si>
    <t>2025-08-18 15:38:39.148</t>
  </si>
  <si>
    <t>2025-08-18 15:38:47.575</t>
  </si>
  <si>
    <t>2025-08-18 15:38:56.841</t>
  </si>
  <si>
    <t>2025-08-18 15:39:04.093</t>
  </si>
  <si>
    <t>2025-08-18 15:39:08.013</t>
  </si>
  <si>
    <t>2025-08-18 15:39:08.371</t>
  </si>
  <si>
    <t>2025-08-18 15:39:08.824</t>
  </si>
  <si>
    <t>2025-08-18 15:39:09.324</t>
  </si>
  <si>
    <t>2025-08-18 15:39:13.866</t>
  </si>
  <si>
    <t>2025-08-18 15:39:18.955</t>
  </si>
  <si>
    <t>2025-08-18 15:39:19.105</t>
  </si>
  <si>
    <t>2025-08-18 15:39:23.210</t>
  </si>
  <si>
    <t>2025-08-18 15:39:29.362</t>
  </si>
  <si>
    <t>2025-08-18 15:39:35.568</t>
  </si>
  <si>
    <t>2025-08-18 15:39:38.020</t>
  </si>
  <si>
    <t>2025-08-18 15:39:38.219</t>
  </si>
  <si>
    <t>2025-08-18 15:39:43.207</t>
  </si>
  <si>
    <t>2025-08-18 15:39:58.215</t>
  </si>
  <si>
    <t>2025-08-18 15:40:41.050</t>
  </si>
  <si>
    <t>2025-08-18 15:40:43.680</t>
  </si>
  <si>
    <t>2025-08-18 15:40:43.911</t>
  </si>
  <si>
    <t>2025-08-18 15:40:44.488</t>
  </si>
  <si>
    <t>2025-08-18 15:40:44.900</t>
  </si>
  <si>
    <t>2025-08-18 15:40:45.194</t>
  </si>
  <si>
    <t>2025-08-18 15:40:45.622</t>
  </si>
  <si>
    <t>2025-08-18 15:40:46.365</t>
  </si>
  <si>
    <t>P176</t>
  </si>
  <si>
    <t>2025-08-18 15:40:59.298</t>
  </si>
  <si>
    <t>2025-08-18 15:40:59.389</t>
  </si>
  <si>
    <t>{'previousAllocations': [{'name': 'Participant ID', 'assignedTo': 'Unassigned', 'sliderValue': 5}, {'name': 'Allocation Time', 'assignedTo': 'Unassigned', 'sliderValue': 5}, {'name': 'Start Time', 'assignedTo': 'Unassigned', 'sliderValue': 5}, {'name': 'Finish Time', 'assignedTo': 'Unassigned', 'sliderValue': 5}, {'name': 'Hospital_base', 'assignedTo': 'Human', 'sliderValue': 0}, {'name': 'Hospital_big_top', 'assignedTo': 'Human', 'sliderValue': 0}, {'name': 'Hospital_small_top', 'assignedTo': 'Human', 'sliderValue': 0}, {'name': 'Hospital_screws', 'assignedTo': 'Human', 'sliderValue': 0}, {'name': 'Bridge_triangle_roof', 'assignedTo': 'Robot', 'sliderValue': 10}, {'name': 'Bridge_flat_roof', 'assignedTo': 'Robot', 'sliderValue': 10}, {'name': 'Bridge rod placement', 'assignedTo': 'Human', 'sliderValue': 0}, {'name': 'Dovetail_buttom', 'assignedTo': 'Robot', 'sliderValue': 10}, {'name': 'Dovetail_top', 'assignedTo': 'Robot', 'sliderValue': 10}, {'name': 'Wheel_holder', 'assignedTo': 'Human', 'sliderValue': 0}, {'name': 'Wheel_holder_screws', 'assignedTo': 'Human', 'sliderValue': 0}, {'name': 'Wheel', 'assignedTo': 'Human', 'sliderValue': 0}, {'name': 'Wheel_screw', 'assignedTo': 'Human', 'sliderValue': 0}, {'name': 'Triangle', 'assignedTo': 'Human', 'sliderValue': 0}, {'name': 'Snap_buttom', 'assignedTo': 'Robot', 'sliderValue': 10}, {'name': 'Snap_middle', 'assignedTo': 'Human', 'sliderValue': 0}, {'name': 'Snap_top', 'assignedTo': 'Human', 'sliderValue': 0}, {'name': 'Museum', 'assignedTo': 'Human', 'sliderValue': 0}, {'name': 'Inspection', 'assignedTo': 'Human', 'sliderValue': 0}]}</t>
  </si>
  <si>
    <t>2025-08-18 15:41:13.555</t>
  </si>
  <si>
    <t>2025-08-18 15:41:47.706</t>
  </si>
  <si>
    <t>2025-08-18 15:41:57.881</t>
  </si>
  <si>
    <t>2025-08-18 15:42:09.522</t>
  </si>
  <si>
    <t>2025-08-18 15:42:24.541</t>
  </si>
  <si>
    <t>2025-08-18 15:42:25.022</t>
  </si>
  <si>
    <t>2025-08-18 15:42:40.540</t>
  </si>
  <si>
    <t>2025-08-18 15:42:56.786</t>
  </si>
  <si>
    <t>2025-08-18 15:43:06.675</t>
  </si>
  <si>
    <t>2025-08-18 15:43:14.471</t>
  </si>
  <si>
    <t>2025-08-18 15:43:21.683</t>
  </si>
  <si>
    <t>2025-08-18 15:43:29.268</t>
  </si>
  <si>
    <t>2025-08-18 15:43:37.989</t>
  </si>
  <si>
    <t>2025-08-18 15:43:40.203</t>
  </si>
  <si>
    <t>2025-08-18 15:43:40.791</t>
  </si>
  <si>
    <t>2025-08-18 15:43:41.360</t>
  </si>
  <si>
    <t>2025-08-18 15:43:41.976</t>
  </si>
  <si>
    <t>2025-08-18 15:43:43.632</t>
  </si>
  <si>
    <t>2025-08-18 15:43:47.138</t>
  </si>
  <si>
    <t>2025-08-18 15:43:53.000</t>
  </si>
  <si>
    <t>2025-08-18 15:44:05.179</t>
  </si>
  <si>
    <t>2025-08-18 15:44:19.975</t>
  </si>
  <si>
    <t>2025-08-18 15:44:56.554</t>
  </si>
  <si>
    <t>2025-08-18 15:44:58.439</t>
  </si>
  <si>
    <t>2025-08-18 15:44:58.702</t>
  </si>
  <si>
    <t>2025-08-18 15:44:59.032</t>
  </si>
  <si>
    <t>2025-08-18 15:44:59.393</t>
  </si>
  <si>
    <t>2025-08-18 15:45:00.007</t>
  </si>
  <si>
    <t>2025-08-18 15:45:00.588</t>
  </si>
  <si>
    <t>P177</t>
  </si>
  <si>
    <t>2025-08-18 15:47:49.048</t>
  </si>
  <si>
    <t>2025-08-18 15:47:49.564</t>
  </si>
  <si>
    <t>2025-08-18 15:49:51.354</t>
  </si>
  <si>
    <t>2025-08-18 15:49:53.560</t>
  </si>
  <si>
    <t>2025-08-18 15:50:06.657</t>
  </si>
  <si>
    <t>2025-08-18 15:50:07.254</t>
  </si>
  <si>
    <t>2025-08-18 15:50:10.151</t>
  </si>
  <si>
    <t>2025-08-18 15:50:27.168</t>
  </si>
  <si>
    <t>2025-08-18 15:50:29.315</t>
  </si>
  <si>
    <t>2025-08-18 15:50:29.822</t>
  </si>
  <si>
    <t>2025-08-18 15:50:37.184</t>
  </si>
  <si>
    <t>2025-08-18 15:50:38.008</t>
  </si>
  <si>
    <t>2025-08-18 15:50:38.516</t>
  </si>
  <si>
    <t>2025-08-18 15:50:39.975</t>
  </si>
  <si>
    <t>2025-08-18 15:50:49.793</t>
  </si>
  <si>
    <t>2025-08-18 15:50:50.547</t>
  </si>
  <si>
    <t>2025-08-18 15:50:51.154</t>
  </si>
  <si>
    <t>2025-08-18 15:50:52.593</t>
  </si>
  <si>
    <t>2025-08-18 15:50:55.617</t>
  </si>
  <si>
    <t>2025-08-18 15:52:03.689</t>
  </si>
  <si>
    <t>2025-08-18 15:52:22.050</t>
  </si>
  <si>
    <t>2025-08-18 15:52:39.018</t>
  </si>
  <si>
    <t>2025-08-18 15:52:55.915</t>
  </si>
  <si>
    <t>2025-08-18 15:53:11.374</t>
  </si>
  <si>
    <t>2025-08-18 15:53:26.874</t>
  </si>
  <si>
    <t>2025-08-18 15:53:41.603</t>
  </si>
  <si>
    <t>2025-08-18 15:53:57.938</t>
  </si>
  <si>
    <t>2025-08-18 15:54:25.543</t>
  </si>
  <si>
    <t>2025-08-18 15:54:26.004</t>
  </si>
  <si>
    <t>2025-08-18 15:54:26.433</t>
  </si>
  <si>
    <t>2025-08-18 15:54:27.061</t>
  </si>
  <si>
    <t>2025-08-18 15:54:27.475</t>
  </si>
  <si>
    <t>2025-08-18 15:54:27.939</t>
  </si>
  <si>
    <t>2025-08-18 15:54:28.395</t>
  </si>
  <si>
    <t>2025-08-18 15:54:28.778</t>
  </si>
  <si>
    <t>2025-08-18 15:54:29.184</t>
  </si>
  <si>
    <t>2025-08-18 15:54:29.583</t>
  </si>
  <si>
    <t>2025-08-18 15:54:29.965</t>
  </si>
  <si>
    <t>2025-08-18 15:54:30.426</t>
  </si>
  <si>
    <t>P178</t>
  </si>
  <si>
    <t>2025-08-18 15:54:40.995</t>
  </si>
  <si>
    <t>2025-08-18 15:54:41.089</t>
  </si>
  <si>
    <t>{'previousAllocations': [{'name': 'Participant ID', 'assignedTo': 'Unassigned', 'sliderValue': 5}, {'name': 'Allocation Time', 'assignedTo': 'Unassigned', 'sliderValue': 5}, {'name': 'Start Time', 'assignedTo': 'Unassigned', 'sliderValue': 5}, {'name': 'Finish Time', 'assignedTo': 'Unassigned', 'sliderValue': 5}, {'name': 'Hospital_base', 'assignedTo': 'Robot', 'sliderValue': 10}, {'name': 'Hospital_big_top', 'assignedTo': 'Robot', 'sliderValue': 10}, {'name': 'Hospital_small_top', 'assignedTo': 'Robot', 'sliderValue': 10}, {'name': 'Hospital_screws', 'assignedTo': 'Human', 'sliderValue': 0}, {'name': 'Bridge_triangle_roof', 'assignedTo': 'Robot', 'sliderValue': 10}, {'name': 'Bridge_flat_roof', 'assignedTo': 'Robot', 'sliderValue': 10}, {'name': 'Bridge rod placement', 'assignedTo': 'Human', 'sliderValue': 0}, {'name': 'Dovetail_buttom', 'assignedTo': 'Human', 'sliderValue': 0}, {'name': 'Dovetail_top', 'assignedTo': 'Human', 'sliderValue': 0}, {'name': 'Wheel_holder', 'assignedTo': 'Robot', 'sliderValue': 10}, {'name': 'Wheel_holder_screws', 'assignedTo': 'Human', 'sliderValue': 0}, {'name': 'Wheel', 'assignedTo': 'Human', 'sliderValue': 0}, {'name': 'Wheel_screw', 'assignedTo': 'Human', 'sliderValue': 0}, {'name': 'Triangle', 'assignedTo': 'Human', 'sliderValue': 0}, {'name': 'Snap_buttom', 'assignedTo': 'Robot', 'sliderValue': 10}, {'name': 'Snap_middle', 'assignedTo': 'Human', 'sliderValue': 0}, {'name': 'Snap_top', 'assignedTo': 'Human', 'sliderValue': 0}, {'name': 'Museum', 'assignedTo': 'Human', 'sliderValue': 0}, {'name': 'Inspection', 'assignedTo': 'Human', 'sliderValue': 0}]}</t>
  </si>
  <si>
    <t>2025-08-18 15:54:55.420</t>
  </si>
  <si>
    <t>2025-08-18 15:55:59.759</t>
  </si>
  <si>
    <t>2025-08-18 15:56:15.232</t>
  </si>
  <si>
    <t>2025-08-18 15:56:30.805</t>
  </si>
  <si>
    <t>2025-08-18 15:56:44.849</t>
  </si>
  <si>
    <t>2025-08-18 15:56:59.622</t>
  </si>
  <si>
    <t>2025-08-18 15:57:18.773</t>
  </si>
  <si>
    <t>2025-08-18 15:57:37.967</t>
  </si>
  <si>
    <t>2025-08-18 15:57:56.485</t>
  </si>
  <si>
    <t>2025-08-18 15:58:11.982</t>
  </si>
  <si>
    <t>2025-08-18 15:58:12.159</t>
  </si>
  <si>
    <t>2025-08-18 15:58:12.385</t>
  </si>
  <si>
    <t>2025-08-18 15:58:12.610</t>
  </si>
  <si>
    <t>2025-08-18 15:58:12.821</t>
  </si>
  <si>
    <t>2025-08-18 15:58:13.046</t>
  </si>
  <si>
    <t>2025-08-18 15:58:13.292</t>
  </si>
  <si>
    <t>2025-08-18 15:58:13.488</t>
  </si>
  <si>
    <t>2025-08-18 15:58:13.726</t>
  </si>
  <si>
    <t>2025-08-18 15:58:13.969</t>
  </si>
  <si>
    <t>2025-08-18 15:58:14.148</t>
  </si>
  <si>
    <t>2025-08-18 15:58:14.409</t>
  </si>
  <si>
    <t>P186</t>
  </si>
  <si>
    <t>2025-08-20 11:59:28.391</t>
  </si>
  <si>
    <t>2025-08-20 11:59:28.890</t>
  </si>
  <si>
    <t>2025-08-20 11:59:52.924</t>
  </si>
  <si>
    <t>{'taskId': '2', 'assignedTo': 'Robot', 'sliderValue': 8}</t>
  </si>
  <si>
    <t>2025-08-20 11:59:53.342</t>
  </si>
  <si>
    <t>2025-08-20 12:00:04.329</t>
  </si>
  <si>
    <t>2025-08-20 12:00:05.371</t>
  </si>
  <si>
    <t>2025-08-20 12:00:07.636</t>
  </si>
  <si>
    <t>2025-08-20 12:00:17.642</t>
  </si>
  <si>
    <t>2025-08-20 12:00:18.803</t>
  </si>
  <si>
    <t>2025-08-20 12:00:22.323</t>
  </si>
  <si>
    <t>2025-08-20 12:00:23.461</t>
  </si>
  <si>
    <t>2025-08-20 12:00:26.725</t>
  </si>
  <si>
    <t>2025-08-20 12:00:31.908</t>
  </si>
  <si>
    <t>2025-08-20 12:00:32.960</t>
  </si>
  <si>
    <t>2025-08-20 12:00:54.087</t>
  </si>
  <si>
    <t>{'taskId': '3', 'assignedTo': 'Human', 'sliderValue': 4}</t>
  </si>
  <si>
    <t>2025-08-20 12:00:54.247</t>
  </si>
  <si>
    <t>{'taskId': '3', 'assignedTo': 'Human', 'sliderValue': 3}</t>
  </si>
  <si>
    <t>2025-08-20 12:00:54.482</t>
  </si>
  <si>
    <t>{'taskId': '3', 'assignedTo': 'Human', 'sliderValue': 2}</t>
  </si>
  <si>
    <t>2025-08-20 12:00:54.609</t>
  </si>
  <si>
    <t>2025-08-20 12:00:54.790</t>
  </si>
  <si>
    <t>{'taskId': '3', 'assignedTo': 'Human', 'sliderValue': 5}</t>
  </si>
  <si>
    <t>2025-08-20 12:00:54.932</t>
  </si>
  <si>
    <t>2025-08-20 12:00:55.084</t>
  </si>
  <si>
    <t>2025-08-20 12:00:55.236</t>
  </si>
  <si>
    <t>2025-08-20 12:00:56.951</t>
  </si>
  <si>
    <t>2025-08-20 12:00:57.438</t>
  </si>
  <si>
    <t>2025-08-20 12:00:58.037</t>
  </si>
  <si>
    <t>2025-08-20 12:01:02.654</t>
  </si>
  <si>
    <t>2025-08-20 12:01:10.639</t>
  </si>
  <si>
    <t>2025-08-20 12:01:18.809</t>
  </si>
  <si>
    <t>2025-08-20 12:01:25.732</t>
  </si>
  <si>
    <t>2025-08-20 12:01:34.269</t>
  </si>
  <si>
    <t>2025-08-20 12:01:42.600</t>
  </si>
  <si>
    <t>2025-08-20 12:01:43.777</t>
  </si>
  <si>
    <t>2025-08-20 12:01:50.684</t>
  </si>
  <si>
    <t>2025-08-20 12:01:56.218</t>
  </si>
  <si>
    <t>2025-08-20 12:02:03.744</t>
  </si>
  <si>
    <t>2025-08-20 12:02:15.376</t>
  </si>
  <si>
    <t>pilotstudy 5</t>
  </si>
  <si>
    <t>2025-08-20 12:02:21.804</t>
  </si>
  <si>
    <t>2025-08-20 12:02:41.412</t>
  </si>
  <si>
    <t>2025-08-20 12:02:50.822</t>
  </si>
  <si>
    <t>2025-08-20 12:02:58.529</t>
  </si>
  <si>
    <t>2025-08-20 12:03:14.329</t>
  </si>
  <si>
    <t>2025-08-20 12:03:17.007</t>
  </si>
  <si>
    <t>2025-08-20 12:03:24.005</t>
  </si>
  <si>
    <t>2025-08-20 12:03:35.970</t>
  </si>
  <si>
    <t>2025-08-20 12:03:36.127</t>
  </si>
  <si>
    <t>P187</t>
  </si>
  <si>
    <t>2025-08-20 12:03:44.928</t>
  </si>
  <si>
    <t>2025-08-20 12:03:45.173</t>
  </si>
  <si>
    <t>{'previousAllocations': [{'name': 'Participant ID', 'assignedTo': 'Unassigned', 'sliderValue': 5}, {'name': 'Allocation Time', 'assignedTo': 'Unassigned', 'sliderValue': 5}, {'name': 'Start Time', 'assignedTo': 'Unassigned', 'sliderValue': 5}, {'name': 'Finish Time', 'assignedTo': 'Unassigned', 'sliderValue': 5}, {'name': 'Hospital_base', 'assignedTo': 'Human', 'sliderValue': 0}, {'name': 'Hospital_big_top', 'assignedTo': 'Robot', 'sliderValue': 10}, {'name': 'Hospital_small_top', 'assignedTo': 'Human', 'sliderValue': 2}, {'name': 'Hospital_screws', 'assignedTo': 'Human', 'sliderValue': 0}, {'name': 'Bridge_triangle_roof', 'assignedTo': 'Robot', 'sliderValue': 10}, {'name': 'Bridge_flat_roof', 'assignedTo': 'Human', 'sliderValue': 0}, {'name': 'Bridge rod placement', 'assignedTo': 'Human', 'sliderValue': 0}, {'name': 'Dovetail_buttom', 'assignedTo': 'Human', 'sliderValue': 0}, {'name': 'Dovetail_top', 'assignedTo': 'Robot', 'sliderValue': 10}, {'name': 'Wheel_holder', 'assignedTo': 'Human', 'sliderValue': 0}, {'name': 'Wheel_holder_screws', 'assignedTo': 'Human', 'sliderValue': 0}, {'name': 'Wheel', 'assignedTo': 'Robot', 'sliderValue': 10}, {'name': 'Wheel_screw', 'assignedTo': 'Human', 'sliderValue': 0}, {'name': 'Triangle', 'assignedTo': 'Robot', 'sliderValue': 10}, {'name': 'Snap_buttom', 'assignedTo': 'Robot', 'sliderValue': 10}, {'name': 'Snap_middle', 'assignedTo': 'Human', 'sliderValue': 0}, {'name': 'Snap_top', 'assignedTo': 'Human', 'sliderValue': 0}, {'name': 'Museum', 'assignedTo': 'Robot', 'sliderValue': 10}, {'name': 'Inspection', 'assignedTo': 'Human', 'sliderValue': 0}]}</t>
  </si>
  <si>
    <t>2025-08-20 12:03:59.654</t>
  </si>
  <si>
    <t>2025-08-20 12:03:59.773</t>
  </si>
  <si>
    <t>{'taskId': '3', 'assignedTo': 'Human', 'sliderValue': 1}</t>
  </si>
  <si>
    <t>2025-08-20 12:03:59.918</t>
  </si>
  <si>
    <t>2025-08-20 12:04:00.025</t>
  </si>
  <si>
    <t>2025-08-20 12:04:00.116</t>
  </si>
  <si>
    <t>2025-08-20 12:04:17.118</t>
  </si>
  <si>
    <t>2025-08-20 12:04:18.595</t>
  </si>
  <si>
    <t>2025-08-20 12:04:35.330</t>
  </si>
  <si>
    <t>2025-08-20 12:04:41.946</t>
  </si>
  <si>
    <t>2025-08-20 12:04:49.191</t>
  </si>
  <si>
    <t>2025-08-20 12:04:58.369</t>
  </si>
  <si>
    <t>2025-08-20 12:05:08.713</t>
  </si>
  <si>
    <t>2025-08-20 12:05:14.541</t>
  </si>
  <si>
    <t>2025-08-20 12:05:24.491</t>
  </si>
  <si>
    <t>2025-08-20 12:05:39.494</t>
  </si>
  <si>
    <t>2025-08-20 12:05:41.882</t>
  </si>
  <si>
    <t>2025-08-20 12:05:47.670</t>
  </si>
  <si>
    <t>2025-08-20 12:05:58.534</t>
  </si>
  <si>
    <t>2025-08-20 12:06:05.522</t>
  </si>
  <si>
    <t>2025-08-20 12:06:12.067</t>
  </si>
  <si>
    <t>2025-08-20 12:06:25.802</t>
  </si>
  <si>
    <t>2025-08-20 12:06:35.662</t>
  </si>
  <si>
    <t>Resume Button Pressed</t>
  </si>
  <si>
    <t>2025-08-20 12:06:57.334</t>
  </si>
  <si>
    <t>2025-08-20 12:07:12.300</t>
  </si>
  <si>
    <t>2025-08-20 12:07:20.307</t>
  </si>
  <si>
    <t>2025-08-20 12:07:29.840</t>
  </si>
  <si>
    <t>2025-08-20 12:07:33.933</t>
  </si>
  <si>
    <t>2025-08-20 12:07:35.520</t>
  </si>
  <si>
    <t>2025-08-20 12:07:51.066</t>
  </si>
  <si>
    <t>2025-08-20 12:07:51.193</t>
  </si>
  <si>
    <t>P188</t>
  </si>
  <si>
    <t>2025-08-20 12:09:46.272</t>
  </si>
  <si>
    <t>2025-08-20 12:09:46.787</t>
  </si>
  <si>
    <t>2025-08-20 12:10:00.791</t>
  </si>
  <si>
    <t>{'taskId': '1', 'assignedTo': 'Human', 'sliderValue': 2}</t>
  </si>
  <si>
    <t>2025-08-20 12:10:00.898</t>
  </si>
  <si>
    <t>{'taskId': '1', 'assignedTo': 'Human', 'sliderValue': 4}</t>
  </si>
  <si>
    <t>2025-08-20 12:10:00.976</t>
  </si>
  <si>
    <t>{'taskId': '1', 'assignedTo': 'Human', 'sliderValue': 5}</t>
  </si>
  <si>
    <t>2025-08-20 12:10:01.044</t>
  </si>
  <si>
    <t>2025-08-20 12:10:01.119</t>
  </si>
  <si>
    <t>{'taskId': '1', 'assignedTo': 'Human', 'sliderValue': 3}</t>
  </si>
  <si>
    <t>2025-08-20 12:10:01.195</t>
  </si>
  <si>
    <t>2025-08-20 12:10:01.263</t>
  </si>
  <si>
    <t>2025-08-20 12:10:01.336</t>
  </si>
  <si>
    <t>2025-08-20 12:10:01.405</t>
  </si>
  <si>
    <t>2025-08-20 12:10:01.474</t>
  </si>
  <si>
    <t>2025-08-20 12:10:01.541</t>
  </si>
  <si>
    <t>2025-08-20 12:10:01.611</t>
  </si>
  <si>
    <t>2025-08-20 12:10:01.683</t>
  </si>
  <si>
    <t>{'taskId': '1', 'assignedTo': 'Robot', 'sliderValue': 6}</t>
  </si>
  <si>
    <t>2025-08-20 12:10:01.757</t>
  </si>
  <si>
    <t>2025-08-20 12:10:01.883</t>
  </si>
  <si>
    <t>2025-08-20 12:10:01.955</t>
  </si>
  <si>
    <t>{'taskId': '1', 'assignedTo': 'Robot', 'sliderValue': 7}</t>
  </si>
  <si>
    <t>2025-08-20 12:10:02.027</t>
  </si>
  <si>
    <t>2025-08-20 12:10:02.161</t>
  </si>
  <si>
    <t>2025-08-20 12:10:02.309</t>
  </si>
  <si>
    <t>2025-08-20 12:10:02.460</t>
  </si>
  <si>
    <t>2025-08-20 12:10:02.613</t>
  </si>
  <si>
    <t>2025-08-20 12:10:02.752</t>
  </si>
  <si>
    <t>2025-08-20 12:10:03.660</t>
  </si>
  <si>
    <t>2025-08-20 12:10:14.266</t>
  </si>
  <si>
    <t>2025-08-20 12:10:15.201</t>
  </si>
  <si>
    <t>2025-08-20 12:10:24.729</t>
  </si>
  <si>
    <t>2025-08-20 12:10:29.752</t>
  </si>
  <si>
    <t>2025-08-20 12:10:34.221</t>
  </si>
  <si>
    <t>2025-08-20 12:10:35.745</t>
  </si>
  <si>
    <t>2025-08-20 12:10:37.153</t>
  </si>
  <si>
    <t>2025-08-20 12:10:45.364</t>
  </si>
  <si>
    <t>2025-08-20 12:10:52.740</t>
  </si>
  <si>
    <t>2025-08-20 12:10:57.244</t>
  </si>
  <si>
    <t>2025-08-20 12:11:00.405</t>
  </si>
  <si>
    <t>2025-08-20 12:11:08.920</t>
  </si>
  <si>
    <t>2025-08-20 12:11:09.261</t>
  </si>
  <si>
    <t>2025-08-20 12:11:22.345</t>
  </si>
  <si>
    <t>2025-08-20 12:11:23.935</t>
  </si>
  <si>
    <t>2025-08-20 12:11:27.166</t>
  </si>
  <si>
    <t>2025-08-20 12:11:28.956</t>
  </si>
  <si>
    <t>2025-08-20 12:11:34.679</t>
  </si>
  <si>
    <t>2025-08-20 12:11:40.889</t>
  </si>
  <si>
    <t>2025-08-20 12:11:43.966</t>
  </si>
  <si>
    <t>2025-08-20 12:11:48.941</t>
  </si>
  <si>
    <t>2025-08-20 12:11:50.052</t>
  </si>
  <si>
    <t>2025-08-20 12:11:53.583</t>
  </si>
  <si>
    <t>2025-08-20 12:12:03.399</t>
  </si>
  <si>
    <t>2025-08-20 12:12:03.945</t>
  </si>
  <si>
    <t>2025-08-20 12:12:10.313</t>
  </si>
  <si>
    <t>2025-08-20 12:12:15.069</t>
  </si>
  <si>
    <t>2025-08-20 12:12:25.339</t>
  </si>
  <si>
    <t>2025-08-20 12:12:30.227</t>
  </si>
  <si>
    <t>2025-08-20 12:12:32.219</t>
  </si>
  <si>
    <t>2025-08-20 12:12:45.254</t>
  </si>
  <si>
    <t>2025-08-20 12:12:50.655</t>
  </si>
  <si>
    <t>2025-08-20 12:12:51.468</t>
  </si>
  <si>
    <t>2025-08-20 12:13:05.684</t>
  </si>
  <si>
    <t>2025-08-20 12:13:08.650</t>
  </si>
  <si>
    <t>2025-08-20 12:13:08.950</t>
  </si>
  <si>
    <t>2025-08-20 12:13:09.931</t>
  </si>
  <si>
    <t>2025-08-20 12:13:23.681</t>
  </si>
  <si>
    <t>2025-08-20 12:13:23.952</t>
  </si>
  <si>
    <t>{'question': '12 × 4 = ?'}</t>
  </si>
  <si>
    <t>2025-08-20 12:13:28.950</t>
  </si>
  <si>
    <t>{'question': '12 × 4 = ?', 'answer': '48'}</t>
  </si>
  <si>
    <t>2025-08-20 12:13:32.555</t>
  </si>
  <si>
    <t>2025-08-20 12:13:37.506</t>
  </si>
  <si>
    <t>2025-08-20 12:13:42.280</t>
  </si>
  <si>
    <t>2025-08-20 12:13:45.148</t>
  </si>
  <si>
    <t>P189</t>
  </si>
  <si>
    <t>2025-08-20 12:13:56.198</t>
  </si>
  <si>
    <t>2025-08-20 12:13:56.378</t>
  </si>
  <si>
    <t>{'previousAllocations': [{'name': 'Participant ID', 'assignedTo': 'Unassigned', 'sliderValue': 5}, {'name': 'Allocation Time', 'assignedTo': 'Unassigned', 'sliderValue': 5}, {'name': 'Start Time', 'assignedTo': 'Unassigned', 'sliderValue': 5}, {'name': 'Finish Time', 'assignedTo': 'Unassigned', 'sliderValue': 5}, {'name': 'Hospital_base', 'assignedTo': 'Human', 'sliderValue': 0}, {'name': 'Hospital_big_top', 'assignedTo': 'Robot', 'sliderValue': 10}, {'name': 'Hospital_small_top', 'assignedTo': 'Human', 'sliderValue': 0}, {'name': 'Hospital_screws', 'assignedTo': 'Human', 'sliderValue': 0}, {'name': 'Bridge_triangle_roof', 'assignedTo': 'Robot', 'sliderValue': 10}, {'name': 'Bridge_flat_roof', 'assignedTo': 'Human', 'sliderValue': 0}, {'name': 'Bridge rod placement', 'assignedTo': 'Human', 'sliderValue': 0}, {'name': 'Dovetail_buttom', 'assignedTo': 'Robot', 'sliderValue': 10}, {'name': 'Dovetail_top', 'assignedTo': 'Human', 'sliderValue': 0}, {'name': 'Wheel_holder', 'assignedTo': 'Human', 'sliderValue': 0}, {'name': 'Wheel_holder_screws', 'assignedTo': 'Human', 'sliderValue': 0}, {'name': 'Wheel', 'assignedTo': 'Robot', 'sliderValue': 10}, {'name': 'Wheel_screw', 'assignedTo': 'Human', 'sliderValue': 0}, {'name': 'Triangle', 'assignedTo': 'Robot', 'sliderValue': 10}, {'name': 'Snap_buttom', 'assignedTo': 'Robot', 'sliderValue': 10}, {'name': 'Snap_middle', 'assignedTo': 'Human', 'sliderValue': 0}, {'name': 'Snap_top', 'assignedTo': 'Human', 'sliderValue': 0}, {'name': 'Museum', 'assignedTo': 'Robot', 'sliderValue': 10}, {'name': 'Inspection', 'assignedTo': 'Human', 'sliderValue': 0}]}</t>
  </si>
  <si>
    <t>2025-08-20 12:14:10.847</t>
  </si>
  <si>
    <t>2025-08-20 12:14:10.939</t>
  </si>
  <si>
    <t>2025-08-20 12:14:14.629</t>
  </si>
  <si>
    <t>2025-08-20 12:14:20.906</t>
  </si>
  <si>
    <t>2025-08-20 12:14:25.204</t>
  </si>
  <si>
    <t>2025-08-20 12:14:29.653</t>
  </si>
  <si>
    <t>2025-08-20 12:14:35.011</t>
  </si>
  <si>
    <t>2025-08-20 12:14:42.037</t>
  </si>
  <si>
    <t>2025-08-20 12:14:50.026</t>
  </si>
  <si>
    <t>2025-08-20 12:14:54.603</t>
  </si>
  <si>
    <t>2025-08-20 12:14:56.102</t>
  </si>
  <si>
    <t>2025-08-20 12:14:57.724</t>
  </si>
  <si>
    <t>2025-08-20 12:15:01.482</t>
  </si>
  <si>
    <t>2025-08-20 12:15:09.487</t>
  </si>
  <si>
    <t>2025-08-20 12:15:09.616</t>
  </si>
  <si>
    <t>2025-08-20 12:15:14.033</t>
  </si>
  <si>
    <t>2025-08-20 12:15:14.131</t>
  </si>
  <si>
    <t>2025-08-20 12:15:21.810</t>
  </si>
  <si>
    <t>2025-08-20 12:15:29.055</t>
  </si>
  <si>
    <t>2025-08-20 12:15:29.167</t>
  </si>
  <si>
    <t>2025-08-20 12:15:37.540</t>
  </si>
  <si>
    <t>2025-08-20 12:15:45.771</t>
  </si>
  <si>
    <t>2025-08-20 12:15:52.546</t>
  </si>
  <si>
    <t>2025-08-20 12:15:58.159</t>
  </si>
  <si>
    <t>2025-08-20 12:15:59.356</t>
  </si>
  <si>
    <t>2025-08-20 12:16:20.383</t>
  </si>
  <si>
    <t>2025-08-20 12:16:20.523</t>
  </si>
  <si>
    <t>2025-08-20 12:16:20.621</t>
  </si>
  <si>
    <t>2025-08-20 12:16:33.856</t>
  </si>
  <si>
    <t>2025-08-20 12:16:37.502</t>
  </si>
  <si>
    <t>2025-08-20 12:16:45.691</t>
  </si>
  <si>
    <t>2025-08-20 12:16:47.689</t>
  </si>
  <si>
    <t>2025-08-20 12:16:52.449</t>
  </si>
  <si>
    <t>2025-08-20 12:16:55.106</t>
  </si>
  <si>
    <t>2025-08-20 12:16:59.592</t>
  </si>
  <si>
    <t>2025-08-20 12:17:00.704</t>
  </si>
  <si>
    <t>2025-08-20 12:17:06.564</t>
  </si>
  <si>
    <t>2025-08-20 12:17:10.738</t>
  </si>
  <si>
    <t>2025-08-20 12:17:14.067</t>
  </si>
  <si>
    <t>P212</t>
  </si>
  <si>
    <t>2025-09-09 10:40:35.239</t>
  </si>
  <si>
    <t>2025-09-09 10:40:41.121</t>
  </si>
  <si>
    <t>2025-09-09 10:40:52.594</t>
  </si>
  <si>
    <t>2025-09-09 10:40:54.191</t>
  </si>
  <si>
    <t>2025-09-09 10:40:55.173</t>
  </si>
  <si>
    <t>2025-09-09 10:40:57.518</t>
  </si>
  <si>
    <t>2025-09-09 10:40:58.554</t>
  </si>
  <si>
    <t>2025-09-09 10:41:02.201</t>
  </si>
  <si>
    <t>2025-09-09 10:41:03.288</t>
  </si>
  <si>
    <t>2025-09-09 10:41:05.043</t>
  </si>
  <si>
    <t>2025-09-09 10:41:07.128</t>
  </si>
  <si>
    <t>2025-09-09 10:41:10.089</t>
  </si>
  <si>
    <t>2025-09-09 10:41:11.680</t>
  </si>
  <si>
    <t>2025-09-09 10:41:33.198</t>
  </si>
  <si>
    <t>2025-09-09 10:41:40.818</t>
  </si>
  <si>
    <t>2025-09-09 10:41:56.290</t>
  </si>
  <si>
    <t>2025-09-09 10:42:11.005</t>
  </si>
  <si>
    <t>2025-09-09 10:42:27.287</t>
  </si>
  <si>
    <t>2025-09-09 10:42:38.130</t>
  </si>
  <si>
    <t>2025-09-09 10:42:45.024</t>
  </si>
  <si>
    <t>2025-09-09 10:43:01.990</t>
  </si>
  <si>
    <t>2025-09-09 10:43:06.754</t>
  </si>
  <si>
    <t>2025-09-09 10:43:16.122</t>
  </si>
  <si>
    <t>2025-09-09 10:43:17.545</t>
  </si>
  <si>
    <t>2025-09-09 10:43:34.509</t>
  </si>
  <si>
    <t>2025-09-09 10:43:40.363</t>
  </si>
  <si>
    <t>2025-09-09 10:43:46.855</t>
  </si>
  <si>
    <t>2025-09-09 10:43:51.428</t>
  </si>
  <si>
    <t>2025-09-09 10:44:06.930</t>
  </si>
  <si>
    <t>2025-09-09 10:44:15.012</t>
  </si>
  <si>
    <t>2025-09-09 10:44:23.955</t>
  </si>
  <si>
    <t>2025-09-09 10:44:28.319</t>
  </si>
  <si>
    <t>2025-09-09 10:44:34.755</t>
  </si>
  <si>
    <t>2025-09-09 10:44:36.832</t>
  </si>
  <si>
    <t>P213</t>
  </si>
  <si>
    <t>2025-09-09 10:44:47.569</t>
  </si>
  <si>
    <t>2025-09-09 10:44:47.668</t>
  </si>
  <si>
    <t>{'previousAllocations': [{'name': 'Hospital_base', 'assignedTo': 'Robot', 'sliderValue': 10}, {'name': 'Hospital_big_top', 'assignedTo': 'Robot', 'sliderValue': 10}, {'name': 'Hospital_small_top', 'assignedTo': 'Robot', 'sliderValue': 10}, {'name': 'Hospital_screws', 'assignedTo': 'Human', 'sliderValue': 0}, {'name': 'Bridge_triangle_roof', 'assignedTo': 'Robot', 'sliderValue': 10}, {'name': 'Bridge_flat_roof', 'assignedTo': 'Robot', 'sliderValue': 10}, {'name': 'Bridge rod placement', 'assignedTo': 'Human', 'sliderValue': 0}, {'name': 'Dovetail_buttom', 'assignedTo': 'Robot', 'sliderValue': 10}, {'name': 'Dovetail_top', 'assignedTo': 'Robot', 'sliderValue': 10}, {'name': 'Wheel_holder', 'assignedTo': 'Human', 'sliderValue': 0}, {'name': 'Wheel_holder_screws', 'assignedTo': 'Human', 'sliderValue': 0}, {'name': 'Wheel', 'assignedTo': 'Human', 'sliderValue': 0}, {'name': 'Wheel_screw', 'assignedTo': 'Human', 'sliderValue': 0}, {'name': 'Triangle', 'assignedTo': 'Robot', 'sliderValue': 10}, {'name': 'Snap_buttom', 'assignedTo': 'Robot', 'sliderValue': 10}, {'name': 'Snap_middle', 'assignedTo': 'Human', 'sliderValue': 0}, {'name': 'Snap_top', 'assignedTo': 'Human', 'sliderValue': 0}, {'name': 'Museum', 'assignedTo': 'Robot', 'sliderValue': 10}, {'name': 'Inspection', 'assignedTo': 'Human', 'sliderValue': 0}]}</t>
  </si>
  <si>
    <t>2025-09-09 10:44:48.174</t>
  </si>
  <si>
    <t>2025-09-09 10:45:14.694</t>
  </si>
  <si>
    <t>2025-09-09 10:45:19.466</t>
  </si>
  <si>
    <t>2025-09-09 10:45:39.199</t>
  </si>
  <si>
    <t>2025-09-09 10:45:57.648</t>
  </si>
  <si>
    <t>2025-09-09 10:46:16.076</t>
  </si>
  <si>
    <t>2025-09-09 10:46:21.814</t>
  </si>
  <si>
    <t>2025-09-09 10:46:31.579</t>
  </si>
  <si>
    <t>2025-09-09 10:46:33.963</t>
  </si>
  <si>
    <t>2025-09-09 10:46:43.444</t>
  </si>
  <si>
    <t>2025-09-09 10:46:47.785</t>
  </si>
  <si>
    <t>2025-09-09 10:46:52.399</t>
  </si>
  <si>
    <t>2025-09-09 10:47:05.530</t>
  </si>
  <si>
    <t>2025-09-09 10:47:14.531</t>
  </si>
  <si>
    <t>2025-09-09 10:47:15.596</t>
  </si>
  <si>
    <t>2025-09-09 10:47:22.435</t>
  </si>
  <si>
    <t>2025-09-09 10:47:37.186</t>
  </si>
  <si>
    <t>2025-09-09 10:47:58.564</t>
  </si>
  <si>
    <t>2025-09-09 10:48:04.620</t>
  </si>
  <si>
    <t>2025-09-09 10:48:05.819</t>
  </si>
  <si>
    <t>2025-09-09 10:48:07.656</t>
  </si>
  <si>
    <t>2025-09-09 10:48:10.152</t>
  </si>
  <si>
    <t>P214</t>
  </si>
  <si>
    <t>2025-09-09 10:51:17.072</t>
  </si>
  <si>
    <t>2025-09-09 10:51:31.610</t>
  </si>
  <si>
    <t>2025-09-09 10:51:31.728</t>
  </si>
  <si>
    <t>2025-09-09 10:51:31.822</t>
  </si>
  <si>
    <t>2025-09-09 10:51:31.892</t>
  </si>
  <si>
    <t>2025-09-09 10:51:33.820</t>
  </si>
  <si>
    <t>2025-09-09 10:51:40.963</t>
  </si>
  <si>
    <t>2025-09-09 10:51:41.496</t>
  </si>
  <si>
    <t>2025-09-09 10:51:50.946</t>
  </si>
  <si>
    <t>2025-09-09 10:52:08.745</t>
  </si>
  <si>
    <t>2025-09-09 10:52:10.193</t>
  </si>
  <si>
    <t>2025-09-09 10:52:11.347</t>
  </si>
  <si>
    <t>2025-09-09 10:52:13.087</t>
  </si>
  <si>
    <t>2025-09-09 10:52:18.068</t>
  </si>
  <si>
    <t>2025-09-09 10:52:22.642</t>
  </si>
  <si>
    <t>2025-09-09 10:52:37.701</t>
  </si>
  <si>
    <t>{'question': '88 - 45 + 12 = ?'}</t>
  </si>
  <si>
    <t>2025-09-09 10:52:38.076</t>
  </si>
  <si>
    <t>2025-09-09 10:52:54.303</t>
  </si>
  <si>
    <t>2025-09-09 10:52:56.147</t>
  </si>
  <si>
    <t>{'question': '88 - 45 + 12 = ?', 'answer': '55'}</t>
  </si>
  <si>
    <t>2025-09-09 10:53:11.261</t>
  </si>
  <si>
    <t>2025-09-09 10:53:11.975</t>
  </si>
  <si>
    <t>2025-09-09 10:53:18.233</t>
  </si>
  <si>
    <t>2025-09-09 10:53:27.780</t>
  </si>
  <si>
    <t>2025-09-09 10:53:28.839</t>
  </si>
  <si>
    <t>2025-09-09 10:53:29.678</t>
  </si>
  <si>
    <t>2025-09-09 10:53:33.362</t>
  </si>
  <si>
    <t>2025-09-09 10:53:43.442</t>
  </si>
  <si>
    <t>2025-09-09 10:53:45.129</t>
  </si>
  <si>
    <t>2025-09-09 10:53:45.772</t>
  </si>
  <si>
    <t>2025-09-09 10:53:58.555</t>
  </si>
  <si>
    <t>{'question': '48 ÷ 12 = ?'}</t>
  </si>
  <si>
    <t>2025-09-09 10:54:02.785</t>
  </si>
  <si>
    <t>2025-09-09 10:54:15.387</t>
  </si>
  <si>
    <t>2025-09-09 10:54:48.708</t>
  </si>
  <si>
    <t>{'question': '48 ÷ 12 = ?', 'answer': '4'}</t>
  </si>
  <si>
    <t>2025-09-09 10:54:58.453</t>
  </si>
  <si>
    <t>2025-09-09 10:55:13.854</t>
  </si>
  <si>
    <t>2025-09-09 10:55:13.936</t>
  </si>
  <si>
    <t>2025-09-09 10:55:13.996</t>
  </si>
  <si>
    <t>2025-09-09 10:55:26.227</t>
  </si>
  <si>
    <t>{'question': '29 × 4 = ?'}</t>
  </si>
  <si>
    <t>2025-09-09 10:55:35.745</t>
  </si>
  <si>
    <t>2025-09-09 10:55:49.689</t>
  </si>
  <si>
    <t>Question Wrong Answer</t>
  </si>
  <si>
    <t>{'question': '29 × 4 = ?', 'answer': '7.25'}</t>
  </si>
  <si>
    <t>2025-09-09 10:55:52.662</t>
  </si>
  <si>
    <t>2025-09-09 10:56:08.119</t>
  </si>
  <si>
    <t>2025-09-09 10:57:03.722</t>
  </si>
  <si>
    <t>{'question': '29 × 4 = ?', 'answer': '116'}</t>
  </si>
  <si>
    <t>2025-09-09 10:57:18.847</t>
  </si>
  <si>
    <t>2025-09-09 10:57:34.360</t>
  </si>
  <si>
    <t>2025-09-09 10:57:46.580</t>
  </si>
  <si>
    <t>2025-09-09 10:57:49.488</t>
  </si>
  <si>
    <t>{'question': '42 + 18 - 20 = ?'}</t>
  </si>
  <si>
    <t>2025-09-09 10:58:13.840</t>
  </si>
  <si>
    <t>{'question': '42 + 18 - 20 = ?', 'answer': '40'}</t>
  </si>
  <si>
    <t>2025-09-09 10:58:15.810</t>
  </si>
  <si>
    <t>2025-09-09 10:58:16.936</t>
  </si>
  <si>
    <t>2025-09-09 10:58:17.781</t>
  </si>
  <si>
    <t>2025-09-09 10:58:18.647</t>
  </si>
  <si>
    <t>2025-09-09 10:58:21.798</t>
  </si>
  <si>
    <t>P215</t>
  </si>
  <si>
    <t>2025-09-09 10:58:37.715</t>
  </si>
  <si>
    <t>2025-09-09 10:58:37.807</t>
  </si>
  <si>
    <t>{'previousAllocations': [{'name': 'Hospital_base', 'assignedTo': 'Robot', 'sliderValue': 10}, {'name': 'Hospital_big_top', 'assignedTo': 'Human', 'sliderValue': 0}, {'name': 'Hospital_small_top', 'assignedTo': 'Robot', 'sliderValue': 10}, {'name': 'Hospital_screws', 'assignedTo': 'Human', 'sliderValue': 0}, {'name': 'Bridge_triangle_roof', 'assignedTo': 'Robot', 'sliderValue': 9}, {'name': 'Bridge_flat_roof', 'assignedTo': 'Robot', 'sliderValue': 10}, {'name': 'Bridge rod placement', 'assignedTo': 'Human', 'sliderValue': 0}, {'name': 'Dovetail_buttom', 'assignedTo': 'Robot', 'sliderValue': 10}, {'name': 'Dovetail_top', 'assignedTo': 'Robot', 'sliderValue': 10}, {'name': 'Wheel_holder', 'assignedTo': 'Robot', 'sliderValue': 10}, {'name': 'Wheel_holder_screws', 'assignedTo': 'Human', 'sliderValue': 0}, {'name': 'Wheel', 'assignedTo': 'Human', 'sliderValue': 0}, {'name': 'Wheel_screw', 'assignedTo': 'Human', 'sliderValue': 0}, {'name': 'Triangle', 'assignedTo': 'Robot', 'sliderValue': 10}, {'name': 'Snap_buttom', 'assignedTo': 'Robot', 'sliderValue': 10}, {'name': 'Snap_middle', 'assignedTo': 'Human', 'sliderValue': 0}, {'name': 'Snap_top', 'assignedTo': 'Human', 'sliderValue': 0}, {'name': 'Museum', 'assignedTo': 'Robot', 'sliderValue': 10}, {'name': 'Inspection', 'assignedTo': 'Human', 'sliderValue': 0}]}</t>
  </si>
  <si>
    <t>2025-09-09 10:58:52.065</t>
  </si>
  <si>
    <t>2025-09-09 10:59:08.680</t>
  </si>
  <si>
    <t>{'taskId': '2', 'assignedTo': 'Human', 'sliderValue': 2}</t>
  </si>
  <si>
    <t>2025-09-09 10:59:08.787</t>
  </si>
  <si>
    <t>{'taskId': '2', 'assignedTo': 'Robot', 'sliderValue': 9}</t>
  </si>
  <si>
    <t>2025-09-09 10:59:08.858</t>
  </si>
  <si>
    <t>{'taskId': '2', 'assignedTo': 'Human', 'sliderValue': 4}</t>
  </si>
  <si>
    <t>2025-09-09 10:59:08.924</t>
  </si>
  <si>
    <t>{'taskId': '2', 'assignedTo': 'Human', 'sliderValue': 5}</t>
  </si>
  <si>
    <t>2025-09-09 10:59:09.006</t>
  </si>
  <si>
    <t>{'taskId': '2', 'assignedTo': 'Human', 'sliderValue': 1}</t>
  </si>
  <si>
    <t>2025-09-09 10:59:09.102</t>
  </si>
  <si>
    <t>2025-09-09 10:59:09.179</t>
  </si>
  <si>
    <t>2025-09-09 10:59:09.254</t>
  </si>
  <si>
    <t>2025-09-09 10:59:09.319</t>
  </si>
  <si>
    <t>{'taskId': '2', 'assignedTo': 'Robot', 'sliderValue': 7}</t>
  </si>
  <si>
    <t>2025-09-09 10:59:09.390</t>
  </si>
  <si>
    <t>2025-09-09 10:59:09.448</t>
  </si>
  <si>
    <t>2025-09-09 10:59:09.519</t>
  </si>
  <si>
    <t>2025-09-09 10:59:09.625</t>
  </si>
  <si>
    <t>2025-09-09 10:59:09.805</t>
  </si>
  <si>
    <t>2025-09-09 10:59:09.914</t>
  </si>
  <si>
    <t>2025-09-09 10:59:09.994</t>
  </si>
  <si>
    <t>2025-09-09 10:59:10.151</t>
  </si>
  <si>
    <t>2025-09-09 10:59:10.237</t>
  </si>
  <si>
    <t>2025-09-09 10:59:10.316</t>
  </si>
  <si>
    <t>2025-09-09 10:59:10.391</t>
  </si>
  <si>
    <t>2025-09-09 10:59:10.452</t>
  </si>
  <si>
    <t>2025-09-09 10:59:10.524</t>
  </si>
  <si>
    <t>2025-09-09 10:59:10.590</t>
  </si>
  <si>
    <t>2025-09-09 10:59:10.665</t>
  </si>
  <si>
    <t>2025-09-09 10:59:10.730</t>
  </si>
  <si>
    <t>2025-09-09 10:59:10.798</t>
  </si>
  <si>
    <t>{'taskId': '2', 'assignedTo': 'Human', 'sliderValue': 3}</t>
  </si>
  <si>
    <t>2025-09-09 10:59:10.863</t>
  </si>
  <si>
    <t>2025-09-09 10:59:10.932</t>
  </si>
  <si>
    <t>2025-09-09 10:59:10.996</t>
  </si>
  <si>
    <t>2025-09-09 10:59:11.065</t>
  </si>
  <si>
    <t>2025-09-09 10:59:11.142</t>
  </si>
  <si>
    <t>2025-09-09 10:59:11.200</t>
  </si>
  <si>
    <t>2025-09-09 10:59:11.263</t>
  </si>
  <si>
    <t>2025-09-09 10:59:11.328</t>
  </si>
  <si>
    <t>2025-09-09 10:59:11.402</t>
  </si>
  <si>
    <t>2025-09-09 10:59:11.497</t>
  </si>
  <si>
    <t>2025-09-09 10:59:11.573</t>
  </si>
  <si>
    <t>2025-09-09 10:59:11.637</t>
  </si>
  <si>
    <t>2025-09-09 10:59:11.709</t>
  </si>
  <si>
    <t>2025-09-09 10:59:11.787</t>
  </si>
  <si>
    <t>2025-09-09 10:59:11.853</t>
  </si>
  <si>
    <t>2025-09-09 10:59:11.925</t>
  </si>
  <si>
    <t>2025-09-09 10:59:11.992</t>
  </si>
  <si>
    <t>2025-09-09 10:59:12.072</t>
  </si>
  <si>
    <t>2025-09-09 10:59:12.168</t>
  </si>
  <si>
    <t>2025-09-09 10:59:12.267</t>
  </si>
  <si>
    <t>2025-09-09 10:59:12.380</t>
  </si>
  <si>
    <t>2025-09-09 10:59:13.247</t>
  </si>
  <si>
    <t>2025-09-09 10:59:19.292</t>
  </si>
  <si>
    <t>2025-09-09 10:59:34.439</t>
  </si>
  <si>
    <t>2025-09-09 10:59:38.407</t>
  </si>
  <si>
    <t>2025-09-09 10:59:45.814</t>
  </si>
  <si>
    <t>2025-09-09 10:59:57.563</t>
  </si>
  <si>
    <t>2025-09-09 11:00:00.940</t>
  </si>
  <si>
    <t>2025-09-09 11:00:15.396</t>
  </si>
  <si>
    <t>2025-09-09 11:00:15.976</t>
  </si>
  <si>
    <t>P11</t>
  </si>
  <si>
    <t>2025-09-09 11:00:26.839</t>
  </si>
  <si>
    <t>2025-09-09 11:00:30.530</t>
  </si>
  <si>
    <t>2025-09-09 11:00:31.503</t>
  </si>
  <si>
    <t>2025-09-09 11:00:41.240</t>
  </si>
  <si>
    <t>2025-09-09 11:00:46.203</t>
  </si>
  <si>
    <t>2025-09-09 11:00:50.966</t>
  </si>
  <si>
    <t>2025-09-09 11:00:56.365</t>
  </si>
  <si>
    <t>{'question': '64 ÷ 8 = ?'}</t>
  </si>
  <si>
    <t>2025-09-09 11:01:02.397</t>
  </si>
  <si>
    <t>2025-09-09 11:01:09.075</t>
  </si>
  <si>
    <t>{'question': '64 ÷ 8 = ?', 'answer': '8'}</t>
  </si>
  <si>
    <t>2025-09-09 11:01:20.140</t>
  </si>
  <si>
    <t>2025-09-09 11:01:24.210</t>
  </si>
  <si>
    <t>2025-09-09 11:01:34.873</t>
  </si>
  <si>
    <t>2025-09-09 11:01:39.226</t>
  </si>
  <si>
    <t>2025-09-09 11:01:51.832</t>
  </si>
  <si>
    <t>2025-09-09 11:01:54.346</t>
  </si>
  <si>
    <t>2025-09-09 11:02:04.540</t>
  </si>
  <si>
    <t>2025-09-09 11:02:06.537</t>
  </si>
  <si>
    <t>2025-09-09 11:02:09.351</t>
  </si>
  <si>
    <t>2025-09-09 11:02:16.897</t>
  </si>
  <si>
    <t>2025-09-09 11:02:19.671</t>
  </si>
  <si>
    <t>2025-09-09 11:02:27.114</t>
  </si>
  <si>
    <t>2025-09-09 11:02:28.232</t>
  </si>
  <si>
    <t>2025-09-09 11:02:43.357</t>
  </si>
  <si>
    <t>2025-09-09 11:02:49.608</t>
  </si>
  <si>
    <t>2025-09-09 11:02:53.467</t>
  </si>
  <si>
    <t>2025-09-09 11:02:54.006</t>
  </si>
  <si>
    <t>2025-09-09 11:02:59.431</t>
  </si>
  <si>
    <t>2025-09-09 11:03:01.473</t>
  </si>
  <si>
    <t>P221</t>
  </si>
  <si>
    <t>2025-09-09 11:47:56.088</t>
  </si>
  <si>
    <t>2025-09-09 11:48:01.849</t>
  </si>
  <si>
    <t>2025-09-09 11:48:57.197</t>
  </si>
  <si>
    <t>{'taskId': '18', 'assignedTo': 'Human', 'sliderValue': 4}</t>
  </si>
  <si>
    <t>2025-09-09 11:48:57.286</t>
  </si>
  <si>
    <t>2025-09-09 11:48:57.407</t>
  </si>
  <si>
    <t>{'taskId': '18', 'assignedTo': 'Human', 'sliderValue': 1}</t>
  </si>
  <si>
    <t>2025-09-09 11:48:57.542</t>
  </si>
  <si>
    <t>{'taskId': '18', 'assignedTo': 'Human', 'sliderValue': 3}</t>
  </si>
  <si>
    <t>2025-09-09 11:48:57.656</t>
  </si>
  <si>
    <t>{'taskId': '18', 'assignedTo': 'Human', 'sliderValue': 5}</t>
  </si>
  <si>
    <t>2025-09-09 11:48:57.753</t>
  </si>
  <si>
    <t>2025-09-09 11:48:57.836</t>
  </si>
  <si>
    <t>2025-09-09 11:48:57.958</t>
  </si>
  <si>
    <t>2025-09-09 11:48:58.058</t>
  </si>
  <si>
    <t>2025-09-09 11:48:58.146</t>
  </si>
  <si>
    <t>2025-09-09 11:48:58.276</t>
  </si>
  <si>
    <t>2025-09-09 11:48:58.335</t>
  </si>
  <si>
    <t>2025-09-09 11:48:58.404</t>
  </si>
  <si>
    <t>2025-09-09 11:48:58.548</t>
  </si>
  <si>
    <t>{'taskId': '18', 'assignedTo': 'Robot', 'sliderValue': 6}</t>
  </si>
  <si>
    <t>2025-09-09 11:48:58.640</t>
  </si>
  <si>
    <t>2025-09-09 11:48:59.190</t>
  </si>
  <si>
    <t>2025-09-09 11:48:59.313</t>
  </si>
  <si>
    <t>2025-09-09 11:48:59.415</t>
  </si>
  <si>
    <t>{'taskId': '18', 'assignedTo': 'Robot', 'sliderValue': 7}</t>
  </si>
  <si>
    <t>2025-09-09 11:48:59.499</t>
  </si>
  <si>
    <t>2025-09-09 11:49:00.136</t>
  </si>
  <si>
    <t>{'taskId': '18', 'assignedTo': 'Human', 'sliderValue': 2}</t>
  </si>
  <si>
    <t>2025-09-09 11:49:02.369</t>
  </si>
  <si>
    <t>2025-09-09 11:49:03.954</t>
  </si>
  <si>
    <t>{'taskId': '14', 'assignedTo': 'Robot', 'sliderValue': 9}</t>
  </si>
  <si>
    <t>2025-09-09 11:49:05.101</t>
  </si>
  <si>
    <t>2025-09-09 11:49:05.723</t>
  </si>
  <si>
    <t>2025-09-09 11:49:06.833</t>
  </si>
  <si>
    <t>2025-09-09 11:49:07.898</t>
  </si>
  <si>
    <t>{'taskId': '3', 'assignedTo': 'Robot', 'sliderValue': 9}</t>
  </si>
  <si>
    <t>2025-09-09 11:49:09.713</t>
  </si>
  <si>
    <t>{'taskId': '1', 'assignedTo': 'Robot', 'sliderValue': 8}</t>
  </si>
  <si>
    <t>2025-09-09 11:49:10.410</t>
  </si>
  <si>
    <t>2025-09-09 11:49:11.384</t>
  </si>
  <si>
    <t>{'taskId': '9', 'assignedTo': 'Robot', 'sliderValue': 8}</t>
  </si>
  <si>
    <t>2025-09-09 11:49:11.874</t>
  </si>
  <si>
    <t>{'taskId': '8', 'assignedTo': 'Robot', 'sliderValue': 9}</t>
  </si>
  <si>
    <t>2025-09-09 11:49:13.373</t>
  </si>
  <si>
    <t>{'taskId': '10', 'assignedTo': 'Robot', 'sliderValue': 9}</t>
  </si>
  <si>
    <t>2025-09-09 11:49:50.612</t>
  </si>
  <si>
    <t>2025-09-09 11:50:00.913</t>
  </si>
  <si>
    <t>2025-09-09 11:50:08.252</t>
  </si>
  <si>
    <t>2025-09-09 11:50:10.807</t>
  </si>
  <si>
    <t>{'question': '27 × 5 = ?'}</t>
  </si>
  <si>
    <t>2025-09-09 11:50:20.593</t>
  </si>
  <si>
    <t>{'question': '27 × 5 = ?', 'answer': '135'}</t>
  </si>
  <si>
    <t>2025-09-09 11:50:23.710</t>
  </si>
  <si>
    <t>2025-09-09 11:50:40.737</t>
  </si>
  <si>
    <t>2025-09-09 11:50:41.381</t>
  </si>
  <si>
    <t>2025-09-09 11:50:48.577</t>
  </si>
  <si>
    <t>{'question': '15 + 74 - 3 = ?', 'answer': '85'}</t>
  </si>
  <si>
    <t>2025-09-09 11:50:56.858</t>
  </si>
  <si>
    <t>2025-09-09 11:50:57.236</t>
  </si>
  <si>
    <t>2025-09-09 11:50:59.034</t>
  </si>
  <si>
    <t>2025-09-09 11:51:00.240</t>
  </si>
  <si>
    <t>2025-09-09 11:51:11.692</t>
  </si>
  <si>
    <t>2025-09-09 11:51:17.360</t>
  </si>
  <si>
    <t>2025-09-09 11:51:21.935</t>
  </si>
  <si>
    <t>2025-09-09 11:51:23.356</t>
  </si>
  <si>
    <t>2025-09-09 11:51:27.930</t>
  </si>
  <si>
    <t>2025-09-09 11:51:42.066</t>
  </si>
  <si>
    <t>2025-09-09 11:51:43.371</t>
  </si>
  <si>
    <t>2025-09-09 11:51:46.307</t>
  </si>
  <si>
    <t>2025-09-09 11:51:47.768</t>
  </si>
  <si>
    <t>2025-09-09 11:52:01.095</t>
  </si>
  <si>
    <t>2025-09-09 11:52:04.400</t>
  </si>
  <si>
    <t>2025-09-09 11:52:05.061</t>
  </si>
  <si>
    <t>2025-09-09 11:52:06.435</t>
  </si>
  <si>
    <t>{'question': '36 ÷ 6 = ?'}</t>
  </si>
  <si>
    <t>2025-09-09 11:52:10.183</t>
  </si>
  <si>
    <t>{'question': '36 ÷ 6 = ?', 'answer': '6'}</t>
  </si>
  <si>
    <t>2025-09-09 11:52:17.999</t>
  </si>
  <si>
    <t>2025-09-09 11:52:20.997</t>
  </si>
  <si>
    <t>2025-09-09 11:52:21.961</t>
  </si>
  <si>
    <t>2025-09-09 11:52:34.899</t>
  </si>
  <si>
    <t>P222</t>
  </si>
  <si>
    <t>2025-09-09 11:52:52.699</t>
  </si>
  <si>
    <t>2025-09-09 11:52:52.865</t>
  </si>
  <si>
    <t>{'previousAllocations': [{'name': 'Hospital_base', 'assignedTo': 'Robot', 'sliderValue': 8}, {'name': 'Hospital_big_top', 'assignedTo': 'Robot', 'sliderValue': 9}, {'name': 'Hospital_small_top', 'assignedTo': 'Robot', 'sliderValue': 9}, {'name': 'Hospital_screws', 'assignedTo': 'Human', 'sliderValue': 0}, {'name': 'Bridge_triangle_roof', 'assignedTo': 'Robot', 'sliderValue': 8}, {'name': 'Bridge_flat_roof', 'assignedTo': 'Robot', 'sliderValue': 10}, {'name': 'Bridge rod placement', 'assignedTo': 'Human', 'sliderValue': 0}, {'name': 'Dovetail_buttom', 'assignedTo': 'Robot', 'sliderValue': 9}, {'name': 'Dovetail_top', 'assignedTo': 'Robot', 'sliderValue': 8}, {'name': 'Wheel_holder', 'assignedTo': 'Robot', 'sliderValue': 9}, {'name': 'Wheel_holder_screws', 'assignedTo': 'Human', 'sliderValue': 0}, {'name': 'Wheel', 'assignedTo': 'Human', 'sliderValue': 0}, {'name': 'Wheel_screw', 'assignedTo': 'Human', 'sliderValue': 0}, {'name': 'Triangle', 'assignedTo': 'Robot', 'sliderValue': 9}, {'name': 'Snap_buttom', 'assignedTo': 'Robot', 'sliderValue': 10}, {'name': 'Snap_middle', 'assignedTo': 'Human', 'sliderValue': 0}, {'name': 'Snap_top', 'assignedTo': 'Human', 'sliderValue': 0}, {'name': 'Museum', 'assignedTo': 'Human', 'sliderValue': 0}, {'name': 'Inspection', 'assignedTo': 'Human', 'sliderValue': 0}]}</t>
  </si>
  <si>
    <t>2025-09-09 11:53:07.369</t>
  </si>
  <si>
    <t>2025-09-09 11:53:09.825</t>
  </si>
  <si>
    <t>{'taskId': '14', 'assignedTo': 'Human', 'sliderValue': 1}</t>
  </si>
  <si>
    <t>2025-09-09 11:53:10.093</t>
  </si>
  <si>
    <t>2025-09-09 11:53:58.165</t>
  </si>
  <si>
    <t>2025-09-09 11:54:05.567</t>
  </si>
  <si>
    <t>2025-09-09 11:54:12.813</t>
  </si>
  <si>
    <t>2025-09-09 11:54:18.307</t>
  </si>
  <si>
    <t>2025-09-09 11:54:27.561</t>
  </si>
  <si>
    <t>2025-09-09 11:54:27.725</t>
  </si>
  <si>
    <t>2025-09-09 11:54:29.315</t>
  </si>
  <si>
    <t>2025-09-09 11:54:29.948</t>
  </si>
  <si>
    <t>2025-09-09 11:54:46.718</t>
  </si>
  <si>
    <t>2025-09-09 11:54:47.858</t>
  </si>
  <si>
    <t>{'question': '14 × 7 = ?'}</t>
  </si>
  <si>
    <t>2025-09-09 11:54:54.064</t>
  </si>
  <si>
    <t>{'question': '14 × 7 = ?', 'answer': '98'}</t>
  </si>
  <si>
    <t>2025-09-09 11:54:55.550</t>
  </si>
  <si>
    <t>2025-09-09 11:54:56.539</t>
  </si>
  <si>
    <t>2025-09-09 11:55:05.872</t>
  </si>
  <si>
    <t>2025-09-09 11:55:14.184</t>
  </si>
  <si>
    <t>2025-09-09 11:55:17.750</t>
  </si>
  <si>
    <t>2025-09-09 11:55:20.210</t>
  </si>
  <si>
    <t>2025-09-09 11:55:22.421</t>
  </si>
  <si>
    <t>2025-09-09 11:55:24.260</t>
  </si>
  <si>
    <t>2025-09-09 11:55:37.882</t>
  </si>
  <si>
    <t>2025-09-09 11:55:39.725</t>
  </si>
  <si>
    <t>2025-09-09 11:55:44.233</t>
  </si>
  <si>
    <t>2025-09-09 11:55:54.480</t>
  </si>
  <si>
    <t>2025-09-09 11:55:59.112</t>
  </si>
  <si>
    <t>2025-09-09 11:56:00.700</t>
  </si>
  <si>
    <t>2025-09-09 11:56:04.371</t>
  </si>
  <si>
    <t>2025-09-09 11:56:10.655</t>
  </si>
  <si>
    <t>2025-09-09 11:56:12.188</t>
  </si>
  <si>
    <t>2025-09-09 11:56:28.333</t>
  </si>
  <si>
    <t>2025-09-09 11:56:28.930</t>
  </si>
  <si>
    <t>P223</t>
  </si>
  <si>
    <t>2025-09-09 11:58:55.304</t>
  </si>
  <si>
    <t>2025-09-09 11:58:55.806</t>
  </si>
  <si>
    <t>2025-09-09 11:59:11.456</t>
  </si>
  <si>
    <t>2025-09-09 11:59:12.311</t>
  </si>
  <si>
    <t>2025-09-09 11:59:54.514</t>
  </si>
  <si>
    <t>2025-09-09 11:59:55.086</t>
  </si>
  <si>
    <t>{'taskId': '9', 'assignedTo': 'Robot', 'sliderValue': 9}</t>
  </si>
  <si>
    <t>2025-09-09 11:59:55.819</t>
  </si>
  <si>
    <t>{'taskId': '15', 'assignedTo': 'Robot', 'sliderValue': 9}</t>
  </si>
  <si>
    <t>2025-09-09 11:59:57.237</t>
  </si>
  <si>
    <t>{'taskId': '6', 'assignedTo': 'Robot', 'sliderValue': 9}</t>
  </si>
  <si>
    <t>2025-09-09 11:59:57.731</t>
  </si>
  <si>
    <t>2025-09-09 11:59:58.474</t>
  </si>
  <si>
    <t>2025-09-09 11:59:58.871</t>
  </si>
  <si>
    <t>2025-09-09 11:59:59.324</t>
  </si>
  <si>
    <t>{'taskId': '1', 'assignedTo': 'Robot', 'sliderValue': 9}</t>
  </si>
  <si>
    <t>2025-09-09 12:00:01.400</t>
  </si>
  <si>
    <t>2025-09-09 12:00:09.110</t>
  </si>
  <si>
    <t>2025-09-09 12:00:26.648</t>
  </si>
  <si>
    <t>2025-09-09 12:00:39.427</t>
  </si>
  <si>
    <t>2025-09-09 12:00:40.002</t>
  </si>
  <si>
    <t>2025-09-09 12:00:41.793</t>
  </si>
  <si>
    <t>2025-09-09 12:00:42.117</t>
  </si>
  <si>
    <t>2025-09-09 12:00:56.900</t>
  </si>
  <si>
    <t>2025-09-09 12:01:13.178</t>
  </si>
  <si>
    <t>2025-09-09 12:01:30.836</t>
  </si>
  <si>
    <t>2025-09-09 12:01:41.443</t>
  </si>
  <si>
    <t>2025-09-09 12:01:42.637</t>
  </si>
  <si>
    <t>2025-09-09 12:01:45.161</t>
  </si>
  <si>
    <t>2025-09-09 12:01:47.828</t>
  </si>
  <si>
    <t>2025-09-09 12:01:50.858</t>
  </si>
  <si>
    <t>2025-09-09 12:02:03.321</t>
  </si>
  <si>
    <t>2025-09-09 12:02:05.169</t>
  </si>
  <si>
    <t>2025-09-09 12:02:06.216</t>
  </si>
  <si>
    <t>2025-09-09 12:02:18.825</t>
  </si>
  <si>
    <t>2025-09-09 12:02:35.807</t>
  </si>
  <si>
    <t>2025-09-09 12:02:38.332</t>
  </si>
  <si>
    <t>P224</t>
  </si>
  <si>
    <t>2025-09-09 12:02:48.702</t>
  </si>
  <si>
    <t>2025-09-09 12:02:48.801</t>
  </si>
  <si>
    <t>{'previousAllocations': [{'name': 'Hospital_base', 'assignedTo': 'Robot', 'sliderValue': 9}, {'name': 'Hospital_big_top', 'assignedTo': 'Robot', 'sliderValue': 9}, {'name': 'Hospital_small_top', 'assignedTo': 'Robot', 'sliderValue': 9}, {'name': 'Hospital_screws', 'assignedTo': 'Human', 'sliderValue': 0}, {'name': 'Bridge_triangle_roof', 'assignedTo': 'Robot', 'sliderValue': 9}, {'name': 'Bridge_flat_roof', 'assignedTo': 'Robot', 'sliderValue': 9}, {'name': 'Bridge rod placement', 'assignedTo': 'Human', 'sliderValue': 0}, {'name': 'Dovetail_buttom', 'assignedTo': 'Robot', 'sliderValue': 9}, {'name': 'Dovetail_top', 'assignedTo': 'Robot', 'sliderValue': 9}, {'name': 'Wheel_holder', 'assignedTo': 'Robot', 'sliderValue': 9}, {'name': 'Wheel_holder_screws', 'assignedTo': 'Human', 'sliderValue': 0}, {'name': 'Wheel', 'assignedTo': 'Human', 'sliderValue': 0}, {'name': 'Wheel_screw', 'assignedTo': 'Human', 'sliderValue': 0}, {'name': 'Triangle', 'assignedTo': 'Human', 'sliderValue': 1}, {'name': 'Snap_buttom', 'assignedTo': 'Robot', 'sliderValue': 9}, {'name': 'Snap_middle', 'assignedTo': 'Human', 'sliderValue': 0}, {'name': 'Snap_top', 'assignedTo': 'Human', 'sliderValue': 0}, {'name': 'Museum', 'assignedTo': 'Human', 'sliderValue': 1}, {'name': 'Inspection', 'assignedTo': 'Human', 'sliderValue': 0}]}</t>
  </si>
  <si>
    <t>2025-09-09 12:03:03.204</t>
  </si>
  <si>
    <t>2025-09-09 12:03:03.266</t>
  </si>
  <si>
    <t>2025-09-09 12:03:03.324</t>
  </si>
  <si>
    <t>2025-09-09 12:03:03.389</t>
  </si>
  <si>
    <t>2025-09-09 12:03:03.469</t>
  </si>
  <si>
    <t>2025-09-09 12:03:03.538</t>
  </si>
  <si>
    <t>2025-09-09 12:03:03.610</t>
  </si>
  <si>
    <t>2025-09-09 12:03:07.202</t>
  </si>
  <si>
    <t>{'taskId': '14', 'assignedTo': 'Robot', 'sliderValue': 8}</t>
  </si>
  <si>
    <t>2025-09-09 12:03:28.700</t>
  </si>
  <si>
    <t>2025-09-09 12:03:43.324</t>
  </si>
  <si>
    <t>2025-09-09 12:04:02.437</t>
  </si>
  <si>
    <t>2025-09-09 12:04:21.566</t>
  </si>
  <si>
    <t>2025-09-09 12:04:39.934</t>
  </si>
  <si>
    <t>2025-09-09 12:04:51.852</t>
  </si>
  <si>
    <t>2025-09-09 12:04:52.041</t>
  </si>
  <si>
    <t>2025-09-09 12:04:52.634</t>
  </si>
  <si>
    <t>2025-09-09 12:04:53.617</t>
  </si>
  <si>
    <t>2025-09-09 12:04:54.799</t>
  </si>
  <si>
    <t>2025-09-09 12:04:55.482</t>
  </si>
  <si>
    <t>2025-09-09 12:05:10.910</t>
  </si>
  <si>
    <t>2025-09-09 12:05:25.609</t>
  </si>
  <si>
    <t>2025-09-09 12:05:34.398</t>
  </si>
  <si>
    <t>2025-09-09 12:05:35.032</t>
  </si>
  <si>
    <t>2025-09-09 12:05:41.821</t>
  </si>
  <si>
    <t>2025-09-09 12:05:59.598</t>
  </si>
  <si>
    <t>2025-09-09 12:06:16.511</t>
  </si>
  <si>
    <t>2025-09-09 12:06:37.073</t>
  </si>
  <si>
    <t>2025-09-09 12:06:40.207</t>
  </si>
  <si>
    <t>P230</t>
  </si>
  <si>
    <t>2025-09-09 13:42:40.971</t>
  </si>
  <si>
    <t>2025-09-09 13:42:46.897</t>
  </si>
  <si>
    <t>2025-09-09 13:43:26.255</t>
  </si>
  <si>
    <t>2025-09-09 13:43:26.997</t>
  </si>
  <si>
    <t>2025-09-09 13:43:27.846</t>
  </si>
  <si>
    <t>2025-09-09 13:44:02.688</t>
  </si>
  <si>
    <t>2025-09-09 13:44:05.729</t>
  </si>
  <si>
    <t>2025-09-09 13:44:06.650</t>
  </si>
  <si>
    <t>2025-09-09 13:44:42.952</t>
  </si>
  <si>
    <t>2025-09-09 13:44:43.689</t>
  </si>
  <si>
    <t>2025-09-09 13:44:50.972</t>
  </si>
  <si>
    <t>2025-09-09 13:44:52.373</t>
  </si>
  <si>
    <t>2025-09-09 13:45:15.044</t>
  </si>
  <si>
    <t>{'taskId': '15', 'assignedTo': 'Robot', 'sliderValue': 6}</t>
  </si>
  <si>
    <t>2025-09-09 13:45:15.123</t>
  </si>
  <si>
    <t>{'taskId': '15', 'assignedTo': 'Robot', 'sliderValue': 8}</t>
  </si>
  <si>
    <t>2025-09-09 13:45:15.242</t>
  </si>
  <si>
    <t>{'taskId': '15', 'assignedTo': 'Robot', 'sliderValue': 7}</t>
  </si>
  <si>
    <t>2025-09-09 13:45:15.356</t>
  </si>
  <si>
    <t>2025-09-09 13:45:15.463</t>
  </si>
  <si>
    <t>2025-09-09 13:45:15.577</t>
  </si>
  <si>
    <t>2025-09-09 13:45:15.674</t>
  </si>
  <si>
    <t>2025-09-09 13:45:15.767</t>
  </si>
  <si>
    <t>2025-09-09 13:45:15.865</t>
  </si>
  <si>
    <t>2025-09-09 13:45:15.975</t>
  </si>
  <si>
    <t>2025-09-09 13:45:16.158</t>
  </si>
  <si>
    <t>{'taskId': '15', 'assignedTo': 'Human', 'sliderValue': 4}</t>
  </si>
  <si>
    <t>2025-09-09 13:45:16.300</t>
  </si>
  <si>
    <t>{'taskId': '15', 'assignedTo': 'Human', 'sliderValue': 3}</t>
  </si>
  <si>
    <t>2025-09-09 13:45:16.377</t>
  </si>
  <si>
    <t>2025-09-09 13:45:16.755</t>
  </si>
  <si>
    <t>2025-09-09 13:45:23.694</t>
  </si>
  <si>
    <t>2025-09-09 13:45:31.289</t>
  </si>
  <si>
    <t>2025-09-09 13:45:35.939</t>
  </si>
  <si>
    <t>2025-09-09 13:45:40.289</t>
  </si>
  <si>
    <t>2025-09-09 13:45:41.292</t>
  </si>
  <si>
    <t>2025-09-09 13:45:55.185</t>
  </si>
  <si>
    <t>2025-09-09 13:45:58.971</t>
  </si>
  <si>
    <t>2025-09-09 13:46:15.920</t>
  </si>
  <si>
    <t>2025-09-09 13:46:17.219</t>
  </si>
  <si>
    <t>2025-09-09 13:46:31.407</t>
  </si>
  <si>
    <t>2025-09-09 13:46:33.945</t>
  </si>
  <si>
    <t>2025-09-09 13:46:35.132</t>
  </si>
  <si>
    <t>2025-09-09 13:46:46.594</t>
  </si>
  <si>
    <t>2025-09-09 13:46:46.893</t>
  </si>
  <si>
    <t>2025-09-09 13:47:02.050</t>
  </si>
  <si>
    <t>2025-09-09 13:47:03.837</t>
  </si>
  <si>
    <t>2025-09-09 13:47:05.883</t>
  </si>
  <si>
    <t>2025-09-09 13:47:20.742</t>
  </si>
  <si>
    <t>2025-09-09 13:47:37.381</t>
  </si>
  <si>
    <t>2025-09-09 13:47:42.101</t>
  </si>
  <si>
    <t>P231</t>
  </si>
  <si>
    <t>2025-09-09 13:47:51.391</t>
  </si>
  <si>
    <t>2025-09-09 13:47:51.493</t>
  </si>
  <si>
    <t>{'previousAllocations': [{'name': 'Hospital_base', 'assignedTo': 'Human', 'sliderValue': 0}, {'name': 'Hospital_big_top', 'assignedTo': 'Human', 'sliderValue': 0}, {'name': 'Hospital_small_top', 'assignedTo': 'Human', 'sliderValue': 0}, {'name': 'Hospital_screws', 'assignedTo': 'Human', 'sliderValue': 0}, {'name': 'Bridge_triangle_roof', 'assignedTo': 'Robot', 'sliderValue': 10}, {'name': 'Bridge_flat_roof', 'assignedTo': 'Robot', 'sliderValue': 10}, {'name': 'Bridge rod placement', 'assignedTo': 'Human', 'sliderValue': 0}, {'name': 'Dovetail_buttom', 'assignedTo': 'Robot', 'sliderValue': 10}, {'name': 'Dovetail_top', 'assignedTo': 'Robot', 'sliderValue': 10}, {'name': 'Wheel_holder', 'assignedTo': 'Robot', 'sliderValue': 10}, {'name': 'Wheel_holder_screws', 'assignedTo': 'Human', 'sliderValue': 0}, {'name': 'Wheel', 'assignedTo': 'Human', 'sliderValue': 0}, {'name': 'Wheel_screw', 'assignedTo': 'Human', 'sliderValue': 0}, {'name': 'Triangle', 'assignedTo': 'Robot', 'sliderValue': 10}, {'name': 'Snap_buttom', 'assignedTo': 'Robot', 'sliderValue': 10}, {'name': 'Snap_middle', 'assignedTo': 'Human', 'sliderValue': 0}, {'name': 'Snap_top', 'assignedTo': 'Human', 'sliderValue': 0}, {'name': 'Museum', 'assignedTo': 'Robot', 'sliderValue': 10}, {'name': 'Inspection', 'assignedTo': 'Human', 'sliderValue': 0}]}</t>
  </si>
  <si>
    <t>2025-09-09 13:47:52.000</t>
  </si>
  <si>
    <t>2025-09-09 13:48:48.467</t>
  </si>
  <si>
    <t>2025-09-09 13:48:52.299</t>
  </si>
  <si>
    <t>2025-09-09 13:49:06.931</t>
  </si>
  <si>
    <t>2025-09-09 13:49:15.592</t>
  </si>
  <si>
    <t>2025-09-09 13:49:21.207</t>
  </si>
  <si>
    <t>2025-09-09 13:49:22.347</t>
  </si>
  <si>
    <t>2025-09-09 13:49:37.839</t>
  </si>
  <si>
    <t>2025-09-09 13:49:41.660</t>
  </si>
  <si>
    <t>2025-09-09 13:49:44.239</t>
  </si>
  <si>
    <t>2025-09-09 13:49:53.603</t>
  </si>
  <si>
    <t>2025-09-09 13:49:54.035</t>
  </si>
  <si>
    <t>2025-09-09 13:50:11.737</t>
  </si>
  <si>
    <t>2025-09-09 13:50:26.493</t>
  </si>
  <si>
    <t>2025-09-09 13:50:39.201</t>
  </si>
  <si>
    <t>2025-09-09 13:50:41.236</t>
  </si>
  <si>
    <t>2025-09-09 13:50:56.748</t>
  </si>
  <si>
    <t>2025-09-09 13:50:57.634</t>
  </si>
  <si>
    <t>2025-09-09 13:51:02.420</t>
  </si>
  <si>
    <t>2025-09-09 13:51:09.042</t>
  </si>
  <si>
    <t>2025-09-09 13:51:13.001</t>
  </si>
  <si>
    <t>2025-09-09 13:51:16.799</t>
  </si>
  <si>
    <t>2025-09-09 13:51:17.751</t>
  </si>
  <si>
    <t>P232</t>
  </si>
  <si>
    <t>2025-09-09 13:53:19.261</t>
  </si>
  <si>
    <t>2025-09-09 13:53:33.443</t>
  </si>
  <si>
    <t>2025-09-09 13:53:47.125</t>
  </si>
  <si>
    <t>2025-09-09 13:53:48.142</t>
  </si>
  <si>
    <t>2025-09-09 13:53:48.776</t>
  </si>
  <si>
    <t>2025-09-09 13:53:50.146</t>
  </si>
  <si>
    <t>2025-09-09 13:53:51.288</t>
  </si>
  <si>
    <t>2025-09-09 13:53:54.308</t>
  </si>
  <si>
    <t>2025-09-09 13:53:55.654</t>
  </si>
  <si>
    <t>2025-09-09 13:54:00.812</t>
  </si>
  <si>
    <t>2025-09-09 13:54:01.538</t>
  </si>
  <si>
    <t>2025-09-09 13:54:02.837</t>
  </si>
  <si>
    <t>2025-09-09 13:54:04.139</t>
  </si>
  <si>
    <t>2025-09-09 13:54:15.450</t>
  </si>
  <si>
    <t>2025-09-09 13:54:22.911</t>
  </si>
  <si>
    <t>2025-09-09 13:54:30.590</t>
  </si>
  <si>
    <t>2025-09-09 13:54:33.062</t>
  </si>
  <si>
    <t>2025-09-09 13:54:35.603</t>
  </si>
  <si>
    <t>2025-09-09 13:54:39.646</t>
  </si>
  <si>
    <t>2025-09-09 13:54:41.193</t>
  </si>
  <si>
    <t>2025-09-09 13:54:48.504</t>
  </si>
  <si>
    <t>2025-09-09 13:54:57.074</t>
  </si>
  <si>
    <t>2025-09-09 13:54:59.792</t>
  </si>
  <si>
    <t>2025-09-09 13:55:06.115</t>
  </si>
  <si>
    <t>2025-09-09 13:55:13.656</t>
  </si>
  <si>
    <t>{'question': '29 × 4 = ?', 'answer': '106'}</t>
  </si>
  <si>
    <t>2025-09-09 13:55:23.756</t>
  </si>
  <si>
    <t>2025-09-09 13:55:24.911</t>
  </si>
  <si>
    <t>2025-09-09 13:55:39.245</t>
  </si>
  <si>
    <t>2025-09-09 13:55:42.173</t>
  </si>
  <si>
    <t>2025-09-09 13:55:45.035</t>
  </si>
  <si>
    <t>2025-09-09 13:55:50.187</t>
  </si>
  <si>
    <t>2025-09-09 13:55:56.142</t>
  </si>
  <si>
    <t>2025-09-09 13:56:10.296</t>
  </si>
  <si>
    <t>2025-09-09 13:56:17.006</t>
  </si>
  <si>
    <t>2025-09-09 13:56:20.780</t>
  </si>
  <si>
    <t>2025-09-09 13:56:22.542</t>
  </si>
  <si>
    <t>2025-09-09 13:56:28.638</t>
  </si>
  <si>
    <t>2025-09-09 13:56:34.898</t>
  </si>
  <si>
    <t>2025-09-09 13:56:37.129</t>
  </si>
  <si>
    <t>2025-09-09 13:56:44.293</t>
  </si>
  <si>
    <t>2025-09-09 13:56:50.168</t>
  </si>
  <si>
    <t>2025-09-09 13:56:54.819</t>
  </si>
  <si>
    <t>2025-09-09 13:56:58.050</t>
  </si>
  <si>
    <t>2025-09-09 13:56:58.860</t>
  </si>
  <si>
    <t>P233</t>
  </si>
  <si>
    <t>2025-09-09 13:57:14.724</t>
  </si>
  <si>
    <t>2025-09-09 13:57:14.808</t>
  </si>
  <si>
    <t>{'previousAllocations': [{'name': 'Hospital_base', 'assignedTo': 'Human', 'sliderValue': 0}, {'name': 'Hospital_big_top', 'assignedTo': 'Human', 'sliderValue': 0}, {'name': 'Hospital_small_top', 'assignedTo': 'Human', 'sliderValue': 0}, {'name': 'Hospital_screws', 'assignedTo': 'Human', 'sliderValue': 0}, {'name': 'Bridge_triangle_roof', 'assignedTo': 'Robot', 'sliderValue': 10}, {'name': 'Bridge_flat_roof', 'assignedTo': 'Robot', 'sliderValue': 10}, {'name': 'Bridge rod placement', 'assignedTo': 'Human', 'sliderValue': 0}, {'name': 'Dovetail_buttom', 'assignedTo': 'Robot', 'sliderValue': 10}, {'name': 'Dovetail_top', 'assignedTo': 'Robot', 'sliderValue': 10}, {'name': 'Wheel_holder', 'assignedTo': 'Robot', 'sliderValue': 10}, {'name': 'Wheel_holder_screws', 'assignedTo': 'Human', 'sliderValue': 0}, {'name': 'Wheel', 'assignedTo': 'Human', 'sliderValue': 0}, {'name': 'Wheel_screw', 'assignedTo': 'Human', 'sliderValue': 0}, {'name': 'Triangle', 'assignedTo': 'Human', 'sliderValue': 0}, {'name': 'Snap_buttom', 'assignedTo': 'Robot', 'sliderValue': 10}, {'name': 'Snap_middle', 'assignedTo': 'Human', 'sliderValue': 0}, {'name': 'Snap_top', 'assignedTo': 'Human', 'sliderValue': 0}, {'name': 'Museum', 'assignedTo': 'Human', 'sliderValue': 0}, {'name': 'Inspection', 'assignedTo': 'Human', 'sliderValue': 0}]}</t>
  </si>
  <si>
    <t>2025-09-09 13:57:29.244</t>
  </si>
  <si>
    <t>2025-09-09 13:57:29.333</t>
  </si>
  <si>
    <t>2025-09-09 13:57:29.395</t>
  </si>
  <si>
    <t>2025-09-09 13:57:29.484</t>
  </si>
  <si>
    <t>2025-09-09 13:57:29.558</t>
  </si>
  <si>
    <t>2025-09-09 13:57:29.632</t>
  </si>
  <si>
    <t>2025-09-09 13:57:42.293</t>
  </si>
  <si>
    <t>2025-09-09 13:58:02.656</t>
  </si>
  <si>
    <t>2025-09-09 13:58:09.769</t>
  </si>
  <si>
    <t>2025-09-09 13:58:15.851</t>
  </si>
  <si>
    <t>2025-09-09 13:58:17.292</t>
  </si>
  <si>
    <t>2025-09-09 13:58:21.009</t>
  </si>
  <si>
    <t>2025-09-09 13:58:22.799</t>
  </si>
  <si>
    <t>2025-09-09 13:58:30.705</t>
  </si>
  <si>
    <t>2025-09-09 13:58:32.005</t>
  </si>
  <si>
    <t>2025-09-09 13:58:42.232</t>
  </si>
  <si>
    <t>2025-09-09 13:58:46.835</t>
  </si>
  <si>
    <t>2025-09-09 13:58:50.830</t>
  </si>
  <si>
    <t>2025-09-09 13:58:56.037</t>
  </si>
  <si>
    <t>2025-09-09 13:59:01.526</t>
  </si>
  <si>
    <t>2025-09-09 13:59:03.690</t>
  </si>
  <si>
    <t>2025-09-09 13:59:10.058</t>
  </si>
  <si>
    <t>2025-09-09 13:59:16.158</t>
  </si>
  <si>
    <t>2025-09-09 13:59:17.757</t>
  </si>
  <si>
    <t>2025-09-09 13:59:21.198</t>
  </si>
  <si>
    <t>2025-09-09 13:59:35.458</t>
  </si>
  <si>
    <t>2025-09-09 13:59:38.095</t>
  </si>
  <si>
    <t>2025-09-09 13:59:41.307</t>
  </si>
  <si>
    <t>2025-09-09 13:59:47.390</t>
  </si>
  <si>
    <t>2025-09-09 13:59:52.342</t>
  </si>
  <si>
    <t>2025-09-09 13:59:55.876</t>
  </si>
  <si>
    <t>2025-09-09 13:59:59.237</t>
  </si>
  <si>
    <t>2025-09-09 14:00:07.502</t>
  </si>
  <si>
    <t>2025-09-09 14:00:12.982</t>
  </si>
  <si>
    <t>2025-09-09 14:00:14.763</t>
  </si>
  <si>
    <t>2025-09-09 14:00:18.875</t>
  </si>
  <si>
    <t>2025-09-09 14:00:19.384</t>
  </si>
  <si>
    <t>P239</t>
  </si>
  <si>
    <t>2025-09-09 14:43:39.702</t>
  </si>
  <si>
    <t>2025-09-09 14:43:45.615</t>
  </si>
  <si>
    <t>2025-09-09 14:44:21.785</t>
  </si>
  <si>
    <t>2025-09-09 14:44:24.603</t>
  </si>
  <si>
    <t>2025-09-09 14:44:25.047</t>
  </si>
  <si>
    <t>2025-09-09 14:44:29.105</t>
  </si>
  <si>
    <t>2025-09-09 14:44:29.541</t>
  </si>
  <si>
    <t>2025-09-09 14:44:29.993</t>
  </si>
  <si>
    <t>2025-09-09 14:44:50.735</t>
  </si>
  <si>
    <t>2025-09-09 14:44:51.231</t>
  </si>
  <si>
    <t>{'taskId': '6', 'assignedTo': 'Robot', 'sliderValue': 7}</t>
  </si>
  <si>
    <t>2025-09-09 14:44:52.402</t>
  </si>
  <si>
    <t>2025-09-09 14:44:53.354</t>
  </si>
  <si>
    <t>2025-09-09 14:44:53.419</t>
  </si>
  <si>
    <t>2025-09-09 14:44:54.090</t>
  </si>
  <si>
    <t>2025-09-09 14:45:12.806</t>
  </si>
  <si>
    <t>2025-09-09 14:45:30.440</t>
  </si>
  <si>
    <t>2025-09-09 14:45:32.975</t>
  </si>
  <si>
    <t>2025-09-09 14:45:39.790</t>
  </si>
  <si>
    <t>2025-09-09 14:45:45.854</t>
  </si>
  <si>
    <t>2025-09-09 14:45:59.918</t>
  </si>
  <si>
    <t>2025-09-09 14:46:03.505</t>
  </si>
  <si>
    <t>2025-09-09 14:46:04.605</t>
  </si>
  <si>
    <t>2025-09-09 14:46:18.875</t>
  </si>
  <si>
    <t>2025-09-09 14:46:24.718</t>
  </si>
  <si>
    <t>2025-09-09 14:46:28.568</t>
  </si>
  <si>
    <t>2025-09-09 14:46:29.588</t>
  </si>
  <si>
    <t>2025-09-09 14:46:30.259</t>
  </si>
  <si>
    <t>2025-09-09 14:46:30.882</t>
  </si>
  <si>
    <t>2025-09-09 14:46:33.593</t>
  </si>
  <si>
    <t>2025-09-09 14:46:48.683</t>
  </si>
  <si>
    <t>{'question': '56 ÷ 7 = ?'}</t>
  </si>
  <si>
    <t>2025-09-09 14:46:49.776</t>
  </si>
  <si>
    <t>2025-09-09 14:46:54.887</t>
  </si>
  <si>
    <t>{'question': '56 ÷ 7 = ?', 'answer': '8'}</t>
  </si>
  <si>
    <t>2025-09-09 14:47:07.329</t>
  </si>
  <si>
    <t>2025-09-09 14:47:12.116</t>
  </si>
  <si>
    <t>2025-09-09 14:47:15.020</t>
  </si>
  <si>
    <t>2025-09-09 14:47:20.098</t>
  </si>
  <si>
    <t>2025-09-09 14:47:24.889</t>
  </si>
  <si>
    <t>2025-09-09 14:47:27.512</t>
  </si>
  <si>
    <t>2025-09-09 14:47:40.219</t>
  </si>
  <si>
    <t>2025-09-09 14:47:40.400</t>
  </si>
  <si>
    <t>2025-09-09 14:47:46.904</t>
  </si>
  <si>
    <t>2025-09-09 14:47:54.864</t>
  </si>
  <si>
    <t>2025-09-09 14:47:56.468</t>
  </si>
  <si>
    <t>2025-09-09 14:47:57.216</t>
  </si>
  <si>
    <t>2025-09-09 14:48:07.025</t>
  </si>
  <si>
    <t>2025-09-09 14:48:13.670</t>
  </si>
  <si>
    <t>2025-09-09 14:48:18.452</t>
  </si>
  <si>
    <t>2025-09-09 14:48:20.125</t>
  </si>
  <si>
    <t>P240</t>
  </si>
  <si>
    <t>2025-09-09 14:48:36.621</t>
  </si>
  <si>
    <t>2025-09-09 14:48:36.731</t>
  </si>
  <si>
    <t>{'previousAllocations': [{'name': 'Hospital_base', 'assignedTo': 'Robot', 'sliderValue': 9}, {'name': 'Hospital_big_top', 'assignedTo': 'Robot', 'sliderValue': 9}, {'name': 'Hospital_small_top', 'assignedTo': 'Robot', 'sliderValue': 9}, {'name': 'Hospital_screws', 'assignedTo': 'Human', 'sliderValue': 0}, {'name': 'Bridge_triangle_roof', 'assignedTo': 'Robot', 'sliderValue': 10}, {'name': 'Bridge_flat_roof', 'assignedTo': 'Robot', 'sliderValue': 7}, {'name': 'Bridge rod placement', 'assignedTo': 'Human', 'sliderValue': 0}, {'name': 'Dovetail_buttom', 'assignedTo': 'Robot', 'sliderValue': 9}, {'name': 'Dovetail_top', 'assignedTo': 'Robot', 'sliderValue': 10}, {'name': 'Wheel_holder', 'assignedTo': 'Robot', 'sliderValue': 9}, {'name': 'Wheel_holder_screws', 'assignedTo': 'Human', 'sliderValue': 0}, {'name': 'Wheel', 'assignedTo': 'Human', 'sliderValue': 0}, {'name': 'Wheel_screw', 'assignedTo': 'Human', 'sliderValue': 0}, {'name': 'Triangle', 'assignedTo': 'Robot', 'sliderValue': 9}, {'name': 'Snap_buttom', 'assignedTo': 'Robot', 'sliderValue': 8}, {'name': 'Snap_middle', 'assignedTo': 'Human', 'sliderValue': 0}, {'name': 'Snap_top', 'assignedTo': 'Human', 'sliderValue': 0}, {'name': 'Museum', 'assignedTo': 'Robot', 'sliderValue': 9}, {'name': 'Inspection', 'assignedTo': 'Human', 'sliderValue': 0}]}</t>
  </si>
  <si>
    <t>2025-09-09 14:48:37.232</t>
  </si>
  <si>
    <t>2025-09-09 14:49:10.746</t>
  </si>
  <si>
    <t>2025-09-09 14:49:25.390</t>
  </si>
  <si>
    <t>2025-09-09 14:49:30.876</t>
  </si>
  <si>
    <t>{'question': '25 + 36 - 14 = ?'}</t>
  </si>
  <si>
    <t>2025-09-09 14:49:40.245</t>
  </si>
  <si>
    <t>{'question': '25 + 36 - 14 = ?', 'answer': '47'}</t>
  </si>
  <si>
    <t>2025-09-09 14:49:44.449</t>
  </si>
  <si>
    <t>2025-09-09 14:50:00.362</t>
  </si>
  <si>
    <t>2025-09-09 14:50:03.535</t>
  </si>
  <si>
    <t>2025-09-09 14:50:07.538</t>
  </si>
  <si>
    <t>2025-09-09 14:50:16.010</t>
  </si>
  <si>
    <t>2025-09-09 14:50:16.940</t>
  </si>
  <si>
    <t>2025-09-09 14:50:17.764</t>
  </si>
  <si>
    <t>2025-09-09 14:50:21.882</t>
  </si>
  <si>
    <t>2025-09-09 14:50:27.641</t>
  </si>
  <si>
    <t>{'question': '52 + 19 - 8 = ?'}</t>
  </si>
  <si>
    <t>2025-09-09 14:50:37.360</t>
  </si>
  <si>
    <t>2025-09-09 14:50:45.121</t>
  </si>
  <si>
    <t>{'question': '52 + 19 - 8 = ?', 'answer': '63'}</t>
  </si>
  <si>
    <t>2025-09-09 14:50:52.807</t>
  </si>
  <si>
    <t>2025-09-09 14:51:01.886</t>
  </si>
  <si>
    <t>2025-09-09 14:51:03.375</t>
  </si>
  <si>
    <t>2025-09-09 14:51:05.237</t>
  </si>
  <si>
    <t>2025-09-09 14:51:08.977</t>
  </si>
  <si>
    <t>2025-09-09 14:51:11.630</t>
  </si>
  <si>
    <t>2025-09-09 14:51:26.623</t>
  </si>
  <si>
    <t>2025-09-09 14:51:31.742</t>
  </si>
  <si>
    <t>2025-09-09 14:51:39.221</t>
  </si>
  <si>
    <t>2025-09-09 14:51:41.376</t>
  </si>
  <si>
    <t>2025-09-09 14:51:48.679</t>
  </si>
  <si>
    <t>2025-09-09 14:51:49.253</t>
  </si>
  <si>
    <t>2025-09-09 14:51:58.238</t>
  </si>
  <si>
    <t>2025-09-09 14:51:59.336</t>
  </si>
  <si>
    <t>2025-09-09 14:52:08.518</t>
  </si>
  <si>
    <t>2025-09-09 14:52:16.588</t>
  </si>
  <si>
    <t>2025-09-09 14:52:19.530</t>
  </si>
  <si>
    <t>P241</t>
  </si>
  <si>
    <t>2025-09-09 14:54:34.697</t>
  </si>
  <si>
    <t>2025-09-09 14:54:49.231</t>
  </si>
  <si>
    <t>2025-09-09 14:54:49.309</t>
  </si>
  <si>
    <t>2025-09-09 14:54:49.366</t>
  </si>
  <si>
    <t>2025-09-09 14:54:49.406</t>
  </si>
  <si>
    <t>{'taskId': '3', 'assignedTo': 'Robot', 'sliderValue': 8}</t>
  </si>
  <si>
    <t>2025-09-09 14:54:52.823</t>
  </si>
  <si>
    <t>2025-09-09 14:54:53.553</t>
  </si>
  <si>
    <t>{'taskId': '6', 'assignedTo': 'Robot', 'sliderValue': 8}</t>
  </si>
  <si>
    <t>2025-09-09 14:55:02.334</t>
  </si>
  <si>
    <t>2025-09-09 14:55:06.834</t>
  </si>
  <si>
    <t>{'taskId': '8', 'assignedTo': 'Robot', 'sliderValue': 8}</t>
  </si>
  <si>
    <t>2025-09-09 14:55:07.298</t>
  </si>
  <si>
    <t>2025-09-09 14:55:08.111</t>
  </si>
  <si>
    <t>2025-09-09 14:55:22.077</t>
  </si>
  <si>
    <t>2025-09-09 14:55:22.876</t>
  </si>
  <si>
    <t>2025-09-09 14:55:51.220</t>
  </si>
  <si>
    <t>2025-09-09 14:55:53.590</t>
  </si>
  <si>
    <t>2025-09-09 14:56:09.009</t>
  </si>
  <si>
    <t>2025-09-09 14:56:23.664</t>
  </si>
  <si>
    <t>2025-09-09 14:56:39.832</t>
  </si>
  <si>
    <t>2025-09-09 14:56:44.126</t>
  </si>
  <si>
    <t>2025-09-09 14:56:57.465</t>
  </si>
  <si>
    <t>2025-09-09 14:57:12.959</t>
  </si>
  <si>
    <t>2025-09-09 14:57:29.877</t>
  </si>
  <si>
    <t>2025-09-09 14:57:33.028</t>
  </si>
  <si>
    <t>2025-09-09 14:57:33.904</t>
  </si>
  <si>
    <t>2025-09-09 14:57:34.556</t>
  </si>
  <si>
    <t>2025-09-09 14:57:46.731</t>
  </si>
  <si>
    <t>2025-09-09 14:58:02.152</t>
  </si>
  <si>
    <t>2025-09-09 14:58:19.883</t>
  </si>
  <si>
    <t>2025-09-09 14:58:36.788</t>
  </si>
  <si>
    <t>2025-09-09 14:58:52.781</t>
  </si>
  <si>
    <t>2025-09-09 14:58:54.444</t>
  </si>
  <si>
    <t>2025-09-09 14:58:55.652</t>
  </si>
  <si>
    <t>2025-09-09 14:58:56.297</t>
  </si>
  <si>
    <t>2025-09-09 14:58:58.084</t>
  </si>
  <si>
    <t>P242</t>
  </si>
  <si>
    <t>2025-09-09 14:59:11.196</t>
  </si>
  <si>
    <t>2025-09-09 14:59:11.301</t>
  </si>
  <si>
    <t>{'previousAllocations': [{'name': 'Hospital_base', 'assignedTo': 'Robot', 'sliderValue': 9}, {'name': 'Hospital_big_top', 'assignedTo': 'Robot', 'sliderValue': 9}, {'name': 'Hospital_small_top', 'assignedTo': 'Robot', 'sliderValue': 8}, {'name': 'Hospital_screws', 'assignedTo': 'Human', 'sliderValue': 0}, {'name': 'Bridge_triangle_roof', 'assignedTo': 'Robot', 'sliderValue': 8}, {'name': 'Bridge_flat_roof', 'assignedTo': 'Robot', 'sliderValue': 8}, {'name': 'Bridge rod placement', 'assignedTo': 'Human', 'sliderValue': 0}, {'name': 'Dovetail_buttom', 'assignedTo': 'Robot', 'sliderValue': 8}, {'name': 'Dovetail_top', 'assignedTo': 'Robot', 'sliderValue': 8}, {'name': 'Wheel_holder', 'assignedTo': 'Robot', 'sliderValue': 9}, {'name': 'Wheel_holder_screws', 'assignedTo': 'Human', 'sliderValue': 0}, {'name': 'Wheel', 'assignedTo': 'Human', 'sliderValue': 0}, {'name': 'Wheel_screw', 'assignedTo': 'Human', 'sliderValue': 0}, {'name': 'Triangle', 'assignedTo': 'Robot', 'sliderValue': 8}, {'name': 'Snap_buttom', 'assignedTo': 'Robot', 'sliderValue': 8}, {'name': 'Snap_middle', 'assignedTo': 'Human', 'sliderValue': 0}, {'name': 'Snap_top', 'assignedTo': 'Human', 'sliderValue': 0}, {'name': 'Museum', 'assignedTo': 'Robot', 'sliderValue': 7}, {'name': 'Inspection', 'assignedTo': 'Human', 'sliderValue': 0}]}</t>
  </si>
  <si>
    <t>2025-09-09 14:59:11.817</t>
  </si>
  <si>
    <t>2025-09-09 14:59:28.267</t>
  </si>
  <si>
    <t>2025-09-09 14:59:29.479</t>
  </si>
  <si>
    <t>2025-09-09 14:59:39.900</t>
  </si>
  <si>
    <t>2025-09-09 14:59:49.356</t>
  </si>
  <si>
    <t>2025-09-09 15:00:03.904</t>
  </si>
  <si>
    <t>2025-09-09 15:00:22.979</t>
  </si>
  <si>
    <t>2025-09-09 15:00:38.391</t>
  </si>
  <si>
    <t>2025-09-09 15:00:49.033</t>
  </si>
  <si>
    <t>2025-09-09 15:00:49.600</t>
  </si>
  <si>
    <t>2025-09-09 15:00:50.268</t>
  </si>
  <si>
    <t>2025-09-09 15:00:50.717</t>
  </si>
  <si>
    <t>2025-09-09 15:00:51.144</t>
  </si>
  <si>
    <t>2025-09-09 15:00:51.880</t>
  </si>
  <si>
    <t>2025-09-09 15:00:53.064</t>
  </si>
  <si>
    <t>2025-09-09 15:00:58.113</t>
  </si>
  <si>
    <t>2025-09-09 15:01:05.514</t>
  </si>
  <si>
    <t>2025-09-09 15:01:09.190</t>
  </si>
  <si>
    <t>2025-09-09 15:01:26.837</t>
  </si>
  <si>
    <t>2025-09-09 15:01:41.546</t>
  </si>
  <si>
    <t>2025-09-09 15:01:48.944</t>
  </si>
  <si>
    <t>2025-09-09 15:01:49.575</t>
  </si>
  <si>
    <t>2025-09-09 15:01:57.355</t>
  </si>
  <si>
    <t>2025-09-09 15:02:02.845</t>
  </si>
  <si>
    <t>No Q</t>
  </si>
  <si>
    <t>Q</t>
  </si>
  <si>
    <t>P25, 26</t>
  </si>
  <si>
    <t>P27,28</t>
  </si>
  <si>
    <t>P70,71</t>
  </si>
  <si>
    <t>P167,168</t>
  </si>
  <si>
    <t>P177,178</t>
  </si>
  <si>
    <t>P186,187</t>
  </si>
  <si>
    <t>P212,213</t>
  </si>
  <si>
    <t>P223,224</t>
  </si>
  <si>
    <t>P250</t>
  </si>
  <si>
    <t>P260</t>
  </si>
  <si>
    <t>P280</t>
  </si>
  <si>
    <t>Nqy</t>
  </si>
  <si>
    <t>NQO</t>
  </si>
  <si>
    <t>Qy</t>
  </si>
  <si>
    <t>Qo</t>
  </si>
  <si>
    <t>Allocation Time</t>
  </si>
  <si>
    <t>Start Time</t>
  </si>
  <si>
    <t>Finish Time</t>
  </si>
  <si>
    <t>Hospital_base</t>
  </si>
  <si>
    <t>Hospital_big_top</t>
  </si>
  <si>
    <t>Hospital_small_top</t>
  </si>
  <si>
    <t>Hospital_screws</t>
  </si>
  <si>
    <t>Bridge_triangle_roof</t>
  </si>
  <si>
    <t>Bridge_flat_roof</t>
  </si>
  <si>
    <t>Bridge rod placement</t>
  </si>
  <si>
    <t>Dovetail_buttom</t>
  </si>
  <si>
    <t>Dovetail_top</t>
  </si>
  <si>
    <t>Wheel_holder</t>
  </si>
  <si>
    <t>Wheel_holder_screws</t>
  </si>
  <si>
    <t>Wheel</t>
  </si>
  <si>
    <t>Wheel_screw</t>
  </si>
  <si>
    <t>Triangle</t>
  </si>
  <si>
    <t>Snap_buttom</t>
  </si>
  <si>
    <t>Snap_middle</t>
  </si>
  <si>
    <t>Snap_top</t>
  </si>
  <si>
    <t>Museum</t>
  </si>
  <si>
    <t>Inspection</t>
  </si>
  <si>
    <t>10:40:27</t>
  </si>
  <si>
    <t>10:41:40</t>
  </si>
  <si>
    <t>10:44:36</t>
  </si>
  <si>
    <t>10:44:43</t>
  </si>
  <si>
    <t>10:45:19</t>
  </si>
  <si>
    <t>10:48:10</t>
  </si>
  <si>
    <t>P251</t>
  </si>
  <si>
    <t>P281</t>
  </si>
  <si>
    <t>11:58:49</t>
  </si>
  <si>
    <t>12:00:09</t>
  </si>
  <si>
    <t>12:02:38</t>
  </si>
  <si>
    <t>12:02:44</t>
  </si>
  <si>
    <t>12:03:28</t>
  </si>
  <si>
    <t>12:06:40</t>
  </si>
  <si>
    <t>13:37:13</t>
  </si>
  <si>
    <t>13:45:23</t>
  </si>
  <si>
    <t>13:47:37</t>
  </si>
  <si>
    <t>13:47:45</t>
  </si>
  <si>
    <t>13:49:06</t>
  </si>
  <si>
    <t>13:51:17</t>
  </si>
  <si>
    <t>14:52:26</t>
  </si>
  <si>
    <t>14:55:53</t>
  </si>
  <si>
    <t>14:58:56</t>
  </si>
  <si>
    <t>14:59:07</t>
  </si>
  <si>
    <t>14:59:49</t>
  </si>
  <si>
    <t>15:01:57</t>
  </si>
  <si>
    <t>11:59:20</t>
  </si>
  <si>
    <t>12:01:02</t>
  </si>
  <si>
    <t>12:03:35</t>
  </si>
  <si>
    <t>12:03:40</t>
  </si>
  <si>
    <t>12:04:41</t>
  </si>
  <si>
    <t>12:07:51</t>
  </si>
  <si>
    <t>15:47:42</t>
  </si>
  <si>
    <t>15:52:03</t>
  </si>
  <si>
    <t>15:54:30</t>
  </si>
  <si>
    <t>15:54:36</t>
  </si>
  <si>
    <t>15:55:59</t>
  </si>
  <si>
    <t>15:58:14</t>
  </si>
  <si>
    <t>14:38:51</t>
  </si>
  <si>
    <t>14:41:03</t>
  </si>
  <si>
    <t>14:43:21</t>
  </si>
  <si>
    <t>14:43:29</t>
  </si>
  <si>
    <t>14:44:06</t>
  </si>
  <si>
    <t>14:47:20</t>
  </si>
  <si>
    <t>P248</t>
  </si>
  <si>
    <t>2025-09-09 15:54:30.357</t>
  </si>
  <si>
    <t>2025-09-09 15:54:36.214</t>
  </si>
  <si>
    <t>2025-09-09 15:54:53.595</t>
  </si>
  <si>
    <t>2025-09-09 15:54:54.466</t>
  </si>
  <si>
    <t>2025-09-09 15:54:57.647</t>
  </si>
  <si>
    <t>2025-09-09 15:55:00.991</t>
  </si>
  <si>
    <t>2025-09-09 15:55:04.635</t>
  </si>
  <si>
    <t>2025-09-09 15:55:07.001</t>
  </si>
  <si>
    <t>2025-09-09 15:55:16.884</t>
  </si>
  <si>
    <t>2025-09-09 15:55:17.505</t>
  </si>
  <si>
    <t>2025-09-09 15:55:30.232</t>
  </si>
  <si>
    <t>2025-09-09 15:55:31.245</t>
  </si>
  <si>
    <t>2025-09-09 15:55:31.680</t>
  </si>
  <si>
    <t>2025-09-09 15:55:38.764</t>
  </si>
  <si>
    <t>2025-09-09 15:55:56.433</t>
  </si>
  <si>
    <t>2025-09-09 15:56:14.103</t>
  </si>
  <si>
    <t>2025-09-09 15:56:22.931</t>
  </si>
  <si>
    <t>2025-09-09 15:56:23.416</t>
  </si>
  <si>
    <t>2025-09-09 15:56:24.473</t>
  </si>
  <si>
    <t>2025-09-09 15:56:26.161</t>
  </si>
  <si>
    <t>2025-09-09 15:56:27.092</t>
  </si>
  <si>
    <t>2025-09-09 15:56:31.032</t>
  </si>
  <si>
    <t>2025-09-09 15:56:46.458</t>
  </si>
  <si>
    <t>2025-09-09 15:56:47.208</t>
  </si>
  <si>
    <t>2025-09-09 15:56:52.374</t>
  </si>
  <si>
    <t>2025-09-09 15:57:24.820</t>
  </si>
  <si>
    <t>2025-09-09 15:57:25.428</t>
  </si>
  <si>
    <t>2025-09-09 15:57:25.983</t>
  </si>
  <si>
    <t>2025-09-09 15:57:26.500</t>
  </si>
  <si>
    <t>2025-09-09 15:57:36.986</t>
  </si>
  <si>
    <t>2025-09-09 15:57:37.578</t>
  </si>
  <si>
    <t>2025-09-09 15:57:38.615</t>
  </si>
  <si>
    <t>2025-09-09 15:57:47.038</t>
  </si>
  <si>
    <t>P249</t>
  </si>
  <si>
    <t>2025-09-09 15:58:02.478</t>
  </si>
  <si>
    <t>2025-09-09 15:58:02.674</t>
  </si>
  <si>
    <t>{'previousAllocations': [{'name': 'Hospital_base', 'assignedTo': 'Human', 'sliderValue': 0}, {'name': 'Hospital_big_top', 'assignedTo': 'Human', 'sliderValue': 0}, {'name': 'Hospital_small_top', 'assignedTo': 'Human', 'sliderValue': 0}, {'name': 'Hospital_screws', 'assignedTo': 'Human', 'sliderValue': 0}, {'name': 'Bridge_triangle_roof', 'assignedTo': 'Robot', 'sliderValue': 10}, {'name': 'Bridge_flat_roof', 'assignedTo': 'Robot', 'sliderValue': 10}, {'name': 'Bridge rod placement', 'assignedTo': 'Human', 'sliderValue': 0}, {'name': 'Dovetail_buttom', 'assignedTo': 'Human', 'sliderValue': 0}, {'name': 'Dovetail_top', 'assignedTo': 'Human', 'sliderValue': 0}, {'name': 'Wheel_holder', 'assignedTo': 'Human', 'sliderValue': 0}, {'name': 'Wheel_holder_screws', 'assignedTo': 'Human', 'sliderValue': 0}, {'name': 'Wheel', 'assignedTo': 'Human', 'sliderValue': 0}, {'name': 'Wheel_screw', 'assignedTo': 'Human', 'sliderValue': 0}, {'name': 'Triangle', 'assignedTo': 'Robot', 'sliderValue': 10}, {'name': 'Snap_buttom', 'assignedTo': 'Human', 'sliderValue': 0}, {'name': 'Snap_middle', 'assignedTo': 'Human', 'sliderValue': 0}, {'name': 'Snap_top', 'assignedTo': 'Human', 'sliderValue': 0}, {'name': 'Museum', 'assignedTo': 'Robot', 'sliderValue': 10}, {'name': 'Inspection', 'assignedTo': 'Human', 'sliderValue': 0}]}</t>
  </si>
  <si>
    <t>2025-09-09 15:58:17.128</t>
  </si>
  <si>
    <t>2025-09-09 15:58:17.653</t>
  </si>
  <si>
    <t>2025-09-09 15:58:18.652</t>
  </si>
  <si>
    <t>2025-09-09 15:58:48.338</t>
  </si>
  <si>
    <t>2025-09-09 15:59:03.764</t>
  </si>
  <si>
    <t>2025-09-09 15:59:18.494</t>
  </si>
  <si>
    <t>2025-09-09 15:59:33.060</t>
  </si>
  <si>
    <t>2025-09-09 15:59:33.440</t>
  </si>
  <si>
    <t>2025-09-09 15:59:34.109</t>
  </si>
  <si>
    <t>2025-09-09 15:59:34.547</t>
  </si>
  <si>
    <t>2025-09-09 15:59:34.704</t>
  </si>
  <si>
    <t>2025-09-09 15:59:35.301</t>
  </si>
  <si>
    <t>2025-09-09 15:59:52.416</t>
  </si>
  <si>
    <t>2025-09-09 16:00:09.367</t>
  </si>
  <si>
    <t>2025-09-09 16:00:30.657</t>
  </si>
  <si>
    <t>2025-09-09 16:00:35.334</t>
  </si>
  <si>
    <t>2025-09-09 16:00:35.568</t>
  </si>
  <si>
    <t>2025-09-09 16:00:35.950</t>
  </si>
  <si>
    <t>2025-09-09 16:00:36.459</t>
  </si>
  <si>
    <t>2025-09-09 16:00:36.895</t>
  </si>
  <si>
    <t>2025-09-09 16:00:37.542</t>
  </si>
  <si>
    <t>2025-09-09 16:00:38.480</t>
  </si>
  <si>
    <t>2025-09-09 16:00:43.843</t>
  </si>
  <si>
    <t>2025-09-09 16:02:45.961</t>
  </si>
  <si>
    <t>2025-09-09 16:02:46.475</t>
  </si>
  <si>
    <t>2025-09-09 16:03:00.526</t>
  </si>
  <si>
    <t>2025-09-09 16:03:00.596</t>
  </si>
  <si>
    <t>2025-09-09 16:03:00.657</t>
  </si>
  <si>
    <t>2025-09-09 16:03:00.747</t>
  </si>
  <si>
    <t>2025-09-09 16:03:00.807</t>
  </si>
  <si>
    <t>2025-09-09 16:03:00.881</t>
  </si>
  <si>
    <t>2025-09-09 16:03:00.968</t>
  </si>
  <si>
    <t>2025-09-09 16:03:01.048</t>
  </si>
  <si>
    <t>2025-09-09 16:03:01.122</t>
  </si>
  <si>
    <t>2025-09-09 16:03:03.015</t>
  </si>
  <si>
    <t>2025-09-09 16:03:03.976</t>
  </si>
  <si>
    <t>2025-09-09 16:03:10.952</t>
  </si>
  <si>
    <t>2025-09-09 16:03:13.330</t>
  </si>
  <si>
    <t>2025-09-09 16:03:21.040</t>
  </si>
  <si>
    <t>2025-09-09 16:03:26.746</t>
  </si>
  <si>
    <t>2025-09-09 16:03:41.966</t>
  </si>
  <si>
    <t>2025-09-09 16:03:55.130</t>
  </si>
  <si>
    <t>2025-09-09 16:03:57.171</t>
  </si>
  <si>
    <t>2025-09-09 16:03:57.364</t>
  </si>
  <si>
    <t>2025-09-09 16:04:02.119</t>
  </si>
  <si>
    <t>2025-09-09 16:04:12.057</t>
  </si>
  <si>
    <t>2025-09-09 16:04:14.178</t>
  </si>
  <si>
    <t>2025-09-09 16:04:28.259</t>
  </si>
  <si>
    <t>2025-09-09 16:04:34.298</t>
  </si>
  <si>
    <t>2025-09-09 16:04:45.864</t>
  </si>
  <si>
    <t>2025-09-09 16:04:47.583</t>
  </si>
  <si>
    <t>2025-09-09 16:05:03.491</t>
  </si>
  <si>
    <t>2025-09-09 16:05:07.731</t>
  </si>
  <si>
    <t>2025-09-09 16:05:18.895</t>
  </si>
  <si>
    <t>2025-09-09 16:05:29.651</t>
  </si>
  <si>
    <t>2025-09-09 16:05:36.511</t>
  </si>
  <si>
    <t>2025-09-09 16:05:49.779</t>
  </si>
  <si>
    <t>2025-09-09 16:05:54.197</t>
  </si>
  <si>
    <t>2025-09-09 16:06:03.281</t>
  </si>
  <si>
    <t>{'question': '√49 = ?', 'answer': '8'}</t>
  </si>
  <si>
    <t>2025-09-09 16:06:09.690</t>
  </si>
  <si>
    <t>2025-09-09 16:06:26.894</t>
  </si>
  <si>
    <t>2025-09-09 16:06:47.017</t>
  </si>
  <si>
    <t>{'question': '12 × 12 = ?'}</t>
  </si>
  <si>
    <t>2025-09-09 16:07:02.060</t>
  </si>
  <si>
    <t>{'question': '12 × 12 = ?', 'answer': '124'}</t>
  </si>
  <si>
    <t>2025-09-09 16:07:18.881</t>
  </si>
  <si>
    <t>{'question': '12 × 12 = ?', 'answer': '148'}</t>
  </si>
  <si>
    <t>2025-09-09 16:07:51.827</t>
  </si>
  <si>
    <t>{'question': '12 × 12 = ?', 'answer': '144'}</t>
  </si>
  <si>
    <t>2025-09-09 16:08:11.956</t>
  </si>
  <si>
    <t>2025-09-09 16:08:23.877</t>
  </si>
  <si>
    <t>2025-09-09 16:08:43.987</t>
  </si>
  <si>
    <t>{'question': '16 × 9 = ?'}</t>
  </si>
  <si>
    <t>2025-09-09 16:09:09.291</t>
  </si>
  <si>
    <t>{'question': '16 × 9 = ?', 'answer': '144'}</t>
  </si>
  <si>
    <t>2025-09-09 16:09:13.355</t>
  </si>
  <si>
    <t>2025-09-09 16:09:13.871</t>
  </si>
  <si>
    <t>2025-09-09 16:09:14.390</t>
  </si>
  <si>
    <t>2025-09-09 16:09:17.016</t>
  </si>
  <si>
    <t>2025-09-09 16:09:18.401</t>
  </si>
  <si>
    <t>2025-09-09 16:09:19.662</t>
  </si>
  <si>
    <t>2025-09-09 16:09:20.683</t>
  </si>
  <si>
    <t>2025-09-09 16:09:24.952</t>
  </si>
  <si>
    <t>2025-09-09 16:09:41.417</t>
  </si>
  <si>
    <t>2025-09-09 16:09:41.585</t>
  </si>
  <si>
    <t>{'previousAllocations': [{'name': 'Hospital_base', 'assignedTo': 'Robot', 'sliderValue': 10}, {'name': 'Hospital_big_top', 'assignedTo': 'Robot', 'sliderValue': 10}, {'name': 'Hospital_small_top', 'assignedTo': 'Robot', 'sliderValue': 10}, {'name': 'Hospital_screws', 'assignedTo': 'Human', 'sliderValue': 0}, {'name': 'Bridge_triangle_roof', 'assignedTo': 'Robot', 'sliderValue': 10}, {'name': 'Bridge_flat_roof', 'assignedTo': 'Robot', 'sliderValue': 9}, {'name': 'Bridge rod placement', 'assignedTo': 'Human', 'sliderValue': 0}, {'name': 'Dovetail_buttom', 'assignedTo': 'Robot', 'sliderValue': 10}, {'name': 'Dovetail_top', 'assignedTo': 'Robot', 'sliderValue': 10}, {'name': 'Wheel_holder', 'assignedTo': 'Robot', 'sliderValue': 10}, {'name': 'Wheel_holder_screws', 'assignedTo': 'Human', 'sliderValue': 0}, {'name': 'Wheel', 'assignedTo': 'Human', 'sliderValue': 0}, {'name': 'Wheel_screw', 'assignedTo': 'Human', 'sliderValue': 0}, {'name': 'Triangle', 'assignedTo': 'Human', 'sliderValue': 0}, {'name': 'Snap_buttom', 'assignedTo': 'Robot', 'sliderValue': 10}, {'name': 'Snap_middle', 'assignedTo': 'Human', 'sliderValue': 0}, {'name': 'Snap_top', 'assignedTo': 'Human', 'sliderValue': 0}, {'name': 'Museum', 'assignedTo': 'Human', 'sliderValue': 0}, {'name': 'Inspection', 'assignedTo': 'Human', 'sliderValue': 0}]}</t>
  </si>
  <si>
    <t>2025-09-09 16:09:55.830</t>
  </si>
  <si>
    <t>2025-09-09 16:10:50.748</t>
  </si>
  <si>
    <t>2025-09-09 16:10:53.868</t>
  </si>
  <si>
    <t>{'taskId': '15', 'assignedTo': 'Human', 'sliderValue': 1}</t>
  </si>
  <si>
    <t>2025-09-09 16:10:53.966</t>
  </si>
  <si>
    <t>{'taskId': '15', 'assignedTo': 'Human', 'sliderValue': 2}</t>
  </si>
  <si>
    <t>2025-09-09 16:10:54.078</t>
  </si>
  <si>
    <t>2025-09-09 16:10:54.158</t>
  </si>
  <si>
    <t>2025-09-09 16:10:54.249</t>
  </si>
  <si>
    <t>2025-09-09 16:10:54.329</t>
  </si>
  <si>
    <t>2025-09-09 16:10:54.407</t>
  </si>
  <si>
    <t>2025-09-09 16:10:54.483</t>
  </si>
  <si>
    <t>2025-09-09 16:10:54.582</t>
  </si>
  <si>
    <t>2025-09-09 16:10:54.667</t>
  </si>
  <si>
    <t>2025-09-09 16:10:54.753</t>
  </si>
  <si>
    <t>2025-09-09 16:10:54.870</t>
  </si>
  <si>
    <t>2025-09-09 16:10:55.027</t>
  </si>
  <si>
    <t>2025-09-09 16:10:55.141</t>
  </si>
  <si>
    <t>2025-09-09 16:10:55.243</t>
  </si>
  <si>
    <t>2025-09-09 16:10:56.425</t>
  </si>
  <si>
    <t>2025-09-09 16:11:02.544</t>
  </si>
  <si>
    <t>2025-09-09 16:11:21.647</t>
  </si>
  <si>
    <t>2025-09-09 16:11:41.538</t>
  </si>
  <si>
    <t>2025-09-09 16:11:41.793</t>
  </si>
  <si>
    <t>2025-09-09 16:12:00.657</t>
  </si>
  <si>
    <t>2025-09-09 16:12:18.989</t>
  </si>
  <si>
    <t>2025-09-09 16:12:19.041</t>
  </si>
  <si>
    <t>2025-09-09 16:12:34.490</t>
  </si>
  <si>
    <t>2025-09-09 16:12:39.114</t>
  </si>
  <si>
    <t>{'question': '63 ÷ 3 = ?'}</t>
  </si>
  <si>
    <t>2025-09-09 16:12:49.101</t>
  </si>
  <si>
    <t>{'question': '63 ÷ 3 = ?', 'answer': '21'}</t>
  </si>
  <si>
    <t>2025-09-09 16:12:49.192</t>
  </si>
  <si>
    <t>2025-09-09 16:13:05.432</t>
  </si>
  <si>
    <t>2025-09-09 16:13:09.245</t>
  </si>
  <si>
    <t>2025-09-09 16:13:23.175</t>
  </si>
  <si>
    <t>2025-09-09 16:13:36.128</t>
  </si>
  <si>
    <t>2025-09-09 16:13:37.947</t>
  </si>
  <si>
    <t>2025-09-09 16:13:56.261</t>
  </si>
  <si>
    <t>2025-09-09 16:14:18.948</t>
  </si>
  <si>
    <t>2025-09-09 16:14:39.081</t>
  </si>
  <si>
    <t>2025-09-09 16:14:47.156</t>
  </si>
  <si>
    <t>2025-09-09 16:14:57.288</t>
  </si>
  <si>
    <t>2025-09-09 16:14:57.735</t>
  </si>
  <si>
    <t>2025-09-09 16:14:58.073</t>
  </si>
  <si>
    <t>2025-09-09 16:14:58.500</t>
  </si>
  <si>
    <t>2025-09-09 16:14:58.914</t>
  </si>
  <si>
    <t>2025-09-09 16:15:00.114</t>
  </si>
  <si>
    <t>2025-09-09 16:15:00.753</t>
  </si>
  <si>
    <t>2025-09-09 16:15:01.718</t>
  </si>
  <si>
    <t>2025-09-09 16:15:02.812</t>
  </si>
  <si>
    <t>2025-09-09 16:15:04.005</t>
  </si>
  <si>
    <t>2025-09-09 16:15:07.301</t>
  </si>
  <si>
    <t>2025-09-09 16:15:41.170</t>
  </si>
  <si>
    <t>{'question': '14 × 7 = ?', 'answer': '84'}</t>
  </si>
  <si>
    <t>2025-09-09 16:16:02.298</t>
  </si>
  <si>
    <t>2025-09-09 16:16:26.470</t>
  </si>
  <si>
    <t>{'question': '14 × 7 = ?', 'answer': '94'}</t>
  </si>
  <si>
    <t>2025-09-09 16:16:45.032</t>
  </si>
  <si>
    <t>2025-09-09 16:16:46.965</t>
  </si>
  <si>
    <t>P257</t>
  </si>
  <si>
    <t>2025-09-09 16:59:09.552</t>
  </si>
  <si>
    <t>2025-09-09 16:59:15.466</t>
  </si>
  <si>
    <t>2025-09-09 16:59:22.568</t>
  </si>
  <si>
    <t>2025-09-09 16:59:40.068</t>
  </si>
  <si>
    <t>2025-09-09 16:59:41.459</t>
  </si>
  <si>
    <t>{'taskId': '3', 'assignedTo': 'Robot', 'sliderValue': 6}</t>
  </si>
  <si>
    <t>2025-09-09 16:59:41.584</t>
  </si>
  <si>
    <t>{'taskId': '3', 'assignedTo': 'Robot', 'sliderValue': 7}</t>
  </si>
  <si>
    <t>2025-09-09 16:59:42.119</t>
  </si>
  <si>
    <t>2025-09-09 16:59:44.863</t>
  </si>
  <si>
    <t>2025-09-09 16:59:44.982</t>
  </si>
  <si>
    <t>2025-09-09 16:59:46.493</t>
  </si>
  <si>
    <t>2025-09-09 17:00:28.181</t>
  </si>
  <si>
    <t>2025-09-09 17:00:38.364</t>
  </si>
  <si>
    <t>2025-09-09 17:00:41.589</t>
  </si>
  <si>
    <t>2025-09-09 17:00:46.179</t>
  </si>
  <si>
    <t>2025-09-09 17:00:47.018</t>
  </si>
  <si>
    <t>2025-09-09 17:01:02.322</t>
  </si>
  <si>
    <t>2025-09-09 17:01:08.270</t>
  </si>
  <si>
    <t>2025-09-09 17:01:08.434</t>
  </si>
  <si>
    <t>2025-09-09 17:01:08.572</t>
  </si>
  <si>
    <t>2025-09-09 17:01:08.691</t>
  </si>
  <si>
    <t>2025-09-09 17:01:09.622</t>
  </si>
  <si>
    <t>2025-09-09 17:01:10.405</t>
  </si>
  <si>
    <t>2025-09-09 17:01:17.344</t>
  </si>
  <si>
    <t>2025-09-09 17:01:22.827</t>
  </si>
  <si>
    <t>2025-09-09 17:01:53.793</t>
  </si>
  <si>
    <t>2025-09-09 17:01:56.066</t>
  </si>
  <si>
    <t>2025-09-09 17:01:57.328</t>
  </si>
  <si>
    <t>2025-09-09 17:02:24.185</t>
  </si>
  <si>
    <t>2025-09-09 17:02:33.080</t>
  </si>
  <si>
    <t>2025-09-09 17:02:50.753</t>
  </si>
  <si>
    <t>2025-09-09 17:02:53.079</t>
  </si>
  <si>
    <t>2025-09-09 17:02:53.227</t>
  </si>
  <si>
    <t>2025-09-09 17:02:59.179</t>
  </si>
  <si>
    <t>2025-09-09 17:03:06.284</t>
  </si>
  <si>
    <t>2025-09-09 17:03:08.764</t>
  </si>
  <si>
    <t>2025-09-09 17:03:19.305</t>
  </si>
  <si>
    <t>2025-09-09 17:03:21.836</t>
  </si>
  <si>
    <t>2025-09-09 17:03:25.317</t>
  </si>
  <si>
    <t>2025-09-09 17:03:38.061</t>
  </si>
  <si>
    <t>2025-09-09 17:03:45.462</t>
  </si>
  <si>
    <t>2025-09-09 17:03:53.590</t>
  </si>
  <si>
    <t>2025-09-09 17:04:00.570</t>
  </si>
  <si>
    <t>2025-09-09 17:04:10.550</t>
  </si>
  <si>
    <t>2025-09-09 17:04:17.339</t>
  </si>
  <si>
    <t>2025-09-09 17:04:20.702</t>
  </si>
  <si>
    <t>{'question': '95 - 36 + 7 = ?'}</t>
  </si>
  <si>
    <t>2025-09-09 17:04:31.942</t>
  </si>
  <si>
    <t>2025-09-09 17:04:37.433</t>
  </si>
  <si>
    <t>{'question': '95 - 36 + 7 = ?', 'answer': '66'}</t>
  </si>
  <si>
    <t>2025-09-09 17:04:40.685</t>
  </si>
  <si>
    <t>2025-09-09 17:04:48.876</t>
  </si>
  <si>
    <t>2025-09-09 17:04:57.578</t>
  </si>
  <si>
    <t>2025-09-09 17:05:04.381</t>
  </si>
  <si>
    <t>2025-09-09 17:05:11.739</t>
  </si>
  <si>
    <t>2025-09-09 17:05:13.839</t>
  </si>
  <si>
    <t>2025-09-09 17:05:19.216</t>
  </si>
  <si>
    <t>2025-09-09 17:05:31.865</t>
  </si>
  <si>
    <t>2025-09-09 17:05:40.984</t>
  </si>
  <si>
    <t>2025-09-09 17:05:42.716</t>
  </si>
  <si>
    <t>2025-09-09 17:05:52.016</t>
  </si>
  <si>
    <t>2025-09-09 17:05:56.896</t>
  </si>
  <si>
    <t>2025-09-09 17:06:01.074</t>
  </si>
  <si>
    <t>2025-09-09 17:06:12.253</t>
  </si>
  <si>
    <t>2025-09-09 17:06:13.836</t>
  </si>
  <si>
    <t>P258</t>
  </si>
  <si>
    <t>2025-09-09 17:06:23.333</t>
  </si>
  <si>
    <t>2025-09-09 17:06:23.529</t>
  </si>
  <si>
    <t>{'previousAllocations': [{'name': 'Hospital_base', 'assignedTo': 'Robot', 'sliderValue': 10}, {'name': 'Hospital_big_top', 'assignedTo': 'Robot', 'sliderValue': 9}, {'name': 'Hospital_small_top', 'assignedTo': 'Robot', 'sliderValue': 7}, {'name': 'Hospital_screws', 'assignedTo': 'Human', 'sliderValue': 0}, {'name': 'Bridge_triangle_roof', 'assignedTo': 'Robot', 'sliderValue': 10}, {'name': 'Bridge_flat_roof', 'assignedTo': 'Human', 'sliderValue': 0}, {'name': 'Bridge rod placement', 'assignedTo': 'Human', 'sliderValue': 0}, {'name': 'Dovetail_buttom', 'assignedTo': 'Robot', 'sliderValue': 10}, {'name': 'Dovetail_top', 'assignedTo': 'Robot', 'sliderValue': 10}, {'name': 'Wheel_holder', 'assignedTo': 'Human', 'sliderValue': 0}, {'name': 'Wheel_holder_screws', 'assignedTo': 'Human', 'sliderValue': 0}, {'name': 'Wheel', 'assignedTo': 'Human', 'sliderValue': 0}, {'name': 'Wheel_screw', 'assignedTo': 'Human', 'sliderValue': 0}, {'name': 'Triangle', 'assignedTo': 'Robot', 'sliderValue': 10}, {'name': 'Snap_buttom', 'assignedTo': 'Robot', 'sliderValue': 10}, {'name': 'Snap_middle', 'assignedTo': 'Human', 'sliderValue': 0}, {'name': 'Snap_top', 'assignedTo': 'Human', 'sliderValue': 0}, {'name': 'Museum', 'assignedTo': 'Robot', 'sliderValue': 10}, {'name': 'Inspection', 'assignedTo': 'Human', 'sliderValue': 0}]}</t>
  </si>
  <si>
    <t>2025-09-09 17:06:24.032</t>
  </si>
  <si>
    <t>2025-09-09 17:06:42.432</t>
  </si>
  <si>
    <t>2025-09-09 17:06:45.948</t>
  </si>
  <si>
    <t>2025-09-09 17:07:05.791</t>
  </si>
  <si>
    <t>2025-09-09 17:07:06.093</t>
  </si>
  <si>
    <t>2025-09-09 17:07:13.656</t>
  </si>
  <si>
    <t>2025-09-09 17:07:25.000</t>
  </si>
  <si>
    <t>2025-09-09 17:07:33.775</t>
  </si>
  <si>
    <t>{'question': '23 + 17 - 5 = ?'}</t>
  </si>
  <si>
    <t>2025-09-09 17:07:43.346</t>
  </si>
  <si>
    <t>2025-09-09 17:07:48.526</t>
  </si>
  <si>
    <t>{'question': '23 + 17 - 5 = ?', 'answer': '35'}</t>
  </si>
  <si>
    <t>2025-09-09 17:07:58.835</t>
  </si>
  <si>
    <t>2025-09-09 17:08:05.714</t>
  </si>
  <si>
    <t>2025-09-09 17:08:08.654</t>
  </si>
  <si>
    <t>2025-09-09 17:08:15.042</t>
  </si>
  <si>
    <t>2025-09-09 17:08:20.724</t>
  </si>
  <si>
    <t>2025-09-09 17:08:23.242</t>
  </si>
  <si>
    <t>2025-09-09 17:08:30.802</t>
  </si>
  <si>
    <t>2025-09-09 17:08:32.741</t>
  </si>
  <si>
    <t>2025-09-09 17:08:40.871</t>
  </si>
  <si>
    <t>2025-09-09 17:08:47.467</t>
  </si>
  <si>
    <t>2025-09-09 17:08:50.791</t>
  </si>
  <si>
    <t>2025-09-09 17:09:04.380</t>
  </si>
  <si>
    <t>2025-09-09 17:09:08.508</t>
  </si>
  <si>
    <t>2025-09-09 17:09:10.927</t>
  </si>
  <si>
    <t>2025-09-09 17:09:19.128</t>
  </si>
  <si>
    <t>2025-09-09 17:09:24.896</t>
  </si>
  <si>
    <t>2025-09-09 17:09:27.467</t>
  </si>
  <si>
    <t>2025-09-09 17:09:39.735</t>
  </si>
  <si>
    <t>2025-09-09 17:09:45.049</t>
  </si>
  <si>
    <t>2025-09-09 17:09:51.996</t>
  </si>
  <si>
    <t>2025-09-09 17:09:53.350</t>
  </si>
  <si>
    <t>2025-09-09 17:09:58.869</t>
  </si>
  <si>
    <t>2025-09-09 17:10:05.843</t>
  </si>
  <si>
    <t>2025-09-09 17:10:12.125</t>
  </si>
  <si>
    <t>2025-09-09 17:10:17.376</t>
  </si>
  <si>
    <t>2025-09-09 17:10:18.217</t>
  </si>
  <si>
    <t>P259</t>
  </si>
  <si>
    <t>2025-09-09 17:12:47.695</t>
  </si>
  <si>
    <t>2025-09-09 17:12:48.197</t>
  </si>
  <si>
    <t>2025-09-09 17:13:09.009</t>
  </si>
  <si>
    <t>2025-09-09 17:13:15.669</t>
  </si>
  <si>
    <t>2025-09-09 17:13:16.526</t>
  </si>
  <si>
    <t>2025-09-09 17:13:17.484</t>
  </si>
  <si>
    <t>2025-09-09 17:13:23.290</t>
  </si>
  <si>
    <t>2025-09-09 17:13:44.110</t>
  </si>
  <si>
    <t>2025-09-09 17:13:44.217</t>
  </si>
  <si>
    <t>2025-09-09 17:14:13.833</t>
  </si>
  <si>
    <t>2025-09-09 17:14:15.357</t>
  </si>
  <si>
    <t>2025-09-09 17:14:23.374</t>
  </si>
  <si>
    <t>2025-09-09 17:14:24.469</t>
  </si>
  <si>
    <t>2025-09-09 17:14:26.344</t>
  </si>
  <si>
    <t>2025-09-09 17:14:31.707</t>
  </si>
  <si>
    <t>2025-09-09 17:14:42.286</t>
  </si>
  <si>
    <t>2025-09-09 17:14:48.661</t>
  </si>
  <si>
    <t>2025-09-09 17:14:59.216</t>
  </si>
  <si>
    <t>2025-09-09 17:15:04.737</t>
  </si>
  <si>
    <t>2025-09-09 17:15:09.937</t>
  </si>
  <si>
    <t>2025-09-09 17:15:16.802</t>
  </si>
  <si>
    <t>2025-09-09 17:15:25.442</t>
  </si>
  <si>
    <t>2025-09-09 17:15:40.149</t>
  </si>
  <si>
    <t>2025-09-09 17:15:56.441</t>
  </si>
  <si>
    <t>2025-09-09 17:16:12.772</t>
  </si>
  <si>
    <t>2025-09-09 17:16:14.854</t>
  </si>
  <si>
    <t>2025-09-09 17:16:31.810</t>
  </si>
  <si>
    <t>2025-09-09 17:16:37.620</t>
  </si>
  <si>
    <t>2025-09-09 17:16:46.123</t>
  </si>
  <si>
    <t>2025-09-09 17:16:47.263</t>
  </si>
  <si>
    <t>2025-09-09 17:16:50.956</t>
  </si>
  <si>
    <t>2025-09-09 17:16:55.852</t>
  </si>
  <si>
    <t>2025-09-09 17:17:00.868</t>
  </si>
  <si>
    <t>2025-09-09 17:17:03.778</t>
  </si>
  <si>
    <t>2025-09-09 17:17:15.537</t>
  </si>
  <si>
    <t>2025-09-09 17:17:15.666</t>
  </si>
  <si>
    <t>{'previousAllocations': [{'name': 'Hospital_base', 'assignedTo': 'Robot', 'sliderValue': 10}, {'name': 'Hospital_big_top', 'assignedTo': 'Robot', 'sliderValue': 10}, {'name': 'Hospital_small_top', 'assignedTo': 'Robot', 'sliderValue': 10}, {'name': 'Hospital_screws', 'assignedTo': 'Human', 'sliderValue': 0}, {'name': 'Bridge_triangle_roof', 'assignedTo': 'Robot', 'sliderValue': 10}, {'name': 'Bridge_flat_roof', 'assignedTo': 'Robot', 'sliderValue': 10}, {'name': 'Bridge rod placement', 'assignedTo': 'Human', 'sliderValue': 0}, {'name': 'Dovetail_buttom', 'assignedTo': 'Human', 'sliderValue': 0}, {'name': 'Dovetail_top', 'assignedTo': 'Human', 'sliderValue': 0}, {'name': 'Wheel_holder', 'assignedTo': 'Human', 'sliderValue': 0}, {'name': 'Wheel_holder_screws', 'assignedTo': 'Human', 'sliderValue': 0}, {'name': 'Wheel', 'assignedTo': 'Human', 'sliderValue': 0}, {'name': 'Wheel_screw', 'assignedTo': 'Human', 'sliderValue': 0}, {'name': 'Triangle', 'assignedTo': 'Robot', 'sliderValue': 10}, {'name': 'Snap_buttom', 'assignedTo': 'Robot', 'sliderValue': 10}, {'name': 'Snap_middle', 'assignedTo': 'Human', 'sliderValue': 0}, {'name': 'Snap_top', 'assignedTo': 'Human', 'sliderValue': 0}, {'name': 'Museum', 'assignedTo': 'Robot', 'sliderValue': 10}, {'name': 'Inspection', 'assignedTo': 'Human', 'sliderValue': 0}]}</t>
  </si>
  <si>
    <t>2025-09-09 17:17:16.168</t>
  </si>
  <si>
    <t>2025-09-09 17:17:29.875</t>
  </si>
  <si>
    <t>2025-09-09 17:17:33.543</t>
  </si>
  <si>
    <t>2025-09-09 17:17:53.346</t>
  </si>
  <si>
    <t>2025-09-09 17:18:12.488</t>
  </si>
  <si>
    <t>2025-09-09 17:18:18.072</t>
  </si>
  <si>
    <t>2025-09-09 17:18:28.022</t>
  </si>
  <si>
    <t>2025-09-09 17:18:34.654</t>
  </si>
  <si>
    <t>2025-09-09 17:18:43.486</t>
  </si>
  <si>
    <t>2025-09-09 17:18:48.527</t>
  </si>
  <si>
    <t>2025-09-09 17:18:57.500</t>
  </si>
  <si>
    <t>2025-09-09 17:19:00.387</t>
  </si>
  <si>
    <t>2025-09-09 17:19:06.790</t>
  </si>
  <si>
    <t>2025-09-09 17:19:15.112</t>
  </si>
  <si>
    <t>2025-09-09 17:19:17.402</t>
  </si>
  <si>
    <t>2025-09-09 17:19:35.671</t>
  </si>
  <si>
    <t>2025-09-09 17:19:37.948</t>
  </si>
  <si>
    <t>2025-09-09 17:19:41.803</t>
  </si>
  <si>
    <t>2025-09-09 17:19:54.876</t>
  </si>
  <si>
    <t>2025-09-09 17:19:59.840</t>
  </si>
  <si>
    <t>2025-09-09 17:20:04.198</t>
  </si>
  <si>
    <t>2025-09-09 17:20:06.255</t>
  </si>
  <si>
    <t>P266</t>
  </si>
  <si>
    <t>2025-09-09 18:02:53.395</t>
  </si>
  <si>
    <t>2025-09-09 18:02:59.273</t>
  </si>
  <si>
    <t>2025-09-09 18:03:14.476</t>
  </si>
  <si>
    <t>2025-09-09 18:03:15.653</t>
  </si>
  <si>
    <t>2025-09-09 18:03:16.566</t>
  </si>
  <si>
    <t>2025-09-09 18:03:17.454</t>
  </si>
  <si>
    <t>2025-09-09 18:03:18.241</t>
  </si>
  <si>
    <t>2025-09-09 18:03:35.418</t>
  </si>
  <si>
    <t>2025-09-09 18:03:36.420</t>
  </si>
  <si>
    <t>2025-09-09 18:03:37.531</t>
  </si>
  <si>
    <t>2025-09-09 18:03:40.816</t>
  </si>
  <si>
    <t>2025-09-09 18:03:56.267</t>
  </si>
  <si>
    <t>2025-09-09 18:03:58.748</t>
  </si>
  <si>
    <t>2025-09-09 18:03:59.642</t>
  </si>
  <si>
    <t>2025-09-09 18:04:00.888</t>
  </si>
  <si>
    <t>2025-09-09 18:04:01.530</t>
  </si>
  <si>
    <t>2025-09-09 18:04:02.744</t>
  </si>
  <si>
    <t>2025-09-09 18:04:03.519</t>
  </si>
  <si>
    <t>2025-09-09 18:04:04.261</t>
  </si>
  <si>
    <t>2025-09-09 18:04:07.292</t>
  </si>
  <si>
    <t>2025-09-09 18:04:09.099</t>
  </si>
  <si>
    <t>2025-09-09 18:04:11.274</t>
  </si>
  <si>
    <t>2025-09-09 18:07:09.652</t>
  </si>
  <si>
    <t>2025-09-09 18:07:25.162</t>
  </si>
  <si>
    <t>2025-09-09 18:07:30.526</t>
  </si>
  <si>
    <t>2025-09-09 18:07:40.341</t>
  </si>
  <si>
    <t>2025-09-09 18:07:42.838</t>
  </si>
  <si>
    <t>2025-09-09 18:07:59.768</t>
  </si>
  <si>
    <t>2025-09-09 18:08:04.162</t>
  </si>
  <si>
    <t>2025-09-09 18:08:21.090</t>
  </si>
  <si>
    <t>2025-09-09 18:08:38.712</t>
  </si>
  <si>
    <t>2025-09-09 18:08:54.186</t>
  </si>
  <si>
    <t>2025-09-09 18:09:11.152</t>
  </si>
  <si>
    <t>2025-09-09 18:09:18.575</t>
  </si>
  <si>
    <t>2025-09-09 18:09:19.662</t>
  </si>
  <si>
    <t>2025-09-09 18:09:20.831</t>
  </si>
  <si>
    <t>2025-09-09 18:09:28.044</t>
  </si>
  <si>
    <t>2025-09-09 18:09:43.522</t>
  </si>
  <si>
    <t>2025-09-09 18:09:58.271</t>
  </si>
  <si>
    <t>2025-09-09 18:10:14.523</t>
  </si>
  <si>
    <t>2025-09-09 18:10:18.257</t>
  </si>
  <si>
    <t>2025-09-09 18:10:19.959</t>
  </si>
  <si>
    <t>P267</t>
  </si>
  <si>
    <t>2025-09-09 18:10:31.009</t>
  </si>
  <si>
    <t>2025-09-09 18:10:31.162</t>
  </si>
  <si>
    <t>{'previousAllocations': [{'name': 'Hospital_base', 'assignedTo': 'Robot', 'sliderValue': 10}, {'name': 'Hospital_big_top', 'assignedTo': 'Robot', 'sliderValue': 10}, {'name': 'Hospital_small_top', 'assignedTo': 'Robot', 'sliderValue': 10}, {'name': 'Hospital_screws', 'assignedTo': 'Human', 'sliderValue': 0}, {'name': 'Bridge_triangle_roof', 'assignedTo': 'Robot', 'sliderValue': 10}, {'name': 'Bridge_flat_roof', 'assignedTo': 'Robot', 'sliderValue': 10}, {'name': 'Bridge rod placement', 'assignedTo': 'Human', 'sliderValue': 0}, {'name': 'Dovetail_buttom', 'assignedTo': 'Robot', 'sliderValue': 10}, {'name': 'Dovetail_top', 'assignedTo': 'Robot', 'sliderValue': 10}, {'name': 'Wheel_holder', 'assignedTo': 'Robot', 'sliderValue': 10}, {'name': 'Wheel_holder_screws', 'assignedTo': 'Human', 'sliderValue': 0}, {'name': 'Wheel', 'assignedTo': 'Human', 'sliderValue': 0}, {'name': 'Wheel_screw', 'assignedTo': 'Human', 'sliderValue': 0}, {'name': 'Triangle', 'assignedTo': 'Robot', 'sliderValue': 10}, {'name': 'Snap_buttom', 'assignedTo': 'Robot', 'sliderValue': 10}, {'name': 'Snap_middle', 'assignedTo': 'Human', 'sliderValue': 0}, {'name': 'Snap_top', 'assignedTo': 'Human', 'sliderValue': 0}, {'name': 'Museum', 'assignedTo': 'Robot', 'sliderValue': 10}, {'name': 'Inspection', 'assignedTo': 'Human', 'sliderValue': 0}]}</t>
  </si>
  <si>
    <t>2025-09-09 18:10:31.677</t>
  </si>
  <si>
    <t>2025-09-09 18:11:53.729</t>
  </si>
  <si>
    <t>2025-09-09 18:11:55.574</t>
  </si>
  <si>
    <t>2025-09-09 18:11:58.031</t>
  </si>
  <si>
    <t>2025-09-09 18:11:58.181</t>
  </si>
  <si>
    <t>2025-09-09 18:11:58.321</t>
  </si>
  <si>
    <t>2025-09-09 18:11:58.467</t>
  </si>
  <si>
    <t>2025-09-09 18:11:58.605</t>
  </si>
  <si>
    <t>2025-09-09 18:11:58.708</t>
  </si>
  <si>
    <t>2025-09-09 18:11:58.834</t>
  </si>
  <si>
    <t>2025-09-09 18:11:58.967</t>
  </si>
  <si>
    <t>2025-09-09 18:11:59.076</t>
  </si>
  <si>
    <t>2025-09-09 18:11:59.225</t>
  </si>
  <si>
    <t>2025-09-09 18:11:59.359</t>
  </si>
  <si>
    <t>2025-09-09 18:11:59.501</t>
  </si>
  <si>
    <t>2025-09-09 18:11:59.617</t>
  </si>
  <si>
    <t>2025-09-09 18:12:01.970</t>
  </si>
  <si>
    <t>{'taskId': '14', 'assignedTo': 'Human', 'sliderValue': 4}</t>
  </si>
  <si>
    <t>2025-09-09 18:12:03.410</t>
  </si>
  <si>
    <t>2025-09-09 18:12:06.260</t>
  </si>
  <si>
    <t>2025-09-09 18:12:07.808</t>
  </si>
  <si>
    <t>{'taskId': '14', 'assignedTo': 'Human', 'sliderValue': 2}</t>
  </si>
  <si>
    <t>2025-09-09 18:12:09.395</t>
  </si>
  <si>
    <t>{'taskId': '14', 'assignedTo': 'Human', 'sliderValue': 3}</t>
  </si>
  <si>
    <t>2025-09-09 18:12:11.038</t>
  </si>
  <si>
    <t>2025-09-09 18:12:12.365</t>
  </si>
  <si>
    <t>2025-09-09 18:12:19.888</t>
  </si>
  <si>
    <t>2025-09-09 18:12:34.566</t>
  </si>
  <si>
    <t>2025-09-09 18:12:49.323</t>
  </si>
  <si>
    <t>2025-09-09 18:12:52.356</t>
  </si>
  <si>
    <t>2025-09-09 18:12:56.294</t>
  </si>
  <si>
    <t>2025-09-09 18:13:04.794</t>
  </si>
  <si>
    <t>2025-09-09 18:13:20.250</t>
  </si>
  <si>
    <t>2025-09-09 18:13:31.972</t>
  </si>
  <si>
    <t>2025-09-09 18:13:39.384</t>
  </si>
  <si>
    <t>2025-09-09 18:13:39.448</t>
  </si>
  <si>
    <t>2025-09-09 18:13:49.733</t>
  </si>
  <si>
    <t>2025-09-09 18:13:58.552</t>
  </si>
  <si>
    <t>2025-09-09 18:13:59.405</t>
  </si>
  <si>
    <t>2025-09-09 18:14:17.078</t>
  </si>
  <si>
    <t>2025-09-09 18:14:27.240</t>
  </si>
  <si>
    <t>2025-09-09 18:14:32.236</t>
  </si>
  <si>
    <t>2025-09-09 18:14:33.301</t>
  </si>
  <si>
    <t>2025-09-09 18:14:39.781</t>
  </si>
  <si>
    <t>2025-09-09 18:14:50.989</t>
  </si>
  <si>
    <t>2025-09-09 18:14:52.815</t>
  </si>
  <si>
    <t>P268</t>
  </si>
  <si>
    <t>2025-09-09 18:17:41.589</t>
  </si>
  <si>
    <t>2025-09-09 18:17:55.971</t>
  </si>
  <si>
    <t>2025-09-09 18:18:07.245</t>
  </si>
  <si>
    <t>2025-09-09 18:18:07.967</t>
  </si>
  <si>
    <t>2025-09-09 18:18:08.888</t>
  </si>
  <si>
    <t>2025-09-09 18:18:10.719</t>
  </si>
  <si>
    <t>2025-09-09 18:18:11.453</t>
  </si>
  <si>
    <t>2025-09-09 18:18:13.667</t>
  </si>
  <si>
    <t>2025-09-09 18:18:14.370</t>
  </si>
  <si>
    <t>2025-09-09 18:18:15.870</t>
  </si>
  <si>
    <t>2025-09-09 18:18:17.441</t>
  </si>
  <si>
    <t>2025-09-09 18:18:19.163</t>
  </si>
  <si>
    <t>2025-09-09 18:18:20.896</t>
  </si>
  <si>
    <t>2025-09-09 18:20:47.887</t>
  </si>
  <si>
    <t>2025-09-09 18:21:03.292</t>
  </si>
  <si>
    <t>2025-09-09 18:21:08.138</t>
  </si>
  <si>
    <t>2025-09-09 18:21:20.271</t>
  </si>
  <si>
    <t>2025-09-09 18:21:26.287</t>
  </si>
  <si>
    <t>2025-09-09 18:21:34.119</t>
  </si>
  <si>
    <t>2025-09-09 18:21:37.997</t>
  </si>
  <si>
    <t>2025-09-09 18:21:46.432</t>
  </si>
  <si>
    <t>2025-09-09 18:21:53.730</t>
  </si>
  <si>
    <t>2025-09-09 18:21:55.704</t>
  </si>
  <si>
    <t>2025-09-09 18:22:07.452</t>
  </si>
  <si>
    <t>2025-09-09 18:22:07.937</t>
  </si>
  <si>
    <t>2025-09-09 18:22:09.000</t>
  </si>
  <si>
    <t>2025-09-09 18:22:11.195</t>
  </si>
  <si>
    <t>2025-09-09 18:22:13.873</t>
  </si>
  <si>
    <t>2025-09-09 18:22:19.546</t>
  </si>
  <si>
    <t>2025-09-09 18:22:28.892</t>
  </si>
  <si>
    <t>2025-09-09 18:22:39.683</t>
  </si>
  <si>
    <t>2025-09-09 18:22:43.855</t>
  </si>
  <si>
    <t>2025-09-09 18:22:44.408</t>
  </si>
  <si>
    <t>2025-09-09 18:22:51.631</t>
  </si>
  <si>
    <t>2025-09-09 18:22:58.970</t>
  </si>
  <si>
    <t>2025-09-09 18:22:59.193</t>
  </si>
  <si>
    <t>2025-09-09 18:23:04.006</t>
  </si>
  <si>
    <t>2025-09-09 18:23:15.507</t>
  </si>
  <si>
    <t>2025-09-09 18:23:16.158</t>
  </si>
  <si>
    <t>2025-09-09 18:23:20.293</t>
  </si>
  <si>
    <t>2025-09-09 18:23:24.157</t>
  </si>
  <si>
    <t>2025-09-09 18:23:36.293</t>
  </si>
  <si>
    <t>2025-09-09 18:23:44.120</t>
  </si>
  <si>
    <t>2025-09-09 18:23:45.669</t>
  </si>
  <si>
    <t>2025-09-09 18:23:46.927</t>
  </si>
  <si>
    <t>P269</t>
  </si>
  <si>
    <t>2025-09-09 18:23:55.642</t>
  </si>
  <si>
    <t>2025-09-09 18:23:55.842</t>
  </si>
  <si>
    <t>{'previousAllocations': [{'name': 'Hospital_base', 'assignedTo': 'Robot', 'sliderValue': 10}, {'name': 'Hospital_big_top', 'assignedTo': 'Robot', 'sliderValue': 10}, {'name': 'Hospital_small_top', 'assignedTo': 'Robot', 'sliderValue': 10}, {'name': 'Hospital_screws', 'assignedTo': 'Human', 'sliderValue': 0}, {'name': 'Bridge_triangle_roof', 'assignedTo': 'Robot', 'sliderValue': 10}, {'name': 'Bridge_flat_roof', 'assignedTo': 'Robot', 'sliderValue': 10}, {'name': 'Bridge rod placement', 'assignedTo': 'Human', 'sliderValue': 0}, {'name': 'Dovetail_buttom', 'assignedTo': 'Robot', 'sliderValue': 10}, {'name': 'Dovetail_top', 'assignedTo': 'Robot', 'sliderValue': 10}, {'name': 'Wheel_holder', 'assignedTo': 'Robot', 'sliderValue': 10}, {'name': 'Wheel_holder_screws', 'assignedTo': 'Human', 'sliderValue': 0}, {'name': 'Wheel', 'assignedTo': 'Human', 'sliderValue': 0}, {'name': 'Wheel_screw', 'assignedTo': 'Human', 'sliderValue': 0}, {'name': 'Triangle', 'assignedTo': 'Human', 'sliderValue': 0}, {'name': 'Snap_buttom', 'assignedTo': 'Robot', 'sliderValue': 10}, {'name': 'Snap_middle', 'assignedTo': 'Human', 'sliderValue': 0}, {'name': 'Snap_top', 'assignedTo': 'Human', 'sliderValue': 0}, {'name': 'Museum', 'assignedTo': 'Human', 'sliderValue': 0}, {'name': 'Inspection', 'assignedTo': 'Human', 'sliderValue': 0}]}</t>
  </si>
  <si>
    <t>2025-09-09 18:23:56.346</t>
  </si>
  <si>
    <t>2025-09-09 18:24:10.219</t>
  </si>
  <si>
    <t>2025-09-09 18:24:14.885</t>
  </si>
  <si>
    <t>2025-09-09 18:25:04.576</t>
  </si>
  <si>
    <t>2025-09-09 18:25:19.274</t>
  </si>
  <si>
    <t>2025-09-09 18:25:24.733</t>
  </si>
  <si>
    <t>2025-09-09 18:25:33.487</t>
  </si>
  <si>
    <t>2025-09-09 18:25:34.070</t>
  </si>
  <si>
    <t>2025-09-09 18:25:42.247</t>
  </si>
  <si>
    <t>2025-09-09 18:25:46.954</t>
  </si>
  <si>
    <t>2025-09-09 18:25:48.909</t>
  </si>
  <si>
    <t>2025-09-09 18:25:53.627</t>
  </si>
  <si>
    <t>2025-09-09 18:26:00.819</t>
  </si>
  <si>
    <t>2025-09-09 18:26:05.146</t>
  </si>
  <si>
    <t>2025-09-09 18:26:16.521</t>
  </si>
  <si>
    <t>2025-09-09 18:26:20.940</t>
  </si>
  <si>
    <t>2025-09-09 18:26:22.900</t>
  </si>
  <si>
    <t>2025-09-09 18:26:28.232</t>
  </si>
  <si>
    <t>2025-09-09 18:26:30.330</t>
  </si>
  <si>
    <t>2025-09-09 18:26:39.845</t>
  </si>
  <si>
    <t>2025-09-09 18:26:48.377</t>
  </si>
  <si>
    <t>2025-09-09 18:26:53.634</t>
  </si>
  <si>
    <t>2025-09-09 18:26:54.634</t>
  </si>
  <si>
    <t>2025-09-09 18:26:59.034</t>
  </si>
  <si>
    <t>2025-09-09 18:27:03.767</t>
  </si>
  <si>
    <t>2025-09-09 18:27:13.774</t>
  </si>
  <si>
    <t>2025-09-09 18:27:15.986</t>
  </si>
  <si>
    <t>2025-09-09 18:27:20.906</t>
  </si>
  <si>
    <t>2025-09-09 18:27:35.883</t>
  </si>
  <si>
    <t>2025-09-09 18:27:41.053</t>
  </si>
  <si>
    <t>2025-09-09 18:27:52.850</t>
  </si>
  <si>
    <t>2025-09-09 18:27:55.028</t>
  </si>
  <si>
    <t>2025-09-09 18:28:12.998</t>
  </si>
  <si>
    <t>{'question': '√100 = ?'}</t>
  </si>
  <si>
    <t>2025-09-09 18:28:13.507</t>
  </si>
  <si>
    <t>2025-09-09 18:28:16.671</t>
  </si>
  <si>
    <t>{'question': '√100 = ?', 'answer': '10'}</t>
  </si>
  <si>
    <t>2025-09-09 18:28:31.249</t>
  </si>
  <si>
    <t>2025-09-09 18:28:32.011</t>
  </si>
  <si>
    <t>P278</t>
  </si>
  <si>
    <t>2025-09-10 14:03:06.419</t>
  </si>
  <si>
    <t>2025-09-10 14:03:12.269</t>
  </si>
  <si>
    <t>2025-09-10 14:03:12.337</t>
  </si>
  <si>
    <t>2025-09-10 14:03:12.388</t>
  </si>
  <si>
    <t>2025-09-10 14:03:12.461</t>
  </si>
  <si>
    <t>2025-09-10 14:03:12.539</t>
  </si>
  <si>
    <t>2025-09-10 14:03:12.601</t>
  </si>
  <si>
    <t>2025-09-10 14:03:12.681</t>
  </si>
  <si>
    <t>2025-09-10 14:03:12.755</t>
  </si>
  <si>
    <t>2025-09-10 14:03:12.819</t>
  </si>
  <si>
    <t>2025-09-10 14:03:12.875</t>
  </si>
  <si>
    <t>2025-09-10 14:03:13.189</t>
  </si>
  <si>
    <t>2025-09-10 14:03:24.387</t>
  </si>
  <si>
    <t>2025-09-10 14:03:26.561</t>
  </si>
  <si>
    <t>2025-09-10 14:03:39.124</t>
  </si>
  <si>
    <t>2025-09-10 14:03:39.223</t>
  </si>
  <si>
    <t>2025-09-10 14:03:39.297</t>
  </si>
  <si>
    <t>2025-09-10 14:03:39.360</t>
  </si>
  <si>
    <t>2025-09-10 14:03:39.428</t>
  </si>
  <si>
    <t>2025-09-10 14:03:39.480</t>
  </si>
  <si>
    <t>2025-09-10 14:03:39.534</t>
  </si>
  <si>
    <t>2025-09-10 14:03:39.594</t>
  </si>
  <si>
    <t>2025-09-10 14:03:39.653</t>
  </si>
  <si>
    <t>2025-09-10 14:03:39.717</t>
  </si>
  <si>
    <t>2025-09-10 14:03:39.773</t>
  </si>
  <si>
    <t>2025-09-10 14:03:39.831</t>
  </si>
  <si>
    <t>2025-09-10 14:03:39.888</t>
  </si>
  <si>
    <t>2025-09-10 14:03:39.964</t>
  </si>
  <si>
    <t>2025-09-10 14:03:40.027</t>
  </si>
  <si>
    <t>2025-09-10 14:03:40.103</t>
  </si>
  <si>
    <t>2025-09-10 14:03:40.191</t>
  </si>
  <si>
    <t>2025-09-10 14:03:40.287</t>
  </si>
  <si>
    <t>2025-09-10 14:03:40.361</t>
  </si>
  <si>
    <t>2025-09-10 14:03:40.527</t>
  </si>
  <si>
    <t>2025-09-10 14:03:40.612</t>
  </si>
  <si>
    <t>2025-09-10 14:03:40.691</t>
  </si>
  <si>
    <t>2025-09-10 14:03:50.430</t>
  </si>
  <si>
    <t>{'taskId': '10', 'assignedTo': 'Human', 'sliderValue': 4}</t>
  </si>
  <si>
    <t>2025-09-10 14:03:50.504</t>
  </si>
  <si>
    <t>{'taskId': '10', 'assignedTo': 'Human', 'sliderValue': 3}</t>
  </si>
  <si>
    <t>2025-09-10 14:03:50.572</t>
  </si>
  <si>
    <t>{'taskId': '10', 'assignedTo': 'Human', 'sliderValue': 5}</t>
  </si>
  <si>
    <t>2025-09-10 14:03:51.283</t>
  </si>
  <si>
    <t>{'taskId': '10', 'assignedTo': 'Robot', 'sliderValue': 6}</t>
  </si>
  <si>
    <t>2025-09-10 14:03:51.355</t>
  </si>
  <si>
    <t>{'taskId': '10', 'assignedTo': 'Robot', 'sliderValue': 7}</t>
  </si>
  <si>
    <t>2025-09-10 14:03:51.419</t>
  </si>
  <si>
    <t>2025-09-10 14:03:51.493</t>
  </si>
  <si>
    <t>2025-09-10 14:03:51.557</t>
  </si>
  <si>
    <t>2025-09-10 14:03:53.052</t>
  </si>
  <si>
    <t>2025-09-10 14:04:00.619</t>
  </si>
  <si>
    <t>2025-09-10 14:04:03.860</t>
  </si>
  <si>
    <t>2025-09-10 14:04:05.074</t>
  </si>
  <si>
    <t>2025-09-10 14:04:07.324</t>
  </si>
  <si>
    <t>{'taskId': '9', 'assignedTo': 'Human', 'sliderValue': 1}</t>
  </si>
  <si>
    <t>2025-09-10 14:04:08.531</t>
  </si>
  <si>
    <t>{'taskId': '8', 'assignedTo': 'Robot', 'sliderValue': 7}</t>
  </si>
  <si>
    <t>2025-09-10 14:04:16.130</t>
  </si>
  <si>
    <t>2025-09-10 14:04:23.523</t>
  </si>
  <si>
    <t>2025-09-10 14:04:23.592</t>
  </si>
  <si>
    <t>2025-09-10 14:04:23.666</t>
  </si>
  <si>
    <t>2025-09-10 14:04:23.721</t>
  </si>
  <si>
    <t>{'taskId': '15', 'assignedTo': 'Human', 'sliderValue': 5}</t>
  </si>
  <si>
    <t>2025-09-10 14:04:23.831</t>
  </si>
  <si>
    <t>2025-09-10 14:04:23.881</t>
  </si>
  <si>
    <t>2025-09-10 14:04:24.070</t>
  </si>
  <si>
    <t>2025-09-10 14:04:24.140</t>
  </si>
  <si>
    <t>2025-09-10 14:04:24.211</t>
  </si>
  <si>
    <t>2025-09-10 14:04:24.275</t>
  </si>
  <si>
    <t>2025-09-10 14:04:24.913</t>
  </si>
  <si>
    <t>2025-09-10 14:04:31.054</t>
  </si>
  <si>
    <t>2025-09-10 14:04:45.988</t>
  </si>
  <si>
    <t>2025-09-10 14:04:47.145</t>
  </si>
  <si>
    <t>2025-09-10 14:05:13.049</t>
  </si>
  <si>
    <t>{'taskId': '6', 'assignedTo': 'Human', 'sliderValue': 1}</t>
  </si>
  <si>
    <t>2025-09-10 14:05:14.278</t>
  </si>
  <si>
    <t>2025-09-10 14:05:23.258</t>
  </si>
  <si>
    <t>2025-09-10 14:05:40.916</t>
  </si>
  <si>
    <t>2025-09-10 14:05:43.419</t>
  </si>
  <si>
    <t>2025-09-10 14:05:50.020</t>
  </si>
  <si>
    <t>2025-09-10 14:05:59.675</t>
  </si>
  <si>
    <t>2025-09-10 14:06:02.316</t>
  </si>
  <si>
    <t>2025-09-10 14:06:10.154</t>
  </si>
  <si>
    <t>2025-09-10 14:06:17.885</t>
  </si>
  <si>
    <t>{'question': '125 ÷ 5 = ?', 'answer': '15'}</t>
  </si>
  <si>
    <t>2025-09-10 14:06:18.545</t>
  </si>
  <si>
    <t>2025-09-10 14:06:26.182</t>
  </si>
  <si>
    <t>2025-09-10 14:06:34.067</t>
  </si>
  <si>
    <t>2025-09-10 14:06:39.891</t>
  </si>
  <si>
    <t>2025-09-10 14:06:40.984</t>
  </si>
  <si>
    <t>2025-09-10 14:06:46.324</t>
  </si>
  <si>
    <t>2025-09-10 14:06:49.606</t>
  </si>
  <si>
    <t>2025-09-10 14:07:05.116</t>
  </si>
  <si>
    <t>2025-09-10 14:07:06.717</t>
  </si>
  <si>
    <t>{'question': '29 × 4 = ?', 'answer': '136'}</t>
  </si>
  <si>
    <t>2025-09-10 14:07:14.065</t>
  </si>
  <si>
    <t>2025-09-10 14:07:17.668</t>
  </si>
  <si>
    <t>2025-09-10 14:07:20.612</t>
  </si>
  <si>
    <t>2025-09-10 14:07:23.815</t>
  </si>
  <si>
    <t>2025-09-10 14:07:34.212</t>
  </si>
  <si>
    <t>2025-09-10 14:07:36.883</t>
  </si>
  <si>
    <t>2025-09-10 14:07:41.710</t>
  </si>
  <si>
    <t>2025-09-10 14:07:43.862</t>
  </si>
  <si>
    <t>2025-09-10 14:07:55.277</t>
  </si>
  <si>
    <t>2025-09-10 14:08:01.831</t>
  </si>
  <si>
    <t>2025-09-10 14:08:07.302</t>
  </si>
  <si>
    <t>2025-09-10 14:08:10.381</t>
  </si>
  <si>
    <t>2025-09-10 14:08:13.271</t>
  </si>
  <si>
    <t>2025-09-10 14:08:25.257</t>
  </si>
  <si>
    <t>2025-09-10 14:08:27.436</t>
  </si>
  <si>
    <t>2025-09-10 14:08:31.100</t>
  </si>
  <si>
    <t>2025-09-10 14:08:33.073</t>
  </si>
  <si>
    <t>P279</t>
  </si>
  <si>
    <t>2025-09-10 14:08:45.255</t>
  </si>
  <si>
    <t>2025-09-10 14:08:45.379</t>
  </si>
  <si>
    <t>{'previousAllocations': [{'name': 'Hospital_base', 'assignedTo': 'Robot', 'sliderValue': 10}, {'name': 'Hospital_big_top', 'assignedTo': 'Robot', 'sliderValue': 8}, {'name': 'Hospital_small_top', 'assignedTo': 'Robot', 'sliderValue': 10}, {'name': 'Hospital_screws', 'assignedTo': 'Human', 'sliderValue': 0}, {'name': 'Bridge_triangle_roof', 'assignedTo': 'Robot', 'sliderValue': 9}, {'name': 'Bridge_flat_roof', 'assignedTo': 'Robot', 'sliderValue': 8}, {'name': 'Bridge rod placement', 'assignedTo': 'Human', 'sliderValue': 0}, {'name': 'Dovetail_buttom', 'assignedTo': 'Robot', 'sliderValue': 7}, {'name': 'Dovetail_top', 'assignedTo': 'Human', 'sliderValue': 1}, {'name': 'Wheel_holder', 'assignedTo': 'Robot', 'sliderValue': 10}, {'name': 'Wheel_holder_screws', 'assignedTo': 'Human', 'sliderValue': 0}, {'name': 'Wheel', 'assignedTo': 'Human', 'sliderValue': 0}, {'name': 'Wheel_screw', 'assignedTo': 'Human', 'sliderValue': 0}, {'name': 'Triangle', 'assignedTo': 'Robot', 'sliderValue': 8}, {'name': 'Snap_buttom', 'assignedTo': 'Robot', 'sliderValue': 10}, {'name': 'Snap_middle', 'assignedTo': 'Human', 'sliderValue': 0}, {'name': 'Snap_top', 'assignedTo': 'Human', 'sliderValue': 0}, {'name': 'Museum', 'assignedTo': 'Robot', 'sliderValue': 10}, {'name': 'Inspection', 'assignedTo': 'Human', 'sliderValue': 0}]}</t>
  </si>
  <si>
    <t>2025-09-10 14:08:45.896</t>
  </si>
  <si>
    <t>2025-09-10 14:09:57.660</t>
  </si>
  <si>
    <t>2025-09-10 14:09:58.551</t>
  </si>
  <si>
    <t>2025-09-10 14:09:58.634</t>
  </si>
  <si>
    <t>2025-09-10 14:09:58.741</t>
  </si>
  <si>
    <t>2025-09-10 14:10:10.633</t>
  </si>
  <si>
    <t>2025-09-10 14:10:10.712</t>
  </si>
  <si>
    <t>{'taskId': '6', 'assignedTo': 'Robot', 'sliderValue': 6}</t>
  </si>
  <si>
    <t>2025-09-10 14:10:10.778</t>
  </si>
  <si>
    <t>2025-09-10 14:10:10.899</t>
  </si>
  <si>
    <t>2025-09-10 14:10:11.331</t>
  </si>
  <si>
    <t>2025-09-10 14:10:11.419</t>
  </si>
  <si>
    <t>2025-09-10 14:10:11.490</t>
  </si>
  <si>
    <t>2025-09-10 14:10:20.797</t>
  </si>
  <si>
    <t>2025-09-10 14:10:35.527</t>
  </si>
  <si>
    <t>2025-09-10 14:10:40.944</t>
  </si>
  <si>
    <t>2025-09-10 14:10:49.374</t>
  </si>
  <si>
    <t>2025-09-10 14:10:51.485</t>
  </si>
  <si>
    <t>2025-09-10 14:10:56.907</t>
  </si>
  <si>
    <t>2025-09-10 14:11:09.498</t>
  </si>
  <si>
    <t>2025-09-10 14:11:11.738</t>
  </si>
  <si>
    <t>2025-09-10 14:11:21.077</t>
  </si>
  <si>
    <t>2025-09-10 14:11:30.907</t>
  </si>
  <si>
    <t>2025-09-10 14:11:32.339</t>
  </si>
  <si>
    <t>2025-09-10 14:11:34.574</t>
  </si>
  <si>
    <t>2025-09-10 14:11:41.200</t>
  </si>
  <si>
    <t>2025-09-10 14:11:45.759</t>
  </si>
  <si>
    <t>2025-09-10 14:11:46.936</t>
  </si>
  <si>
    <t>2025-09-10 14:11:50.044</t>
  </si>
  <si>
    <t>2025-09-10 14:11:53.234</t>
  </si>
  <si>
    <t>2025-09-10 14:12:02.948</t>
  </si>
  <si>
    <t>2025-09-10 14:12:05.883</t>
  </si>
  <si>
    <t>2025-09-10 14:12:06.970</t>
  </si>
  <si>
    <t>2025-09-10 14:12:23.194</t>
  </si>
  <si>
    <t>2025-09-10 14:12:25.399</t>
  </si>
  <si>
    <t>2025-09-10 14:12:38.747</t>
  </si>
  <si>
    <t>2025-09-10 14:12:40.471</t>
  </si>
  <si>
    <t>2025-09-10 14:12:45.531</t>
  </si>
  <si>
    <t>2025-09-10 14:12:53.172</t>
  </si>
  <si>
    <t>2025-09-10 14:12:54.258</t>
  </si>
  <si>
    <t>2025-09-10 14:12:55.234</t>
  </si>
  <si>
    <t>2025-09-10 14:13:05.034</t>
  </si>
  <si>
    <t>2025-09-10 14:13:06.269</t>
  </si>
  <si>
    <t>2025-09-10 14:15:59.314</t>
  </si>
  <si>
    <t>2025-09-10 14:16:13.532</t>
  </si>
  <si>
    <t>2025-09-10 14:16:13.590</t>
  </si>
  <si>
    <t>{'taskId': '10', 'assignedTo': 'Robot', 'sliderValue': 8}</t>
  </si>
  <si>
    <t>2025-09-10 14:16:13.668</t>
  </si>
  <si>
    <t>2025-09-10 14:16:13.739</t>
  </si>
  <si>
    <t>2025-09-10 14:16:13.795</t>
  </si>
  <si>
    <t>2025-09-10 14:16:13.842</t>
  </si>
  <si>
    <t>2025-09-10 14:16:32.303</t>
  </si>
  <si>
    <t>2025-09-10 14:16:32.375</t>
  </si>
  <si>
    <t>2025-09-10 14:16:32.453</t>
  </si>
  <si>
    <t>2025-09-10 14:16:32.554</t>
  </si>
  <si>
    <t>2025-09-10 14:16:33.830</t>
  </si>
  <si>
    <t>2025-09-10 14:16:51.415</t>
  </si>
  <si>
    <t>2025-09-10 14:16:53.147</t>
  </si>
  <si>
    <t>2025-09-10 14:16:54.535</t>
  </si>
  <si>
    <t>{'taskId': '6', 'assignedTo': 'Human', 'sliderValue': 2}</t>
  </si>
  <si>
    <t>2025-09-10 14:17:01.950</t>
  </si>
  <si>
    <t>2025-09-10 14:17:03.318</t>
  </si>
  <si>
    <t>2025-09-10 14:17:04.481</t>
  </si>
  <si>
    <t>2025-09-10 14:17:08.719</t>
  </si>
  <si>
    <t>{'taskId': '8', 'assignedTo': 'Human', 'sliderValue': 1}</t>
  </si>
  <si>
    <t>2025-09-10 14:17:10.129</t>
  </si>
  <si>
    <t>2025-09-10 14:17:11.710</t>
  </si>
  <si>
    <t>2025-09-10 14:17:13.092</t>
  </si>
  <si>
    <t>2025-09-10 14:17:26.718</t>
  </si>
  <si>
    <t>{'taskId': '14', 'assignedTo': 'Robot', 'sliderValue': 6}</t>
  </si>
  <si>
    <t>2025-09-10 14:17:38.411</t>
  </si>
  <si>
    <t>2025-09-10 14:17:41.891</t>
  </si>
  <si>
    <t>2025-09-10 14:18:23.503</t>
  </si>
  <si>
    <t>2025-09-10 14:18:26.532</t>
  </si>
  <si>
    <t>2025-09-10 14:18:55.304</t>
  </si>
  <si>
    <t>2025-09-10 14:19:12.944</t>
  </si>
  <si>
    <t>2025-09-10 14:19:25.584</t>
  </si>
  <si>
    <t>2025-09-10 14:19:28.444</t>
  </si>
  <si>
    <t>2025-09-10 14:19:31.108</t>
  </si>
  <si>
    <t>2025-09-10 14:19:46.110</t>
  </si>
  <si>
    <t>2025-09-10 14:19:47.083</t>
  </si>
  <si>
    <t>2025-09-10 14:19:52.661</t>
  </si>
  <si>
    <t>2025-09-10 14:19:59.534</t>
  </si>
  <si>
    <t>2025-09-10 14:20:02.967</t>
  </si>
  <si>
    <t>2025-09-10 14:20:04.653</t>
  </si>
  <si>
    <t>2025-09-10 14:20:15.412</t>
  </si>
  <si>
    <t>2025-09-10 14:20:18.415</t>
  </si>
  <si>
    <t>2025-09-10 14:20:20.759</t>
  </si>
  <si>
    <t>2025-09-10 14:20:25.925</t>
  </si>
  <si>
    <t>2025-09-10 14:20:33.112</t>
  </si>
  <si>
    <t>2025-09-10 14:20:49.327</t>
  </si>
  <si>
    <t>2025-09-10 14:21:00.088</t>
  </si>
  <si>
    <t>2025-09-10 14:21:03.808</t>
  </si>
  <si>
    <t>2025-09-10 14:21:05.989</t>
  </si>
  <si>
    <t>2025-09-10 14:21:16.079</t>
  </si>
  <si>
    <t>2025-09-10 14:21:16.183</t>
  </si>
  <si>
    <t>{'previousAllocations': [{'name': 'Hospital_base', 'assignedTo': 'Robot', 'sliderValue': 9}, {'name': 'Hospital_big_top', 'assignedTo': 'Robot', 'sliderValue': 8}, {'name': 'Hospital_small_top', 'assignedTo': 'Robot', 'sliderValue': 7}, {'name': 'Hospital_screws', 'assignedTo': 'Human', 'sliderValue': 0}, {'name': 'Bridge_triangle_roof', 'assignedTo': 'Robot', 'sliderValue': 9}, {'name': 'Bridge_flat_roof', 'assignedTo': 'Human', 'sliderValue': 2}, {'name': 'Bridge rod placement', 'assignedTo': 'Human', 'sliderValue': 0}, {'name': 'Dovetail_buttom', 'assignedTo': 'Human', 'sliderValue': 1}, {'name': 'Dovetail_top', 'assignedTo': 'Human', 'sliderValue': 1}, {'name': 'Wheel_holder', 'assignedTo': 'Robot', 'sliderValue': 10}, {'name': 'Wheel_holder_screws', 'assignedTo': 'Human', 'sliderValue': 0}, {'name': 'Wheel', 'assignedTo': 'Human', 'sliderValue': 0}, {'name': 'Wheel_screw', 'assignedTo': 'Human', 'sliderValue': 0}, {'name': 'Triangle', 'assignedTo': 'Robot', 'sliderValue': 6}, {'name': 'Snap_buttom', 'assignedTo': 'Robot', 'sliderValue': 8}, {'name': 'Snap_middle', 'assignedTo': 'Human', 'sliderValue': 0}, {'name': 'Snap_top', 'assignedTo': 'Human', 'sliderValue': 0}, {'name': 'Museum', 'assignedTo': 'Human', 'sliderValue': 3}, {'name': 'Inspection', 'assignedTo': 'Human', 'sliderValue': 0}]}</t>
  </si>
  <si>
    <t>2025-09-10 14:21:16.686</t>
  </si>
  <si>
    <t>2025-09-10 14:21:40.100</t>
  </si>
  <si>
    <t>{'taskId': '14', 'assignedTo': 'Human', 'sliderValue': 5}</t>
  </si>
  <si>
    <t>2025-09-10 14:21:40.162</t>
  </si>
  <si>
    <t>2025-09-10 14:21:40.224</t>
  </si>
  <si>
    <t>2025-09-10 14:21:40.287</t>
  </si>
  <si>
    <t>2025-09-10 14:21:40.349</t>
  </si>
  <si>
    <t>2025-09-10 14:21:40.405</t>
  </si>
  <si>
    <t>2025-09-10 14:21:40.495</t>
  </si>
  <si>
    <t>2025-09-10 14:21:40.544</t>
  </si>
  <si>
    <t>2025-09-10 14:21:40.591</t>
  </si>
  <si>
    <t>2025-09-10 14:21:40.638</t>
  </si>
  <si>
    <t>2025-09-10 14:21:41.312</t>
  </si>
  <si>
    <t>2025-09-10 14:21:49.145</t>
  </si>
  <si>
    <t>2025-09-10 14:21:58.950</t>
  </si>
  <si>
    <t>2025-09-10 14:21:59.099</t>
  </si>
  <si>
    <t>2025-09-10 14:21:59.188</t>
  </si>
  <si>
    <t>2025-09-10 14:21:59.255</t>
  </si>
  <si>
    <t>2025-09-10 14:21:59.897</t>
  </si>
  <si>
    <t>2025-09-10 14:22:01.436</t>
  </si>
  <si>
    <t>2025-09-10 14:22:05.381</t>
  </si>
  <si>
    <t>2025-09-10 14:22:19.618</t>
  </si>
  <si>
    <t>2025-09-10 14:22:30.003</t>
  </si>
  <si>
    <t>2025-09-10 14:22:34.292</t>
  </si>
  <si>
    <t>2025-09-10 14:22:37.328</t>
  </si>
  <si>
    <t>2025-09-10 14:22:49.061</t>
  </si>
  <si>
    <t>2025-09-10 14:22:59.029</t>
  </si>
  <si>
    <t>2025-09-10 14:23:03.817</t>
  </si>
  <si>
    <t>2025-09-10 14:23:22.975</t>
  </si>
  <si>
    <t>2025-09-10 14:23:23.465</t>
  </si>
  <si>
    <t>2025-09-10 14:23:24.372</t>
  </si>
  <si>
    <t>2025-09-10 14:23:31.729</t>
  </si>
  <si>
    <t>2025-09-10 14:23:38.345</t>
  </si>
  <si>
    <t>2025-09-10 14:23:39.213</t>
  </si>
  <si>
    <t>2025-09-10 14:23:42.788</t>
  </si>
  <si>
    <t>2025-09-10 14:23:53.973</t>
  </si>
  <si>
    <t>2025-09-10 14:24:01.719</t>
  </si>
  <si>
    <t>2025-09-10 14:24:07.640</t>
  </si>
  <si>
    <t>2025-09-10 14:24:11.729</t>
  </si>
  <si>
    <t>2025-09-10 14:24:15.555</t>
  </si>
  <si>
    <t>2025-09-10 14:24:19.094</t>
  </si>
  <si>
    <t>P288</t>
  </si>
  <si>
    <t>2025-09-10 16:36:56.267</t>
  </si>
  <si>
    <t>2025-09-10 16:36:56.769</t>
  </si>
  <si>
    <t>2025-09-10 16:38:10.884</t>
  </si>
  <si>
    <t>2025-09-10 16:38:11.003</t>
  </si>
  <si>
    <t>2025-09-10 16:38:11.133</t>
  </si>
  <si>
    <t>2025-09-10 16:38:11.215</t>
  </si>
  <si>
    <t>2025-09-10 16:38:11.269</t>
  </si>
  <si>
    <t>2025-09-10 16:38:11.324</t>
  </si>
  <si>
    <t>2025-09-10 16:38:11.368</t>
  </si>
  <si>
    <t>2025-09-10 16:38:11.413</t>
  </si>
  <si>
    <t>2025-09-10 16:38:11.522</t>
  </si>
  <si>
    <t>2025-09-10 16:38:11.582</t>
  </si>
  <si>
    <t>2025-09-10 16:38:11.650</t>
  </si>
  <si>
    <t>{'taskId': '10', 'assignedTo': 'Human', 'sliderValue': 1}</t>
  </si>
  <si>
    <t>2025-09-10 16:38:11.719</t>
  </si>
  <si>
    <t>2025-09-10 16:38:11.824</t>
  </si>
  <si>
    <t>2025-09-10 16:38:11.923</t>
  </si>
  <si>
    <t>2025-09-10 16:38:11.996</t>
  </si>
  <si>
    <t>2025-09-10 16:38:12.037</t>
  </si>
  <si>
    <t>2025-09-10 16:38:12.092</t>
  </si>
  <si>
    <t>2025-09-10 16:38:12.155</t>
  </si>
  <si>
    <t>2025-09-10 16:38:12.211</t>
  </si>
  <si>
    <t>2025-09-10 16:38:12.256</t>
  </si>
  <si>
    <t>2025-09-10 16:38:12.410</t>
  </si>
  <si>
    <t>2025-09-10 16:38:12.479</t>
  </si>
  <si>
    <t>2025-09-10 16:38:12.551</t>
  </si>
  <si>
    <t>2025-09-10 16:38:12.615</t>
  </si>
  <si>
    <t>2025-09-10 16:38:12.679</t>
  </si>
  <si>
    <t>2025-09-10 16:38:12.734</t>
  </si>
  <si>
    <t>2025-09-10 16:38:12.797</t>
  </si>
  <si>
    <t>2025-09-10 16:38:12.862</t>
  </si>
  <si>
    <t>2025-09-10 16:38:12.918</t>
  </si>
  <si>
    <t>2025-09-10 16:38:12.968</t>
  </si>
  <si>
    <t>2025-09-10 16:38:13.020</t>
  </si>
  <si>
    <t>2025-09-10 16:38:13.073</t>
  </si>
  <si>
    <t>2025-09-10 16:38:13.126</t>
  </si>
  <si>
    <t>2025-09-10 16:38:13.178</t>
  </si>
  <si>
    <t>2025-09-10 16:38:13.235</t>
  </si>
  <si>
    <t>2025-09-10 16:38:13.279</t>
  </si>
  <si>
    <t>2025-09-10 16:38:13.345</t>
  </si>
  <si>
    <t>2025-09-10 16:38:14.341</t>
  </si>
  <si>
    <t>2025-09-10 16:38:15.684</t>
  </si>
  <si>
    <t>2025-09-10 16:38:16.119</t>
  </si>
  <si>
    <t>2025-09-10 16:38:16.674</t>
  </si>
  <si>
    <t>2025-09-10 16:38:17.728</t>
  </si>
  <si>
    <t>2025-09-10 16:38:18.182</t>
  </si>
  <si>
    <t>2025-09-10 16:38:24.181</t>
  </si>
  <si>
    <t>2025-09-10 16:38:26.080</t>
  </si>
  <si>
    <t>2025-09-10 16:38:36.398</t>
  </si>
  <si>
    <t>2025-09-10 16:38:39.704</t>
  </si>
  <si>
    <t>2025-09-10 16:38:40.901</t>
  </si>
  <si>
    <t>2025-09-10 16:39:03.491</t>
  </si>
  <si>
    <t>2025-09-10 16:39:21.080</t>
  </si>
  <si>
    <t>2025-09-10 16:39:23.669</t>
  </si>
  <si>
    <t>2025-09-10 16:39:31.557</t>
  </si>
  <si>
    <t>2025-09-10 16:39:33.301</t>
  </si>
  <si>
    <t>2025-09-10 16:39:36.598</t>
  </si>
  <si>
    <t>2025-09-10 16:39:51.340</t>
  </si>
  <si>
    <t>2025-09-10 16:39:51.656</t>
  </si>
  <si>
    <t>2025-09-10 16:40:02.451</t>
  </si>
  <si>
    <t>2025-09-10 16:40:06.373</t>
  </si>
  <si>
    <t>2025-09-10 16:40:07.301</t>
  </si>
  <si>
    <t>2025-09-10 16:40:07.529</t>
  </si>
  <si>
    <t>2025-09-10 16:40:22.561</t>
  </si>
  <si>
    <t>{'question': '18 × 6 = ?'}</t>
  </si>
  <si>
    <t>2025-09-10 16:40:25.250</t>
  </si>
  <si>
    <t>2025-09-10 16:40:29.024</t>
  </si>
  <si>
    <t>{'question': '18 × 6 = ?', 'answer': '108'}</t>
  </si>
  <si>
    <t>2025-09-10 16:40:31.890</t>
  </si>
  <si>
    <t>2025-09-10 16:40:42.271</t>
  </si>
  <si>
    <t>2025-09-10 16:40:45.948</t>
  </si>
  <si>
    <t>2025-09-10 16:40:49.144</t>
  </si>
  <si>
    <t>2025-09-10 16:40:57.772</t>
  </si>
  <si>
    <t>2025-09-10 16:41:09.907</t>
  </si>
  <si>
    <t>2025-09-10 16:41:15.478</t>
  </si>
  <si>
    <t>2025-09-10 16:41:30.030</t>
  </si>
  <si>
    <t>2025-09-10 16:41:30.996</t>
  </si>
  <si>
    <t>2025-09-10 16:41:39.684</t>
  </si>
  <si>
    <t>2025-09-10 16:41:47.871</t>
  </si>
  <si>
    <t>2025-09-10 16:41:50.660</t>
  </si>
  <si>
    <t>2025-09-10 16:41:51.180</t>
  </si>
  <si>
    <t>2025-09-10 16:41:59.808</t>
  </si>
  <si>
    <t>2025-09-10 16:42:07.345</t>
  </si>
  <si>
    <t>2025-09-10 16:42:09.925</t>
  </si>
  <si>
    <t>2025-09-10 16:42:11.303</t>
  </si>
  <si>
    <t>P289</t>
  </si>
  <si>
    <t>2025-09-10 16:42:20.112</t>
  </si>
  <si>
    <t>2025-09-10 16:42:20.239</t>
  </si>
  <si>
    <t>2025-09-10 16:42:34.732</t>
  </si>
  <si>
    <t>2025-09-10 16:42:45.973</t>
  </si>
  <si>
    <t>2025-09-10 16:43:00.665</t>
  </si>
  <si>
    <t>2025-09-10 16:43:06.116</t>
  </si>
  <si>
    <t>2025-09-10 16:43:09.754</t>
  </si>
  <si>
    <t>2025-09-10 16:43:10.667</t>
  </si>
  <si>
    <t>2025-09-10 16:43:19.770</t>
  </si>
  <si>
    <t>2025-09-10 16:43:29.885</t>
  </si>
  <si>
    <t>2025-09-10 16:43:38.967</t>
  </si>
  <si>
    <t>2025-09-10 16:43:46.161</t>
  </si>
  <si>
    <t>2025-09-10 16:43:47.142</t>
  </si>
  <si>
    <t>2025-09-10 16:43:48.152</t>
  </si>
  <si>
    <t>2025-09-10 16:43:57.389</t>
  </si>
  <si>
    <t>2025-09-10 16:44:05.149</t>
  </si>
  <si>
    <t>2025-09-10 16:44:06.296</t>
  </si>
  <si>
    <t>2025-09-10 16:44:12.935</t>
  </si>
  <si>
    <t>2025-09-10 16:44:15.360</t>
  </si>
  <si>
    <t>2025-09-10 16:44:28.461</t>
  </si>
  <si>
    <t>2025-09-10 16:44:35.474</t>
  </si>
  <si>
    <t>2025-09-10 16:44:44.690</t>
  </si>
  <si>
    <t>2025-09-10 16:44:51.008</t>
  </si>
  <si>
    <t>2025-09-10 16:44:54.391</t>
  </si>
  <si>
    <t>2025-09-10 16:45:02.423</t>
  </si>
  <si>
    <t>2025-09-10 16:45:11.045</t>
  </si>
  <si>
    <t>2025-09-10 16:45:19.327</t>
  </si>
  <si>
    <t>2025-09-10 16:45:33.021</t>
  </si>
  <si>
    <t>2025-09-10 16:45:34.070</t>
  </si>
  <si>
    <t>2025-09-10 16:45:37.807</t>
  </si>
  <si>
    <t>2025-09-10 16:45:43.491</t>
  </si>
  <si>
    <t>2025-09-10 16:45:53.141</t>
  </si>
  <si>
    <t>2025-09-10 16:45:53.231</t>
  </si>
  <si>
    <t>2025-09-10 16:45:54.743</t>
  </si>
  <si>
    <t>2025-09-10 16:46:05.688</t>
  </si>
  <si>
    <t>2025-09-10 16:46:25.834</t>
  </si>
  <si>
    <t>2025-09-10 16:46:32.951</t>
  </si>
  <si>
    <t>P290</t>
  </si>
  <si>
    <t>2025-09-10 16:48:48.444</t>
  </si>
  <si>
    <t>2025-09-10 16:48:48.945</t>
  </si>
  <si>
    <t>2025-09-10 16:49:03.053</t>
  </si>
  <si>
    <t>2025-09-10 16:49:03.133</t>
  </si>
  <si>
    <t>2025-09-10 16:49:03.192</t>
  </si>
  <si>
    <t>2025-09-10 16:49:12.060</t>
  </si>
  <si>
    <t>2025-09-10 16:49:12.917</t>
  </si>
  <si>
    <t>2025-09-10 16:49:21.331</t>
  </si>
  <si>
    <t>2025-09-10 16:49:22.455</t>
  </si>
  <si>
    <t>2025-09-10 16:49:25.433</t>
  </si>
  <si>
    <t>2025-09-10 16:49:28.462</t>
  </si>
  <si>
    <t>2025-09-10 16:49:28.539</t>
  </si>
  <si>
    <t>2025-09-10 16:49:32.048</t>
  </si>
  <si>
    <t>2025-09-10 16:49:34.530</t>
  </si>
  <si>
    <t>2025-09-10 16:49:34.595</t>
  </si>
  <si>
    <t>2025-09-10 16:50:01.718</t>
  </si>
  <si>
    <t>2025-09-10 16:50:07.936</t>
  </si>
  <si>
    <t>2025-09-10 16:50:25.241</t>
  </si>
  <si>
    <t>2025-09-10 16:50:41.448</t>
  </si>
  <si>
    <t>2025-09-10 16:50:54.244</t>
  </si>
  <si>
    <t>2025-09-10 16:50:57.848</t>
  </si>
  <si>
    <t>2025-09-10 16:50:59.121</t>
  </si>
  <si>
    <t>2025-09-10 16:51:01.066</t>
  </si>
  <si>
    <t>2025-09-10 16:51:14.615</t>
  </si>
  <si>
    <t>2025-09-10 16:51:16.860</t>
  </si>
  <si>
    <t>2025-09-10 16:51:32.259</t>
  </si>
  <si>
    <t>2025-09-10 16:51:37.992</t>
  </si>
  <si>
    <t>2025-09-10 16:51:39.542</t>
  </si>
  <si>
    <t>2025-09-10 16:51:49.243</t>
  </si>
  <si>
    <t>2025-09-10 16:51:58.671</t>
  </si>
  <si>
    <t>2025-09-10 16:52:04.710</t>
  </si>
  <si>
    <t>2025-09-10 16:52:07.296</t>
  </si>
  <si>
    <t>2025-09-10 16:52:09.513</t>
  </si>
  <si>
    <t>2025-09-10 16:52:26.068</t>
  </si>
  <si>
    <t>2025-09-10 16:52:28.748</t>
  </si>
  <si>
    <t>P291</t>
  </si>
  <si>
    <t>2025-09-10 16:52:37.172</t>
  </si>
  <si>
    <t>2025-09-10 16:52:37.311</t>
  </si>
  <si>
    <t>{'previousAllocations': [{'name': 'Hospital_base', 'assignedTo': 'Human', 'sliderValue': 0}, {'name': 'Hospital_big_top', 'assignedTo': 'Robot', 'sliderValue': 10}, {'name': 'Hospital_small_top', 'assignedTo': 'Robot', 'sliderValue': 10}, {'name': 'Hospital_screws', 'assignedTo': 'Human', 'sliderValue': 0}, {'name': 'Bridge_triangle_roof', 'assignedTo': 'Robot', 'sliderValue': 10}, {'name': 'Bridge_flat_roof', 'assignedTo': 'Human', 'sliderValue': 0}, {'name': 'Bridge rod placement', 'assignedTo': 'Human', 'sliderValue': 0}, {'name': 'Dovetail_buttom', 'assignedTo': 'Robot', 'sliderValue': 10}, {'name': 'Dovetail_top', 'assignedTo': 'Human', 'sliderValue': 0}, {'name': 'Wheel_holder', 'assignedTo': 'Robot', 'sliderValue': 10}, {'name': 'Wheel_holder_screws', 'assignedTo': 'Human', 'sliderValue': 0}, {'name': 'Wheel', 'assignedTo': 'Human', 'sliderValue': 0}, {'name': 'Wheel_screw', 'assignedTo': 'Human', 'sliderValue': 0}, {'name': 'Triangle', 'assignedTo': 'Robot', 'sliderValue': 10}, {'name': 'Snap_buttom', 'assignedTo': 'Robot', 'sliderValue': 10}, {'name': 'Snap_middle', 'assignedTo': 'Human', 'sliderValue': 0}, {'name': 'Snap_top', 'assignedTo': 'Human', 'sliderValue': 0}, {'name': 'Museum', 'assignedTo': 'Robot', 'sliderValue': 10}, {'name': 'Inspection', 'assignedTo': 'Human', 'sliderValue': 0}]}</t>
  </si>
  <si>
    <t>2025-09-10 16:52:51.693</t>
  </si>
  <si>
    <t>2025-09-10 16:52:53.289</t>
  </si>
  <si>
    <t>2025-09-10 16:52:55.530</t>
  </si>
  <si>
    <t>2025-09-10 16:52:55.608</t>
  </si>
  <si>
    <t>2025-09-10 16:52:55.684</t>
  </si>
  <si>
    <t>2025-09-10 16:52:55.751</t>
  </si>
  <si>
    <t>{'taskId': '2', 'assignedTo': 'Robot', 'sliderValue': 6}</t>
  </si>
  <si>
    <t>2025-09-10 16:52:55.827</t>
  </si>
  <si>
    <t>2025-09-10 16:52:55.888</t>
  </si>
  <si>
    <t>2025-09-10 16:52:55.946</t>
  </si>
  <si>
    <t>2025-09-10 16:52:55.998</t>
  </si>
  <si>
    <t>2025-09-10 16:52:56.055</t>
  </si>
  <si>
    <t>2025-09-10 16:52:56.114</t>
  </si>
  <si>
    <t>2025-09-10 16:52:56.172</t>
  </si>
  <si>
    <t>2025-09-10 16:52:56.233</t>
  </si>
  <si>
    <t>2025-09-10 16:52:56.295</t>
  </si>
  <si>
    <t>2025-09-10 16:52:56.378</t>
  </si>
  <si>
    <t>2025-09-10 16:52:56.462</t>
  </si>
  <si>
    <t>2025-09-10 16:52:56.534</t>
  </si>
  <si>
    <t>2025-09-10 16:52:56.598</t>
  </si>
  <si>
    <t>2025-09-10 16:52:56.656</t>
  </si>
  <si>
    <t>2025-09-10 16:52:56.731</t>
  </si>
  <si>
    <t>2025-09-10 16:52:56.790</t>
  </si>
  <si>
    <t>2025-09-10 16:52:56.869</t>
  </si>
  <si>
    <t>2025-09-10 16:52:56.934</t>
  </si>
  <si>
    <t>2025-09-10 16:52:57.034</t>
  </si>
  <si>
    <t>2025-09-10 16:52:57.134</t>
  </si>
  <si>
    <t>2025-09-10 16:52:57.218</t>
  </si>
  <si>
    <t>2025-09-10 16:52:57.690</t>
  </si>
  <si>
    <t>2025-09-10 16:52:58.361</t>
  </si>
  <si>
    <t>2025-09-10 16:52:59.708</t>
  </si>
  <si>
    <t>2025-09-10 16:53:04.177</t>
  </si>
  <si>
    <t>2025-09-10 16:53:45.032</t>
  </si>
  <si>
    <t>2025-09-10 16:53:49.418</t>
  </si>
  <si>
    <t>2025-09-10 16:54:05.616</t>
  </si>
  <si>
    <t>2025-09-10 16:54:10.101</t>
  </si>
  <si>
    <t>2025-09-10 16:54:18.400</t>
  </si>
  <si>
    <t>2025-09-10 16:54:25.596</t>
  </si>
  <si>
    <t>2025-09-10 16:54:26.398</t>
  </si>
  <si>
    <t>2025-09-10 16:54:31.658</t>
  </si>
  <si>
    <t>2025-09-10 16:54:41.769</t>
  </si>
  <si>
    <t>2025-09-10 16:54:44.154</t>
  </si>
  <si>
    <t>2025-09-10 16:54:56.525</t>
  </si>
  <si>
    <t>2025-09-10 16:55:13.446</t>
  </si>
  <si>
    <t>2025-09-10 16:55:19.847</t>
  </si>
  <si>
    <t>2025-09-10 16:55:20.463</t>
  </si>
  <si>
    <t>2025-09-10 16:55:21.370</t>
  </si>
  <si>
    <t>2025-09-10 16:55:28.245</t>
  </si>
  <si>
    <t>2025-09-10 16:55:30.181</t>
  </si>
  <si>
    <t>2025-09-10 16:55:36.392</t>
  </si>
  <si>
    <t>2025-09-10 16:55:47.580</t>
  </si>
  <si>
    <t>2025-09-10 16:55:49.550</t>
  </si>
  <si>
    <t>Yellow</t>
  </si>
  <si>
    <t>Hospital</t>
  </si>
  <si>
    <t>Bridge</t>
  </si>
  <si>
    <t>Snap</t>
  </si>
  <si>
    <t>Dovetail</t>
  </si>
  <si>
    <t>Robot N_task</t>
  </si>
  <si>
    <t>Robot N_task With question</t>
  </si>
  <si>
    <t>N_robot</t>
  </si>
  <si>
    <t>N_human</t>
  </si>
  <si>
    <t>Assembly time</t>
  </si>
  <si>
    <t>P297</t>
  </si>
  <si>
    <t>2025-09-10 17:42:52.731</t>
  </si>
  <si>
    <t>2025-09-10 17:42:58.626</t>
  </si>
  <si>
    <t>2025-09-10 17:45:12.615</t>
  </si>
  <si>
    <t>2025-09-10 17:45:12.773</t>
  </si>
  <si>
    <t>2025-09-10 17:45:13.175</t>
  </si>
  <si>
    <t>2025-09-10 17:45:13.267</t>
  </si>
  <si>
    <t>2025-09-10 17:45:13.368</t>
  </si>
  <si>
    <t>2025-09-10 17:45:14.975</t>
  </si>
  <si>
    <t>2025-09-10 17:45:15.335</t>
  </si>
  <si>
    <t>2025-09-10 17:45:15.429</t>
  </si>
  <si>
    <t>2025-09-10 17:45:15.524</t>
  </si>
  <si>
    <t>2025-09-10 17:45:15.652</t>
  </si>
  <si>
    <t>2025-09-10 17:45:15.749</t>
  </si>
  <si>
    <t>2025-09-10 17:45:15.832</t>
  </si>
  <si>
    <t>2025-09-10 17:45:15.883</t>
  </si>
  <si>
    <t>2025-09-10 17:45:16.581</t>
  </si>
  <si>
    <t>2025-09-10 17:45:17.259</t>
  </si>
  <si>
    <t>2025-09-10 17:45:17.371</t>
  </si>
  <si>
    <t>2025-09-10 17:45:17.683</t>
  </si>
  <si>
    <t>2025-09-10 17:45:18.443</t>
  </si>
  <si>
    <t>2025-09-10 17:45:20.142</t>
  </si>
  <si>
    <t>2025-09-10 17:45:21.231</t>
  </si>
  <si>
    <t>2025-09-10 17:46:25.598</t>
  </si>
  <si>
    <t>2025-09-10 17:46:28.033</t>
  </si>
  <si>
    <t>2025-09-10 17:46:36.113</t>
  </si>
  <si>
    <t>2025-09-10 17:47:03.901</t>
  </si>
  <si>
    <t>2025-09-10 17:47:05.034</t>
  </si>
  <si>
    <t>2025-09-10 17:47:08.641</t>
  </si>
  <si>
    <t>2025-09-10 17:47:14.117</t>
  </si>
  <si>
    <t>2025-09-10 17:47:18.380</t>
  </si>
  <si>
    <t>2025-09-10 17:47:19.248</t>
  </si>
  <si>
    <t>2025-09-10 17:47:40.306</t>
  </si>
  <si>
    <t>{'taskId': '8', 'assignedTo': 'Robot', 'sliderValue': 6}</t>
  </si>
  <si>
    <t>2025-09-10 17:47:41.229</t>
  </si>
  <si>
    <t>{'taskId': '9', 'assignedTo': 'Robot', 'sliderValue': 6}</t>
  </si>
  <si>
    <t>2025-09-10 17:49:06.224</t>
  </si>
  <si>
    <t>2025-09-10 17:49:23.908</t>
  </si>
  <si>
    <t>2025-09-10 17:49:31.566</t>
  </si>
  <si>
    <t>2025-09-10 17:49:36.100</t>
  </si>
  <si>
    <t>2025-09-10 17:49:41.624</t>
  </si>
  <si>
    <t>2025-09-10 17:49:59.246</t>
  </si>
  <si>
    <t>2025-09-10 17:50:11.551</t>
  </si>
  <si>
    <t>2025-09-10 17:50:14.741</t>
  </si>
  <si>
    <t>2025-09-10 17:50:17.455</t>
  </si>
  <si>
    <t>2025-09-10 17:50:27.457</t>
  </si>
  <si>
    <t>2025-09-10 17:50:30.226</t>
  </si>
  <si>
    <t>2025-09-10 17:50:32.938</t>
  </si>
  <si>
    <t>2025-09-10 17:50:45.026</t>
  </si>
  <si>
    <t>2025-09-10 17:51:01.323</t>
  </si>
  <si>
    <t>2025-09-10 17:51:05.657</t>
  </si>
  <si>
    <t>2025-09-10 17:51:13.217</t>
  </si>
  <si>
    <t>2025-09-10 17:51:16.835</t>
  </si>
  <si>
    <t>2025-09-10 17:51:20.303</t>
  </si>
  <si>
    <t>2025-09-10 17:51:31.603</t>
  </si>
  <si>
    <t>2025-09-10 17:51:34.514</t>
  </si>
  <si>
    <t>P298</t>
  </si>
  <si>
    <t>2025-09-10 17:51:43.217</t>
  </si>
  <si>
    <t>2025-09-10 17:51:43.412</t>
  </si>
  <si>
    <t>{'previousAllocations': [{'name': 'Hospital_base', 'assignedTo': 'Robot', 'sliderValue': 6}, {'name': 'Hospital_big_top', 'assignedTo': 'Robot', 'sliderValue': 6}, {'name': 'Hospital_small_top', 'assignedTo': 'Robot', 'sliderValue': 6}, {'name': 'Hospital_screws', 'assignedTo': 'Human', 'sliderValue': 0}, {'name': 'Bridge_triangle_roof', 'assignedTo': 'Robot', 'sliderValue': 6}, {'name': 'Bridge_flat_roof', 'assignedTo': 'Robot', 'sliderValue': 6}, {'name': 'Bridge rod placement', 'assignedTo': 'Human', 'sliderValue': 0}, {'name': 'Dovetail_buttom', 'assignedTo': 'Robot', 'sliderValue': 6}, {'name': 'Dovetail_top', 'assignedTo': 'Robot', 'sliderValue': 6}, {'name': 'Wheel_holder', 'assignedTo': 'Robot', 'sliderValue': 6}, {'name': 'Wheel_holder_screws', 'assignedTo': 'Human', 'sliderValue': 0}, {'name': 'Wheel', 'assignedTo': 'Human', 'sliderValue': 0}, {'name': 'Wheel_screw', 'assignedTo': 'Human', 'sliderValue': 0}, {'name': 'Triangle', 'assignedTo': 'Human', 'sliderValue': 4}, {'name': 'Snap_buttom', 'assignedTo': 'Robot', 'sliderValue': 6}, {'name': 'Snap_middle', 'assignedTo': 'Human', 'sliderValue': 0}, {'name': 'Snap_top', 'assignedTo': 'Human', 'sliderValue': 0}, {'name': 'Museum', 'assignedTo': 'Human', 'sliderValue': 4}, {'name': 'Inspection', 'assignedTo': 'Human', 'sliderValue': 0}]}</t>
  </si>
  <si>
    <t>2025-09-10 17:51:43.915</t>
  </si>
  <si>
    <t>2025-09-10 17:53:46.158</t>
  </si>
  <si>
    <t>{'taskId': '9', 'assignedTo': 'Robot', 'sliderValue': 7}</t>
  </si>
  <si>
    <t>2025-09-10 17:53:47.670</t>
  </si>
  <si>
    <t>{'taskId': '9', 'assignedTo': 'Human', 'sliderValue': 4}</t>
  </si>
  <si>
    <t>2025-09-10 17:53:49.257</t>
  </si>
  <si>
    <t>{'taskId': '9', 'assignedTo': 'Human', 'sliderValue': 5}</t>
  </si>
  <si>
    <t>2025-09-10 17:53:53.190</t>
  </si>
  <si>
    <t>2025-09-10 17:53:53.690</t>
  </si>
  <si>
    <t>2025-09-10 17:53:58.585</t>
  </si>
  <si>
    <t>2025-09-10 17:54:01.195</t>
  </si>
  <si>
    <t>2025-09-10 17:54:03.752</t>
  </si>
  <si>
    <t>2025-09-10 17:54:04.082</t>
  </si>
  <si>
    <t>2025-09-10 17:54:04.149</t>
  </si>
  <si>
    <t>2025-09-10 17:54:40.893</t>
  </si>
  <si>
    <t>2025-09-10 17:54:55.485</t>
  </si>
  <si>
    <t>2025-09-10 17:55:03.625</t>
  </si>
  <si>
    <t>2025-09-10 17:55:09.166</t>
  </si>
  <si>
    <t>2025-09-10 17:55:10.950</t>
  </si>
  <si>
    <t>2025-09-10 17:55:25.650</t>
  </si>
  <si>
    <t>2025-09-10 17:55:25.706</t>
  </si>
  <si>
    <t>2025-09-10 17:55:32.981</t>
  </si>
  <si>
    <t>2025-09-10 17:55:40.446</t>
  </si>
  <si>
    <t>2025-09-10 17:55:42.182</t>
  </si>
  <si>
    <t>2025-09-10 17:55:50.484</t>
  </si>
  <si>
    <t>2025-09-10 17:55:59.540</t>
  </si>
  <si>
    <t>2025-09-10 17:56:18.643</t>
  </si>
  <si>
    <t>2025-09-10 17:56:37.017</t>
  </si>
  <si>
    <t>2025-09-10 17:56:37.841</t>
  </si>
  <si>
    <t>2025-09-10 17:56:53.217</t>
  </si>
  <si>
    <t>2025-09-10 17:56:53.765</t>
  </si>
  <si>
    <t>2025-09-10 17:56:59.797</t>
  </si>
  <si>
    <t>2025-09-10 17:57:02.041</t>
  </si>
  <si>
    <t>2025-09-10 17:57:02.708</t>
  </si>
  <si>
    <t>P299</t>
  </si>
  <si>
    <t>2025-09-10 18:00:39.338</t>
  </si>
  <si>
    <t>2025-09-10 18:00:53.814</t>
  </si>
  <si>
    <t>2025-09-10 18:01:23.641</t>
  </si>
  <si>
    <t>2025-09-10 18:01:23.762</t>
  </si>
  <si>
    <t>2025-09-10 18:01:23.881</t>
  </si>
  <si>
    <t>{'taskId': '10', 'assignedTo': 'Human', 'sliderValue': 2}</t>
  </si>
  <si>
    <t>2025-09-10 18:01:24.097</t>
  </si>
  <si>
    <t>2025-09-10 18:01:24.217</t>
  </si>
  <si>
    <t>2025-09-10 18:01:24.307</t>
  </si>
  <si>
    <t>2025-09-10 18:01:25.360</t>
  </si>
  <si>
    <t>2025-09-10 18:01:25.554</t>
  </si>
  <si>
    <t>2025-09-10 18:01:36.120</t>
  </si>
  <si>
    <t>2025-09-10 18:01:40.440</t>
  </si>
  <si>
    <t>2025-09-10 18:01:41.589</t>
  </si>
  <si>
    <t>2025-09-10 18:01:41.676</t>
  </si>
  <si>
    <t>2025-09-10 18:01:42.038</t>
  </si>
  <si>
    <t>2025-09-10 18:01:42.134</t>
  </si>
  <si>
    <t>{'taskId': '6', 'assignedTo': 'Human', 'sliderValue': 5}</t>
  </si>
  <si>
    <t>2025-09-10 18:01:42.555</t>
  </si>
  <si>
    <t>2025-09-10 18:01:46.658</t>
  </si>
  <si>
    <t>2025-09-10 18:01:57.015</t>
  </si>
  <si>
    <t>2025-09-10 18:01:57.315</t>
  </si>
  <si>
    <t>2025-09-10 18:01:59.333</t>
  </si>
  <si>
    <t>2025-09-10 18:02:06.345</t>
  </si>
  <si>
    <t>2025-09-10 18:02:15.970</t>
  </si>
  <si>
    <t>2025-09-10 18:02:19.272</t>
  </si>
  <si>
    <t>{'taskId': '9', 'assignedTo': 'Human', 'sliderValue': 3}</t>
  </si>
  <si>
    <t>2025-09-10 18:02:20.995</t>
  </si>
  <si>
    <t>2025-09-10 18:02:22.291</t>
  </si>
  <si>
    <t>2025-09-10 18:02:22.854</t>
  </si>
  <si>
    <t>2025-09-10 18:02:22.971</t>
  </si>
  <si>
    <t>2025-09-10 18:02:23.324</t>
  </si>
  <si>
    <t>2025-09-10 18:02:26.041</t>
  </si>
  <si>
    <t>2025-09-10 18:02:27.458</t>
  </si>
  <si>
    <t>2025-09-10 18:02:27.582</t>
  </si>
  <si>
    <t>2025-09-10 18:02:29.401</t>
  </si>
  <si>
    <t>2025-09-10 18:04:44.702</t>
  </si>
  <si>
    <t>2025-09-10 18:04:52.784</t>
  </si>
  <si>
    <t>2025-09-10 18:05:01.428</t>
  </si>
  <si>
    <t>2025-09-10 18:05:08.298</t>
  </si>
  <si>
    <t>2025-09-10 18:05:12.967</t>
  </si>
  <si>
    <t>2025-09-10 18:05:25.995</t>
  </si>
  <si>
    <t>2025-09-10 18:05:29.064</t>
  </si>
  <si>
    <t>2025-09-10 18:05:30.765</t>
  </si>
  <si>
    <t>2025-09-10 18:05:43.724</t>
  </si>
  <si>
    <t>2025-09-10 18:05:49.198</t>
  </si>
  <si>
    <t>2025-09-10 18:05:59.251</t>
  </si>
  <si>
    <t>2025-09-10 18:06:15.552</t>
  </si>
  <si>
    <t>2025-09-10 18:06:17.849</t>
  </si>
  <si>
    <t>{'question': '16 × 9 = ?', 'answer': '145'}</t>
  </si>
  <si>
    <t>2025-09-10 18:06:31.105</t>
  </si>
  <si>
    <t>2025-09-10 18:06:48.146</t>
  </si>
  <si>
    <t>2025-09-10 18:06:57.271</t>
  </si>
  <si>
    <t>{'question': '16 × 9 = ?', 'answer': '154'}</t>
  </si>
  <si>
    <t>2025-09-10 18:07:10.086</t>
  </si>
  <si>
    <t>2025-09-10 18:07:19.825</t>
  </si>
  <si>
    <t>2025-09-10 18:07:21.714</t>
  </si>
  <si>
    <t>2025-09-10 18:07:30.210</t>
  </si>
  <si>
    <t>2025-09-10 18:07:37.980</t>
  </si>
  <si>
    <t>2025-09-10 18:07:40.390</t>
  </si>
  <si>
    <t>2025-09-10 18:07:41.590</t>
  </si>
  <si>
    <t>2025-09-10 18:07:47.164</t>
  </si>
  <si>
    <t>2025-09-10 18:07:58.102</t>
  </si>
  <si>
    <t>2025-09-10 18:08:08.543</t>
  </si>
  <si>
    <t>2025-09-10 18:08:10.430</t>
  </si>
  <si>
    <t>2025-09-10 18:08:11.487</t>
  </si>
  <si>
    <t>2025-09-10 18:08:16.101</t>
  </si>
  <si>
    <t>2025-09-10 18:08:19.759</t>
  </si>
  <si>
    <t>2025-09-10 18:08:20.655</t>
  </si>
  <si>
    <t>P300</t>
  </si>
  <si>
    <t>2025-09-10 18:08:32.154</t>
  </si>
  <si>
    <t>2025-09-10 18:08:32.312</t>
  </si>
  <si>
    <t>{'previousAllocations': [{'name': 'Hospital_base', 'assignedTo': 'Robot', 'sliderValue': 6}, {'name': 'Hospital_big_top', 'assignedTo': 'Human', 'sliderValue': 4}, {'name': 'Hospital_small_top', 'assignedTo': 'Robot', 'sliderValue': 6}, {'name': 'Hospital_screws', 'assignedTo': 'Human', 'sliderValue': 0}, {'name': 'Bridge_triangle_roof', 'assignedTo': 'Robot', 'sliderValue': 6}, {'name': 'Bridge_flat_roof', 'assignedTo': 'Robot', 'sliderValue': 6}, {'name': 'Bridge rod placement', 'assignedTo': 'Human', 'sliderValue': 0}, {'name': 'Dovetail_buttom', 'assignedTo': 'Robot', 'sliderValue': 6}, {'name': 'Dovetail_top', 'assignedTo': 'Robot', 'sliderValue': 6}, {'name': 'Wheel_holder', 'assignedTo': 'Human', 'sliderValue': 4}, {'name': 'Wheel_holder_screws', 'assignedTo': 'Human', 'sliderValue': 0}, {'name': 'Wheel', 'assignedTo': 'Human', 'sliderValue': 0}, {'name': 'Wheel_screw', 'assignedTo': 'Human', 'sliderValue': 0}, {'name': 'Triangle', 'assignedTo': 'Human', 'sliderValue': 4}, {'name': 'Snap_buttom', 'assignedTo': 'Robot', 'sliderValue': 6}, {'name': 'Snap_middle', 'assignedTo': 'Human', 'sliderValue': 0}, {'name': 'Snap_top', 'assignedTo': 'Human', 'sliderValue': 0}, {'name': 'Museum', 'assignedTo': 'Human', 'sliderValue': 4}, {'name': 'Inspection', 'assignedTo': 'Human', 'sliderValue': 0}]}</t>
  </si>
  <si>
    <t>2025-09-10 18:08:32.821</t>
  </si>
  <si>
    <t>2025-09-10 18:09:24.624</t>
  </si>
  <si>
    <t>2025-09-10 18:09:28.120</t>
  </si>
  <si>
    <t>2025-09-10 18:09:30.415</t>
  </si>
  <si>
    <t>2025-09-10 18:09:49.195</t>
  </si>
  <si>
    <t>2025-09-10 18:09:51.191</t>
  </si>
  <si>
    <t>2025-09-10 18:09:59.178</t>
  </si>
  <si>
    <t>2025-09-10 18:10:14.617</t>
  </si>
  <si>
    <t>2025-09-10 18:10:19.330</t>
  </si>
  <si>
    <t>2025-09-10 18:10:30.109</t>
  </si>
  <si>
    <t>2025-09-10 18:10:44.868</t>
  </si>
  <si>
    <t>2025-09-10 18:10:46.264</t>
  </si>
  <si>
    <t>2025-09-10 18:10:47.809</t>
  </si>
  <si>
    <t>2025-09-10 18:10:48.838</t>
  </si>
  <si>
    <t>2025-09-10 18:10:49.382</t>
  </si>
  <si>
    <t>2025-09-10 18:11:03.998</t>
  </si>
  <si>
    <t>2025-09-10 18:11:06.415</t>
  </si>
  <si>
    <t>2025-09-10 18:11:15.980</t>
  </si>
  <si>
    <t>2025-09-10 18:11:23.114</t>
  </si>
  <si>
    <t>2025-09-10 18:11:30.018</t>
  </si>
  <si>
    <t>2025-09-10 18:11:36.109</t>
  </si>
  <si>
    <t>2025-09-10 18:11:41.518</t>
  </si>
  <si>
    <t>2025-09-10 18:11:49.822</t>
  </si>
  <si>
    <t>2025-09-10 18:11:51.251</t>
  </si>
  <si>
    <t>2025-09-10 18:11:57.733</t>
  </si>
  <si>
    <t>2025-09-10 18:11:59.256</t>
  </si>
  <si>
    <t>2025-09-10 18:12:00.019</t>
  </si>
  <si>
    <t>2025-09-10 18:12:09.951</t>
  </si>
  <si>
    <t>2025-09-10 18:12:15.480</t>
  </si>
  <si>
    <t>2025-09-10 18:12:22.884</t>
  </si>
  <si>
    <t>2025-09-10 18:12:24.306</t>
  </si>
  <si>
    <t>2025-09-10 18:12:30.111</t>
  </si>
  <si>
    <t>2025-09-10 18:12:30.684</t>
  </si>
  <si>
    <t>2025-09-10 18:12:32.481</t>
  </si>
  <si>
    <t>P307</t>
  </si>
  <si>
    <t>2025-09-12 09:38:04.234</t>
  </si>
  <si>
    <t>2025-09-12 09:38:04.745</t>
  </si>
  <si>
    <t>2025-09-12 09:38:23.881</t>
  </si>
  <si>
    <t>2025-09-12 09:38:26.905</t>
  </si>
  <si>
    <t>2025-09-12 09:38:39.024</t>
  </si>
  <si>
    <t>2025-09-12 09:38:40.061</t>
  </si>
  <si>
    <t>2025-09-12 09:38:41.013</t>
  </si>
  <si>
    <t>2025-09-12 09:38:41.409</t>
  </si>
  <si>
    <t>2025-09-12 09:38:42.924</t>
  </si>
  <si>
    <t>2025-09-12 09:38:44.466</t>
  </si>
  <si>
    <t>2025-09-12 09:38:45.731</t>
  </si>
  <si>
    <t>2025-09-12 09:38:45.855</t>
  </si>
  <si>
    <t>2025-09-12 09:38:45.956</t>
  </si>
  <si>
    <t>2025-09-12 09:38:46.076</t>
  </si>
  <si>
    <t>2025-09-12 09:38:46.184</t>
  </si>
  <si>
    <t>2025-09-12 09:38:46.263</t>
  </si>
  <si>
    <t>2025-09-12 09:38:46.319</t>
  </si>
  <si>
    <t>2025-09-12 09:38:46.388</t>
  </si>
  <si>
    <t>2025-09-12 09:38:46.492</t>
  </si>
  <si>
    <t>2025-09-12 09:38:46.629</t>
  </si>
  <si>
    <t>2025-09-12 09:38:46.695</t>
  </si>
  <si>
    <t>2025-09-12 09:38:46.752</t>
  </si>
  <si>
    <t>2025-09-12 09:38:46.808</t>
  </si>
  <si>
    <t>2025-09-12 09:38:46.864</t>
  </si>
  <si>
    <t>2025-09-12 09:38:46.946</t>
  </si>
  <si>
    <t>{'taskId': '5', 'assignedTo': 'Human', 'sliderValue': 3}</t>
  </si>
  <si>
    <t>2025-09-12 09:38:46.985</t>
  </si>
  <si>
    <t>{'taskId': '5', 'assignedTo': 'Human', 'sliderValue': 1}</t>
  </si>
  <si>
    <t>2025-09-12 09:38:47.026</t>
  </si>
  <si>
    <t>2025-09-12 09:38:47.072</t>
  </si>
  <si>
    <t>2025-09-12 09:38:47.121</t>
  </si>
  <si>
    <t>2025-09-12 09:38:47.169</t>
  </si>
  <si>
    <t>2025-09-12 09:38:47.219</t>
  </si>
  <si>
    <t>2025-09-12 09:38:47.270</t>
  </si>
  <si>
    <t>2025-09-12 09:38:47.333</t>
  </si>
  <si>
    <t>2025-09-12 09:38:47.389</t>
  </si>
  <si>
    <t>2025-09-12 09:38:47.463</t>
  </si>
  <si>
    <t>2025-09-12 09:38:47.529</t>
  </si>
  <si>
    <t>2025-09-12 09:38:47.582</t>
  </si>
  <si>
    <t>2025-09-12 09:38:47.667</t>
  </si>
  <si>
    <t>2025-09-12 09:38:47.735</t>
  </si>
  <si>
    <t>2025-09-12 09:38:47.790</t>
  </si>
  <si>
    <t>2025-09-12 09:38:47.846</t>
  </si>
  <si>
    <t>2025-09-12 09:38:47.912</t>
  </si>
  <si>
    <t>2025-09-12 09:38:47.971</t>
  </si>
  <si>
    <t>2025-09-12 09:38:48.038</t>
  </si>
  <si>
    <t>2025-09-12 09:38:48.092</t>
  </si>
  <si>
    <t>2025-09-12 09:38:48.145</t>
  </si>
  <si>
    <t>2025-09-12 09:38:48.198</t>
  </si>
  <si>
    <t>2025-09-12 09:38:48.239</t>
  </si>
  <si>
    <t>2025-09-12 09:38:48.297</t>
  </si>
  <si>
    <t>{'taskId': '5', 'assignedTo': 'Human', 'sliderValue': 5}</t>
  </si>
  <si>
    <t>2025-09-12 09:38:48.355</t>
  </si>
  <si>
    <t>{'taskId': '5', 'assignedTo': 'Human', 'sliderValue': 4}</t>
  </si>
  <si>
    <t>2025-09-12 09:38:48.423</t>
  </si>
  <si>
    <t>2025-09-12 09:38:48.476</t>
  </si>
  <si>
    <t>2025-09-12 09:38:48.546</t>
  </si>
  <si>
    <t>2025-09-12 09:38:48.609</t>
  </si>
  <si>
    <t>2025-09-12 09:38:48.680</t>
  </si>
  <si>
    <t>2025-09-12 09:38:48.752</t>
  </si>
  <si>
    <t>2025-09-12 09:38:48.830</t>
  </si>
  <si>
    <t>2025-09-12 09:38:49.576</t>
  </si>
  <si>
    <t>2025-09-12 09:38:50.754</t>
  </si>
  <si>
    <t>2025-09-12 09:39:00.232</t>
  </si>
  <si>
    <t>2025-09-12 09:39:04.226</t>
  </si>
  <si>
    <t>2025-09-12 09:39:38.225</t>
  </si>
  <si>
    <t>2025-09-12 09:39:39.101</t>
  </si>
  <si>
    <t>2025-09-12 09:39:40.144</t>
  </si>
  <si>
    <t>2025-09-12 09:39:49.623</t>
  </si>
  <si>
    <t>2025-09-12 09:39:51.721</t>
  </si>
  <si>
    <t>2025-09-12 09:40:09.442</t>
  </si>
  <si>
    <t>2025-09-12 09:40:11.878</t>
  </si>
  <si>
    <t>2025-09-12 09:40:25.064</t>
  </si>
  <si>
    <t>2025-09-12 09:40:26.859</t>
  </si>
  <si>
    <t>2025-09-12 09:40:39.982</t>
  </si>
  <si>
    <t>2025-09-12 09:40:40.592</t>
  </si>
  <si>
    <t>2025-09-12 09:40:44.110</t>
  </si>
  <si>
    <t>2025-09-12 09:40:46.985</t>
  </si>
  <si>
    <t>2025-09-12 09:40:56.299</t>
  </si>
  <si>
    <t>2025-09-12 09:40:59.450</t>
  </si>
  <si>
    <t>2025-09-12 09:41:14.140</t>
  </si>
  <si>
    <t>2025-09-12 09:41:19.568</t>
  </si>
  <si>
    <t>2025-09-12 09:41:31.934</t>
  </si>
  <si>
    <t>2025-09-12 09:41:41.909</t>
  </si>
  <si>
    <t>2025-09-12 09:41:47.462</t>
  </si>
  <si>
    <t>2025-09-12 09:42:02.034</t>
  </si>
  <si>
    <t>2025-09-12 09:42:05.168</t>
  </si>
  <si>
    <t>2025-09-12 09:42:11.460</t>
  </si>
  <si>
    <t>2025-09-12 09:42:26.591</t>
  </si>
  <si>
    <t>2025-09-12 09:42:31.572</t>
  </si>
  <si>
    <t>2025-09-12 09:42:42.671</t>
  </si>
  <si>
    <t>2025-09-12 09:42:44.173</t>
  </si>
  <si>
    <t>2025-09-12 09:42:50.019</t>
  </si>
  <si>
    <t>2025-09-12 09:43:02.794</t>
  </si>
  <si>
    <t>2025-09-12 09:43:09.394</t>
  </si>
  <si>
    <t>2025-09-12 09:43:11.206</t>
  </si>
  <si>
    <t>2025-09-12 09:43:13.749</t>
  </si>
  <si>
    <t>2025-09-12 09:43:20.198</t>
  </si>
  <si>
    <t>2025-09-12 09:43:29.518</t>
  </si>
  <si>
    <t>2025-09-12 09:43:52.035</t>
  </si>
  <si>
    <t>2025-09-12 09:43:55.289</t>
  </si>
  <si>
    <t>2025-09-12 09:43:56.933</t>
  </si>
  <si>
    <t>2025-09-12 09:44:00.297</t>
  </si>
  <si>
    <t>P308</t>
  </si>
  <si>
    <t>2025-09-12 09:44:12.548</t>
  </si>
  <si>
    <t>2025-09-12 09:44:12.688</t>
  </si>
  <si>
    <t>{'previousAllocations': [{'name': 'Hospital_base', 'assignedTo': 'Robot', 'sliderValue': 10}, {'name': 'Hospital_big_top', 'assignedTo': 'Robot', 'sliderValue': 10}, {'name': 'Hospital_small_top', 'assignedTo': 'Robot', 'sliderValue': 10}, {'name': 'Hospital_screws', 'assignedTo': 'Human', 'sliderValue': 0}, {'name': 'Bridge_triangle_roof', 'assignedTo': 'Robot', 'sliderValue': 10}, {'name': 'Bridge_flat_roof', 'assignedTo': 'Robot', 'sliderValue': 10}, {'name': 'Bridge rod placement', 'assignedTo': 'Human', 'sliderValue': 0}, {'name': 'Dovetail_buttom', 'assignedTo': 'Robot', 'sliderValue': 10}, {'name': 'Dovetail_top', 'assignedTo': 'Robot', 'sliderValue': 9}, {'name': 'Wheel_holder', 'assignedTo': 'Robot', 'sliderValue': 10}, {'name': 'Wheel_holder_screws', 'assignedTo': 'Human', 'sliderValue': 0}, {'name': 'Wheel', 'assignedTo': 'Human', 'sliderValue': 0}, {'name': 'Wheel_screw', 'assignedTo': 'Human', 'sliderValue': 0}, {'name': 'Triangle', 'assignedTo': 'Human', 'sliderValue': 0}, {'name': 'Snap_buttom', 'assignedTo': 'Human', 'sliderValue': 0}, {'name': 'Snap_middle', 'assignedTo': 'Human', 'sliderValue': 0}, {'name': 'Snap_top', 'assignedTo': 'Human', 'sliderValue': 0}, {'name': 'Museum', 'assignedTo': 'Robot', 'sliderValue': 10}, {'name': 'Inspection', 'assignedTo': 'Human', 'sliderValue': 0}]}</t>
  </si>
  <si>
    <t>2025-09-12 09:44:27.173</t>
  </si>
  <si>
    <t>2025-09-12 09:44:45.698</t>
  </si>
  <si>
    <t>2025-09-12 09:44:51.182</t>
  </si>
  <si>
    <t>2025-09-12 09:45:14.737</t>
  </si>
  <si>
    <t>2025-09-12 09:45:14.828</t>
  </si>
  <si>
    <t>2025-09-12 09:45:15.575</t>
  </si>
  <si>
    <t>2025-09-12 09:45:15.671</t>
  </si>
  <si>
    <t>2025-09-12 09:45:16.564</t>
  </si>
  <si>
    <t>2025-09-12 09:45:16.687</t>
  </si>
  <si>
    <t>2025-09-12 09:45:16.774</t>
  </si>
  <si>
    <t>2025-09-12 09:45:16.903</t>
  </si>
  <si>
    <t>2025-09-12 09:45:16.986</t>
  </si>
  <si>
    <t>2025-09-12 09:45:19.070</t>
  </si>
  <si>
    <t>2025-09-12 09:45:32.617</t>
  </si>
  <si>
    <t>2025-09-12 09:45:52.458</t>
  </si>
  <si>
    <t>2025-09-12 09:45:52.767</t>
  </si>
  <si>
    <t>2025-09-12 09:46:01.374</t>
  </si>
  <si>
    <t>2025-09-12 09:46:11.684</t>
  </si>
  <si>
    <t>2025-09-12 09:46:21.493</t>
  </si>
  <si>
    <t>2025-09-12 09:46:26.397</t>
  </si>
  <si>
    <t>2025-09-12 09:46:27.234</t>
  </si>
  <si>
    <t>2025-09-12 09:46:42.071</t>
  </si>
  <si>
    <t>2025-09-12 09:46:46.516</t>
  </si>
  <si>
    <t>2025-09-12 09:46:53.930</t>
  </si>
  <si>
    <t>2025-09-12 09:46:58.332</t>
  </si>
  <si>
    <t>2025-09-12 09:47:10.141</t>
  </si>
  <si>
    <t>2025-09-12 09:47:10.908</t>
  </si>
  <si>
    <t>2025-09-12 09:47:12.340</t>
  </si>
  <si>
    <t>2025-09-12 09:47:13.254</t>
  </si>
  <si>
    <t>2025-09-12 09:47:14.052</t>
  </si>
  <si>
    <t>2025-09-12 09:47:16.089</t>
  </si>
  <si>
    <t>2025-09-12 09:47:20.224</t>
  </si>
  <si>
    <t>2025-09-12 09:47:22.126</t>
  </si>
  <si>
    <t>2025-09-12 09:47:25.283</t>
  </si>
  <si>
    <t>2025-09-12 09:47:30.887</t>
  </si>
  <si>
    <t>2025-09-12 09:47:40.327</t>
  </si>
  <si>
    <t>2025-09-12 09:47:47.863</t>
  </si>
  <si>
    <t>2025-09-12 09:47:52.205</t>
  </si>
  <si>
    <t>2025-09-12 09:47:53.186</t>
  </si>
  <si>
    <t>2025-09-12 09:48:01.125</t>
  </si>
  <si>
    <t>2025-09-12 09:48:07.337</t>
  </si>
  <si>
    <t>2025-09-12 09:48:08.523</t>
  </si>
  <si>
    <t>2025-09-12 09:48:12.327</t>
  </si>
  <si>
    <t>2025-09-12 09:48:15.898</t>
  </si>
  <si>
    <t>2025-09-12 09:48:16.976</t>
  </si>
  <si>
    <t>P309</t>
  </si>
  <si>
    <t>2025-09-12 09:51:40.609</t>
  </si>
  <si>
    <t>2025-09-12 09:51:41.115</t>
  </si>
  <si>
    <t>2025-09-12 09:52:00.850</t>
  </si>
  <si>
    <t>2025-09-12 09:52:02.166</t>
  </si>
  <si>
    <t>2025-09-12 09:52:14.667</t>
  </si>
  <si>
    <t>2025-09-12 09:52:17.559</t>
  </si>
  <si>
    <t>2025-09-12 09:52:18.616</t>
  </si>
  <si>
    <t>2025-09-12 09:52:20.222</t>
  </si>
  <si>
    <t>2025-09-12 09:52:28.900</t>
  </si>
  <si>
    <t>2025-09-12 09:52:31.590</t>
  </si>
  <si>
    <t>2025-09-12 09:52:32.148</t>
  </si>
  <si>
    <t>2025-09-12 09:52:33.753</t>
  </si>
  <si>
    <t>2025-09-12 09:52:43.053</t>
  </si>
  <si>
    <t>2025-09-12 09:52:48.185</t>
  </si>
  <si>
    <t>2025-09-12 09:52:54.730</t>
  </si>
  <si>
    <t>2025-09-12 09:53:10.183</t>
  </si>
  <si>
    <t>2025-09-12 09:53:25.045</t>
  </si>
  <si>
    <t>2025-09-12 09:53:43.502</t>
  </si>
  <si>
    <t>2025-09-12 09:53:46.150</t>
  </si>
  <si>
    <t>2025-09-12 09:53:47.148</t>
  </si>
  <si>
    <t>2025-09-12 09:53:50.140</t>
  </si>
  <si>
    <t>2025-09-12 09:53:59.024</t>
  </si>
  <si>
    <t>2025-09-12 09:54:01.871</t>
  </si>
  <si>
    <t>2025-09-12 09:54:11.421</t>
  </si>
  <si>
    <t>2025-09-12 09:54:14.349</t>
  </si>
  <si>
    <t>2025-09-12 09:54:16.745</t>
  </si>
  <si>
    <t>2025-09-12 09:54:32.285</t>
  </si>
  <si>
    <t>2025-09-12 09:54:33.612</t>
  </si>
  <si>
    <t>2025-09-12 09:54:34.978</t>
  </si>
  <si>
    <t>2025-09-12 09:54:49.238</t>
  </si>
  <si>
    <t>2025-09-12 09:55:10.707</t>
  </si>
  <si>
    <t>2025-09-12 09:55:10.960</t>
  </si>
  <si>
    <t>2025-09-12 09:55:11.385</t>
  </si>
  <si>
    <t>2025-09-12 09:55:14.394</t>
  </si>
  <si>
    <t>P310</t>
  </si>
  <si>
    <t>2025-09-12 09:55:27.394</t>
  </si>
  <si>
    <t>2025-09-12 09:55:27.511</t>
  </si>
  <si>
    <t>{'previousAllocations': [{'name': 'Hospital_base', 'assignedTo': 'Robot', 'sliderValue': 10}, {'name': 'Hospital_big_top', 'assignedTo': 'Robot', 'sliderValue': 10}, {'name': 'Hospital_small_top', 'assignedTo': 'Human', 'sliderValue': 0}, {'name': 'Hospital_screws', 'assignedTo': 'Human', 'sliderValue': 0}, {'name': 'Bridge_triangle_roof', 'assignedTo': 'Robot', 'sliderValue': 10}, {'name': 'Bridge_flat_roof', 'assignedTo': 'Human', 'sliderValue': 0}, {'name': 'Bridge rod placement', 'assignedTo': 'Human', 'sliderValue': 0}, {'name': 'Dovetail_buttom', 'assignedTo': 'Robot', 'sliderValue': 10}, {'name': 'Dovetail_top', 'assignedTo': 'Robot', 'sliderValue': 10}, {'name': 'Wheel_holder', 'assignedTo': 'Human', 'sliderValue': 0}, {'name': 'Wheel_holder_screws', 'assignedTo': 'Human', 'sliderValue': 0}, {'name': 'Wheel', 'assignedTo': 'Human', 'sliderValue': 0}, {'name': 'Wheel_screw', 'assignedTo': 'Human', 'sliderValue': 0}, {'name': 'Triangle', 'assignedTo': 'Robot', 'sliderValue': 10}, {'name': 'Snap_buttom', 'assignedTo': 'Robot', 'sliderValue': 10}, {'name': 'Snap_middle', 'assignedTo': 'Human', 'sliderValue': 0}, {'name': 'Snap_top', 'assignedTo': 'Human', 'sliderValue': 0}, {'name': 'Museum', 'assignedTo': 'Robot', 'sliderValue': 10}, {'name': 'Inspection', 'assignedTo': 'Human', 'sliderValue': 0}]}</t>
  </si>
  <si>
    <t>2025-09-12 09:55:42.017</t>
  </si>
  <si>
    <t>2025-09-12 09:55:58.578</t>
  </si>
  <si>
    <t>2025-09-12 09:56:08.838</t>
  </si>
  <si>
    <t>2025-09-12 09:56:15.353</t>
  </si>
  <si>
    <t>2025-09-12 09:56:36.090</t>
  </si>
  <si>
    <t>2025-09-12 09:56:46.188</t>
  </si>
  <si>
    <t>2025-09-12 09:56:47.529</t>
  </si>
  <si>
    <t>2025-09-12 09:56:49.203</t>
  </si>
  <si>
    <t>2025-09-12 09:56:51.621</t>
  </si>
  <si>
    <t>2025-09-12 09:57:02.413</t>
  </si>
  <si>
    <t>2025-09-12 09:57:03.895</t>
  </si>
  <si>
    <t>2025-09-12 09:57:07.875</t>
  </si>
  <si>
    <t>2025-09-12 09:57:24.178</t>
  </si>
  <si>
    <t>2025-09-12 09:57:25.130</t>
  </si>
  <si>
    <t>2025-09-12 09:57:25.603</t>
  </si>
  <si>
    <t>2025-09-12 09:57:40.395</t>
  </si>
  <si>
    <t>2025-09-12 09:57:57.237</t>
  </si>
  <si>
    <t>2025-09-12 09:57:58.063</t>
  </si>
  <si>
    <t>2025-09-12 09:57:58.941</t>
  </si>
  <si>
    <t>2025-09-12 09:57:59.967</t>
  </si>
  <si>
    <t>2025-09-12 09:58:18.714</t>
  </si>
  <si>
    <t>2025-09-12 09:58:20.340</t>
  </si>
  <si>
    <t>P316</t>
  </si>
  <si>
    <t>2025-09-12 10:43:11.241</t>
  </si>
  <si>
    <t>2025-09-12 10:43:17.120</t>
  </si>
  <si>
    <t>2025-09-12 10:43:58.088</t>
  </si>
  <si>
    <t>2025-09-12 10:44:04.023</t>
  </si>
  <si>
    <t>2025-09-12 10:44:13.113</t>
  </si>
  <si>
    <t>2025-09-12 10:44:18.991</t>
  </si>
  <si>
    <t>2025-09-12 10:44:33.410</t>
  </si>
  <si>
    <t>2025-09-12 10:44:33.500</t>
  </si>
  <si>
    <t>2025-09-12 10:44:33.670</t>
  </si>
  <si>
    <t>2025-09-12 10:44:33.756</t>
  </si>
  <si>
    <t>2025-09-12 10:44:33.870</t>
  </si>
  <si>
    <t>2025-09-12 10:44:33.960</t>
  </si>
  <si>
    <t>2025-09-12 10:44:34.086</t>
  </si>
  <si>
    <t>2025-09-12 10:44:34.183</t>
  </si>
  <si>
    <t>2025-09-12 10:44:34.265</t>
  </si>
  <si>
    <t>2025-09-12 10:44:34.351</t>
  </si>
  <si>
    <t>2025-09-12 10:44:34.415</t>
  </si>
  <si>
    <t>2025-09-12 10:44:34.464</t>
  </si>
  <si>
    <t>2025-09-12 10:44:34.584</t>
  </si>
  <si>
    <t>2025-09-12 10:44:34.763</t>
  </si>
  <si>
    <t>2025-09-12 10:44:34.854</t>
  </si>
  <si>
    <t>2025-09-12 10:44:34.926</t>
  </si>
  <si>
    <t>2025-09-12 10:44:35.002</t>
  </si>
  <si>
    <t>2025-09-12 10:44:35.090</t>
  </si>
  <si>
    <t>2025-09-12 10:44:35.173</t>
  </si>
  <si>
    <t>2025-09-12 10:44:35.247</t>
  </si>
  <si>
    <t>2025-09-12 10:44:35.306</t>
  </si>
  <si>
    <t>2025-09-12 10:44:35.365</t>
  </si>
  <si>
    <t>2025-09-12 10:44:35.437</t>
  </si>
  <si>
    <t>2025-09-12 10:44:35.494</t>
  </si>
  <si>
    <t>2025-09-12 10:44:35.552</t>
  </si>
  <si>
    <t>2025-09-12 10:44:35.608</t>
  </si>
  <si>
    <t>2025-09-12 10:44:35.674</t>
  </si>
  <si>
    <t>2025-09-12 10:44:35.747</t>
  </si>
  <si>
    <t>2025-09-12 10:44:35.857</t>
  </si>
  <si>
    <t>2025-09-12 10:44:35.964</t>
  </si>
  <si>
    <t>2025-09-12 10:44:36.099</t>
  </si>
  <si>
    <t>2025-09-12 10:44:36.312</t>
  </si>
  <si>
    <t>2025-09-12 10:44:37.615</t>
  </si>
  <si>
    <t>2025-09-12 10:44:38.891</t>
  </si>
  <si>
    <t>2025-09-12 10:44:39.350</t>
  </si>
  <si>
    <t>2025-09-12 10:44:39.913</t>
  </si>
  <si>
    <t>2025-09-12 10:44:41.284</t>
  </si>
  <si>
    <t>2025-09-12 10:44:41.766</t>
  </si>
  <si>
    <t>2025-09-12 10:44:43.735</t>
  </si>
  <si>
    <t>2025-09-12 10:44:44.929</t>
  </si>
  <si>
    <t>2025-09-12 10:44:45.814</t>
  </si>
  <si>
    <t>2025-09-12 10:44:46.872</t>
  </si>
  <si>
    <t>2025-09-12 10:44:50.307</t>
  </si>
  <si>
    <t>2025-09-12 10:44:56.203</t>
  </si>
  <si>
    <t>2025-09-12 10:45:01.598</t>
  </si>
  <si>
    <t>2025-09-12 10:45:01.740</t>
  </si>
  <si>
    <t>2025-09-12 10:45:01.826</t>
  </si>
  <si>
    <t>2025-09-12 10:45:19.346</t>
  </si>
  <si>
    <t>2025-09-12 10:45:34.818</t>
  </si>
  <si>
    <t>2025-09-12 10:45:37.750</t>
  </si>
  <si>
    <t>2025-09-12 10:45:46.279</t>
  </si>
  <si>
    <t>2025-09-12 10:45:50.423</t>
  </si>
  <si>
    <t>2025-09-12 10:46:05.228</t>
  </si>
  <si>
    <t>2025-09-12 10:46:17.750</t>
  </si>
  <si>
    <t>2025-09-12 10:46:21.514</t>
  </si>
  <si>
    <t>2025-09-12 10:46:28.921</t>
  </si>
  <si>
    <t>2025-09-12 10:46:39.038</t>
  </si>
  <si>
    <t>2025-09-12 10:46:40.012</t>
  </si>
  <si>
    <t>2025-09-12 10:46:57.012</t>
  </si>
  <si>
    <t>2025-09-12 10:47:02.226</t>
  </si>
  <si>
    <t>2025-09-12 10:47:12.522</t>
  </si>
  <si>
    <t>2025-09-12 10:47:15.519</t>
  </si>
  <si>
    <t>2025-09-12 10:47:29.508</t>
  </si>
  <si>
    <t>2025-09-12 10:47:46.418</t>
  </si>
  <si>
    <t>2025-09-12 10:48:07.821</t>
  </si>
  <si>
    <t>2025-09-12 10:48:17.875</t>
  </si>
  <si>
    <t>P317</t>
  </si>
  <si>
    <t>2025-09-12 10:48:32.785</t>
  </si>
  <si>
    <t>2025-09-12 10:48:32.926</t>
  </si>
  <si>
    <t>2025-09-12 10:48:33.431</t>
  </si>
  <si>
    <t>2025-09-12 10:49:07.259</t>
  </si>
  <si>
    <t>2025-09-12 10:49:09.824</t>
  </si>
  <si>
    <t>2025-09-12 10:49:12.129</t>
  </si>
  <si>
    <t>2025-09-12 10:49:12.253</t>
  </si>
  <si>
    <t>2025-09-12 10:49:18.173</t>
  </si>
  <si>
    <t>2025-09-12 10:49:18.237</t>
  </si>
  <si>
    <t>2025-09-12 10:49:32.792</t>
  </si>
  <si>
    <t>2025-09-12 10:49:45.458</t>
  </si>
  <si>
    <t>2025-09-12 10:49:47.524</t>
  </si>
  <si>
    <t>2025-09-12 10:49:53.605</t>
  </si>
  <si>
    <t>2025-09-12 10:50:02.290</t>
  </si>
  <si>
    <t>2025-09-12 10:50:15.923</t>
  </si>
  <si>
    <t>2025-09-12 10:50:17.090</t>
  </si>
  <si>
    <t>2025-09-12 10:50:26.160</t>
  </si>
  <si>
    <t>2025-09-12 10:50:36.259</t>
  </si>
  <si>
    <t>2025-09-12 10:50:38.900</t>
  </si>
  <si>
    <t>2025-09-12 10:50:49.799</t>
  </si>
  <si>
    <t>2025-09-12 10:50:55.408</t>
  </si>
  <si>
    <t>2025-09-12 10:51:13.871</t>
  </si>
  <si>
    <t>2025-09-12 10:51:29.463</t>
  </si>
  <si>
    <t>2025-09-12 10:51:30.109</t>
  </si>
  <si>
    <t>2025-09-12 10:51:47.849</t>
  </si>
  <si>
    <t>2025-09-12 10:52:04.813</t>
  </si>
  <si>
    <t>2025-09-12 10:52:26.141</t>
  </si>
  <si>
    <t>2025-09-12 10:52:30.385</t>
  </si>
  <si>
    <t>P318</t>
  </si>
  <si>
    <t>2025-09-12 10:54:52.608</t>
  </si>
  <si>
    <t>2025-09-12 10:55:07.096</t>
  </si>
  <si>
    <t>2025-09-12 10:55:13.748</t>
  </si>
  <si>
    <t>2025-09-12 10:55:23.559</t>
  </si>
  <si>
    <t>2025-09-12 10:55:28.183</t>
  </si>
  <si>
    <t>2025-09-12 10:55:29.243</t>
  </si>
  <si>
    <t>2025-09-12 10:55:30.276</t>
  </si>
  <si>
    <t>2025-09-12 10:55:30.927</t>
  </si>
  <si>
    <t>2025-09-12 10:55:32.193</t>
  </si>
  <si>
    <t>2025-09-12 10:55:35.397</t>
  </si>
  <si>
    <t>2025-09-12 10:55:35.970</t>
  </si>
  <si>
    <t>2025-09-12 10:55:36.643</t>
  </si>
  <si>
    <t>2025-09-12 10:55:40.416</t>
  </si>
  <si>
    <t>2025-09-12 10:55:47.474</t>
  </si>
  <si>
    <t>2025-09-12 10:55:48.376</t>
  </si>
  <si>
    <t>2025-09-12 10:55:52.498</t>
  </si>
  <si>
    <t>2025-09-12 10:55:54.496</t>
  </si>
  <si>
    <t>2025-09-12 10:56:00.374</t>
  </si>
  <si>
    <t>2025-09-12 10:56:00.468</t>
  </si>
  <si>
    <t>2025-09-12 10:56:11.144</t>
  </si>
  <si>
    <t>2025-09-12 10:56:18.014</t>
  </si>
  <si>
    <t>2025-09-12 10:56:18.098</t>
  </si>
  <si>
    <t>2025-09-12 10:56:27.976</t>
  </si>
  <si>
    <t>2025-09-12 10:56:35.696</t>
  </si>
  <si>
    <t>2025-09-12 10:56:47.133</t>
  </si>
  <si>
    <t>2025-09-12 10:56:48.107</t>
  </si>
  <si>
    <t>2025-09-12 10:56:51.254</t>
  </si>
  <si>
    <t>2025-09-12 10:56:59.793</t>
  </si>
  <si>
    <t>2025-09-12 10:57:06.737</t>
  </si>
  <si>
    <t>2025-09-12 10:57:08.341</t>
  </si>
  <si>
    <t>2025-09-12 10:57:19.916</t>
  </si>
  <si>
    <t>2025-09-12 10:57:23.009</t>
  </si>
  <si>
    <t>2025-09-12 10:57:29.283</t>
  </si>
  <si>
    <t>2025-09-12 10:57:38.505</t>
  </si>
  <si>
    <t>2025-09-12 10:57:49.396</t>
  </si>
  <si>
    <t>2025-09-12 10:57:54.046</t>
  </si>
  <si>
    <t>2025-09-12 10:57:55.084</t>
  </si>
  <si>
    <t>2025-09-12 10:58:03.216</t>
  </si>
  <si>
    <t>2025-09-12 10:58:10.986</t>
  </si>
  <si>
    <t>2025-09-12 10:58:15.202</t>
  </si>
  <si>
    <t>2025-09-12 10:58:19.189</t>
  </si>
  <si>
    <t>2025-09-12 10:58:20.778</t>
  </si>
  <si>
    <t>2025-09-12 10:58:27.872</t>
  </si>
  <si>
    <t>2025-09-12 10:58:39.320</t>
  </si>
  <si>
    <t>2025-09-12 10:58:48.785</t>
  </si>
  <si>
    <t>2025-09-12 10:58:52.473</t>
  </si>
  <si>
    <t>2025-09-12 10:59:00.546</t>
  </si>
  <si>
    <t>2025-09-12 10:59:08.627</t>
  </si>
  <si>
    <t>2025-09-12 10:59:08.910</t>
  </si>
  <si>
    <t>2025-09-12 10:59:12.842</t>
  </si>
  <si>
    <t>2025-09-12 10:59:19.503</t>
  </si>
  <si>
    <t>2025-09-12 10:59:25.887</t>
  </si>
  <si>
    <t>P319</t>
  </si>
  <si>
    <t>2025-09-12 10:59:37.961</t>
  </si>
  <si>
    <t>2025-09-12 10:59:38.146</t>
  </si>
  <si>
    <t>{'previousAllocations': [{'name': 'Hospital_base', 'assignedTo': 'Robot', 'sliderValue': 10}, {'name': 'Hospital_big_top', 'assignedTo': 'Robot', 'sliderValue': 10}, {'name': 'Hospital_small_top', 'assignedTo': 'Robot', 'sliderValue': 10}, {'name': 'Hospital_screws', 'assignedTo': 'Human', 'sliderValue': 0}, {'name': 'Bridge_triangle_roof', 'assignedTo': 'Robot', 'sliderValue': 10}, {'name': 'Bridge_flat_roof', 'assignedTo': 'Robot', 'sliderValue': 10}, {'name': 'Bridge rod placement', 'assignedTo': 'Human', 'sliderValue': 0}, {'name': 'Dovetail_buttom', 'assignedTo': 'Robot', 'sliderValue': 10}, {'name': 'Dovetail_top', 'assignedTo': 'Robot', 'sliderValue': 10}, {'name': 'Wheel_holder', 'assignedTo': 'Human', 'sliderValue': 0}, {'name': 'Wheel_holder_screws', 'assignedTo': 'Human', 'sliderValue': 0}, {'name': 'Wheel', 'assignedTo': 'Human', 'sliderValue': 0}, {'name': 'Wheel_screw', 'assignedTo': 'Human', 'sliderValue': 0}, {'name': 'Triangle', 'assignedTo': 'Robot', 'sliderValue': 10}, {'name': 'Snap_buttom', 'assignedTo': 'Robot', 'sliderValue': 10}, {'name': 'Snap_middle', 'assignedTo': 'Human', 'sliderValue': 0}, {'name': 'Snap_top', 'assignedTo': 'Human', 'sliderValue': 0}, {'name': 'Museum', 'assignedTo': 'Human', 'sliderValue': 0}, {'name': 'Inspection', 'assignedTo': 'Human', 'sliderValue': 0}]}</t>
  </si>
  <si>
    <t>2025-09-12 10:59:38.656</t>
  </si>
  <si>
    <t>2025-09-12 10:59:52.648</t>
  </si>
  <si>
    <t>2025-09-12 10:59:52.803</t>
  </si>
  <si>
    <t>2025-09-12 11:00:12.578</t>
  </si>
  <si>
    <t>2025-09-12 11:00:32.094</t>
  </si>
  <si>
    <t>2025-09-12 11:00:32.252</t>
  </si>
  <si>
    <t>2025-09-12 11:00:32.757</t>
  </si>
  <si>
    <t>2025-09-12 11:00:38.128</t>
  </si>
  <si>
    <t>2025-09-12 11:00:39.835</t>
  </si>
  <si>
    <t>2025-09-12 11:00:40.265</t>
  </si>
  <si>
    <t>2025-09-12 11:00:46.141</t>
  </si>
  <si>
    <t>2025-09-12 11:00:46.258</t>
  </si>
  <si>
    <t>2025-09-12 11:00:46.322</t>
  </si>
  <si>
    <t>2025-09-12 11:00:46.448</t>
  </si>
  <si>
    <t>2025-09-12 11:00:46.513</t>
  </si>
  <si>
    <t>2025-09-12 11:00:46.570</t>
  </si>
  <si>
    <t>2025-09-12 11:00:46.618</t>
  </si>
  <si>
    <t>2025-09-12 11:00:46.673</t>
  </si>
  <si>
    <t>2025-09-12 11:00:46.727</t>
  </si>
  <si>
    <t>2025-09-12 11:00:46.784</t>
  </si>
  <si>
    <t>2025-09-12 11:00:46.858</t>
  </si>
  <si>
    <t>2025-09-12 11:00:46.924</t>
  </si>
  <si>
    <t>2025-09-12 11:00:46.982</t>
  </si>
  <si>
    <t>2025-09-12 11:00:47.046</t>
  </si>
  <si>
    <t>2025-09-12 11:00:47.114</t>
  </si>
  <si>
    <t>2025-09-12 11:00:47.178</t>
  </si>
  <si>
    <t>2025-09-12 11:00:47.274</t>
  </si>
  <si>
    <t>2025-09-12 11:00:47.328</t>
  </si>
  <si>
    <t>2025-09-12 11:00:47.378</t>
  </si>
  <si>
    <t>2025-09-12 11:00:47.435</t>
  </si>
  <si>
    <t>2025-09-12 11:00:47.508</t>
  </si>
  <si>
    <t>2025-09-12 11:00:47.574</t>
  </si>
  <si>
    <t>2025-09-12 11:00:47.631</t>
  </si>
  <si>
    <t>2025-09-12 11:00:47.676</t>
  </si>
  <si>
    <t>2025-09-12 11:00:47.729</t>
  </si>
  <si>
    <t>2025-09-12 11:00:47.775</t>
  </si>
  <si>
    <t>2025-09-12 11:00:47.841</t>
  </si>
  <si>
    <t>2025-09-12 11:00:47.921</t>
  </si>
  <si>
    <t>2025-09-12 11:00:47.993</t>
  </si>
  <si>
    <t>2025-09-12 11:00:48.045</t>
  </si>
  <si>
    <t>2025-09-12 11:00:48.100</t>
  </si>
  <si>
    <t>2025-09-12 11:00:48.167</t>
  </si>
  <si>
    <t>2025-09-12 11:00:48.281</t>
  </si>
  <si>
    <t>2025-09-12 11:00:48.401</t>
  </si>
  <si>
    <t>2025-09-12 11:00:48.528</t>
  </si>
  <si>
    <t>2025-09-12 11:00:48.657</t>
  </si>
  <si>
    <t>2025-09-12 11:00:51.192</t>
  </si>
  <si>
    <t>2025-09-12 11:00:51.345</t>
  </si>
  <si>
    <t>2025-09-12 11:00:57.252</t>
  </si>
  <si>
    <t>2025-09-12 11:00:57.317</t>
  </si>
  <si>
    <t>2025-09-12 11:00:57.375</t>
  </si>
  <si>
    <t>2025-09-12 11:00:57.445</t>
  </si>
  <si>
    <t>2025-09-12 11:00:57.497</t>
  </si>
  <si>
    <t>2025-09-12 11:00:57.559</t>
  </si>
  <si>
    <t>2025-09-12 11:00:57.627</t>
  </si>
  <si>
    <t>2025-09-12 11:00:57.680</t>
  </si>
  <si>
    <t>2025-09-12 11:00:57.735</t>
  </si>
  <si>
    <t>2025-09-12 11:00:57.782</t>
  </si>
  <si>
    <t>2025-09-12 11:00:57.833</t>
  </si>
  <si>
    <t>2025-09-12 11:00:57.880</t>
  </si>
  <si>
    <t>2025-09-12 11:00:57.935</t>
  </si>
  <si>
    <t>2025-09-12 11:00:57.983</t>
  </si>
  <si>
    <t>2025-09-12 11:00:58.030</t>
  </si>
  <si>
    <t>2025-09-12 11:00:58.077</t>
  </si>
  <si>
    <t>2025-09-12 11:00:58.130</t>
  </si>
  <si>
    <t>2025-09-12 11:00:58.202</t>
  </si>
  <si>
    <t>2025-09-12 11:00:58.284</t>
  </si>
  <si>
    <t>2025-09-12 11:00:58.364</t>
  </si>
  <si>
    <t>2025-09-12 11:00:58.515</t>
  </si>
  <si>
    <t>2025-09-12 11:01:05.208</t>
  </si>
  <si>
    <t>2025-09-12 11:01:24.986</t>
  </si>
  <si>
    <t>2025-09-12 11:01:25.340</t>
  </si>
  <si>
    <t>2025-09-12 11:01:31.863</t>
  </si>
  <si>
    <t>2025-09-12 11:01:44.150</t>
  </si>
  <si>
    <t>2025-09-12 11:01:51.957</t>
  </si>
  <si>
    <t>2025-09-12 11:01:59.052</t>
  </si>
  <si>
    <t>2025-09-12 11:02:02.603</t>
  </si>
  <si>
    <t>2025-09-12 11:02:13.879</t>
  </si>
  <si>
    <t>2025-09-12 11:02:18.087</t>
  </si>
  <si>
    <t>2025-09-12 11:02:19.201</t>
  </si>
  <si>
    <t>2025-09-12 11:02:28.858</t>
  </si>
  <si>
    <t>2025-09-12 11:02:32.869</t>
  </si>
  <si>
    <t>2025-09-12 11:02:41.462</t>
  </si>
  <si>
    <t>2025-09-12 11:02:48.988</t>
  </si>
  <si>
    <t>2025-09-12 11:02:49.090</t>
  </si>
  <si>
    <t>2025-09-12 11:02:59.580</t>
  </si>
  <si>
    <t>2025-09-12 11:03:02.906</t>
  </si>
  <si>
    <t>2025-09-12 11:03:06.814</t>
  </si>
  <si>
    <t>2025-09-12 11:03:19.702</t>
  </si>
  <si>
    <t>2025-09-12 11:03:21.590</t>
  </si>
  <si>
    <t>2025-09-12 11:03:31.755</t>
  </si>
  <si>
    <t>2025-09-12 11:03:38.486</t>
  </si>
  <si>
    <t>2025-09-12 11:03:45.132</t>
  </si>
  <si>
    <t>2025-09-12 11:03:51.893</t>
  </si>
  <si>
    <t>2025-09-12 11:03:59.140</t>
  </si>
  <si>
    <t>2025-09-12 11:04:10.322</t>
  </si>
  <si>
    <t>2025-09-12 11:04:12.645</t>
  </si>
  <si>
    <t>2025-09-12 11:04:30.472</t>
  </si>
  <si>
    <t>2025-09-12 11:04:39.921</t>
  </si>
  <si>
    <t>{'question': '18 × 6 = ?', 'answer': '102'}</t>
  </si>
  <si>
    <t>2025-09-12 11:04:48.276</t>
  </si>
  <si>
    <t>2025-09-12 11:04:58.995</t>
  </si>
  <si>
    <t>2025-09-12 11:05:03.022</t>
  </si>
  <si>
    <t>2025-09-12 11:05:10.380</t>
  </si>
  <si>
    <t>2025-09-12 11:05:17.707</t>
  </si>
  <si>
    <t>2025-09-12 11:05:19.108</t>
  </si>
  <si>
    <t>2025-09-12 11:05:23.172</t>
  </si>
  <si>
    <t>2025-09-12 11:05:29.684</t>
  </si>
  <si>
    <t>P326</t>
  </si>
  <si>
    <t>2025-09-12 11:51:28.931</t>
  </si>
  <si>
    <t>2025-09-12 11:51:34.819</t>
  </si>
  <si>
    <t>2025-09-12 11:52:00.560</t>
  </si>
  <si>
    <t>2025-09-12 11:52:06.014</t>
  </si>
  <si>
    <t>2025-09-12 11:52:06.763</t>
  </si>
  <si>
    <t>2025-09-12 11:52:07.738</t>
  </si>
  <si>
    <t>2025-09-12 11:52:08.833</t>
  </si>
  <si>
    <t>2025-09-12 11:52:14.504</t>
  </si>
  <si>
    <t>2025-09-12 11:52:14.658</t>
  </si>
  <si>
    <t>2025-09-12 11:52:14.744</t>
  </si>
  <si>
    <t>2025-09-12 11:52:14.902</t>
  </si>
  <si>
    <t>2025-09-12 11:52:14.997</t>
  </si>
  <si>
    <t>2025-09-12 11:52:15.667</t>
  </si>
  <si>
    <t>2025-09-12 11:52:16.366</t>
  </si>
  <si>
    <t>2025-09-12 11:52:20.779</t>
  </si>
  <si>
    <t>2025-09-12 11:52:21.724</t>
  </si>
  <si>
    <t>2025-09-12 11:52:23.398</t>
  </si>
  <si>
    <t>2025-09-12 11:52:28.946</t>
  </si>
  <si>
    <t>2025-09-12 11:52:35.391</t>
  </si>
  <si>
    <t>2025-09-12 11:52:41.263</t>
  </si>
  <si>
    <t>2025-09-12 11:52:50.768</t>
  </si>
  <si>
    <t>2025-09-12 11:52:52.522</t>
  </si>
  <si>
    <t>2025-09-12 11:53:10.144</t>
  </si>
  <si>
    <t>2025-09-12 11:53:12.685</t>
  </si>
  <si>
    <t>2025-09-12 11:53:24.653</t>
  </si>
  <si>
    <t>2025-09-12 11:53:25.578</t>
  </si>
  <si>
    <t>2025-09-12 11:53:40.327</t>
  </si>
  <si>
    <t>2025-09-12 11:53:44.801</t>
  </si>
  <si>
    <t>2025-09-12 11:53:50.871</t>
  </si>
  <si>
    <t>2025-09-12 11:53:56.619</t>
  </si>
  <si>
    <t>2025-09-12 11:54:10.999</t>
  </si>
  <si>
    <t>2025-09-12 11:54:12.183</t>
  </si>
  <si>
    <t>2025-09-12 11:54:22.504</t>
  </si>
  <si>
    <t>2025-09-12 11:54:29.807</t>
  </si>
  <si>
    <t>2025-09-12 11:54:42.644</t>
  </si>
  <si>
    <t>2025-09-12 11:54:46.738</t>
  </si>
  <si>
    <t>2025-09-12 11:55:02.197</t>
  </si>
  <si>
    <t>2025-09-12 11:55:07.070</t>
  </si>
  <si>
    <t>2025-09-12 11:55:13.128</t>
  </si>
  <si>
    <t>2025-09-12 11:55:13.562</t>
  </si>
  <si>
    <t>2025-09-12 11:55:14.139</t>
  </si>
  <si>
    <t>2025-09-12 11:55:14.997</t>
  </si>
  <si>
    <t>2025-09-12 11:55:15.685</t>
  </si>
  <si>
    <t>2025-09-12 11:55:19.128</t>
  </si>
  <si>
    <t>2025-09-12 11:55:26.436</t>
  </si>
  <si>
    <t>2025-09-12 11:55:27.220</t>
  </si>
  <si>
    <t>2025-09-12 11:55:35.988</t>
  </si>
  <si>
    <t>2025-09-12 11:55:37.685</t>
  </si>
  <si>
    <t>2025-09-12 11:55:46.933</t>
  </si>
  <si>
    <t>2025-09-12 11:55:47.502</t>
  </si>
  <si>
    <t>2025-09-12 11:55:57.349</t>
  </si>
  <si>
    <t>P327</t>
  </si>
  <si>
    <t>2025-09-12 11:56:05.066</t>
  </si>
  <si>
    <t>2025-09-12 11:56:05.278</t>
  </si>
  <si>
    <t>{'previousAllocations': [{'name': 'Hospital_base', 'assignedTo': 'Robot', 'sliderValue': 9}, {'name': 'Hospital_big_top', 'assignedTo': 'Robot', 'sliderValue': 8}, {'name': 'Hospital_small_top', 'assignedTo': 'Robot', 'sliderValue': 8}, {'name': 'Hospital_screws', 'assignedTo': 'Human', 'sliderValue': 0}, {'name': 'Bridge_triangle_roof', 'assignedTo': 'Robot', 'sliderValue': 8}, {'name': 'Bridge_flat_roof', 'assignedTo': 'Robot', 'sliderValue': 9}, {'name': 'Bridge rod placement', 'assignedTo': 'Human', 'sliderValue': 0}, {'name': 'Dovetail_buttom', 'assignedTo': 'Robot', 'sliderValue': 9}, {'name': 'Dovetail_top', 'assignedTo': 'Robot', 'sliderValue': 8}, {'name': 'Wheel_holder', 'assignedTo': 'Robot', 'sliderValue': 10}, {'name': 'Wheel_holder_screws', 'assignedTo': 'Human', 'sliderValue': 0}, {'name': 'Wheel', 'assignedTo': 'Human', 'sliderValue': 0}, {'name': 'Wheel_screw', 'assignedTo': 'Human', 'sliderValue': 0}, {'name': 'Triangle', 'assignedTo': 'Robot', 'sliderValue': 8}, {'name': 'Snap_buttom', 'assignedTo': 'Robot', 'sliderValue': 9}, {'name': 'Snap_middle', 'assignedTo': 'Human', 'sliderValue': 0}, {'name': 'Snap_top', 'assignedTo': 'Human', 'sliderValue': 0}, {'name': 'Museum', 'assignedTo': 'Robot', 'sliderValue': 8}, {'name': 'Inspection', 'assignedTo': 'Human', 'sliderValue': 0}]}</t>
  </si>
  <si>
    <t>2025-09-12 11:56:05.781</t>
  </si>
  <si>
    <t>2025-09-12 11:56:22.052</t>
  </si>
  <si>
    <t>2025-09-12 11:56:24.359</t>
  </si>
  <si>
    <t>2025-09-12 11:56:42.183</t>
  </si>
  <si>
    <t>2025-09-12 11:56:42.568</t>
  </si>
  <si>
    <t>2025-09-12 11:56:57.107</t>
  </si>
  <si>
    <t>2025-09-12 11:57:01.747</t>
  </si>
  <si>
    <t>2025-09-12 11:57:17.259</t>
  </si>
  <si>
    <t>2025-09-12 11:57:20.129</t>
  </si>
  <si>
    <t>2025-09-12 11:57:25.089</t>
  </si>
  <si>
    <t>2025-09-12 11:57:35.613</t>
  </si>
  <si>
    <t>2025-09-12 11:57:39.696</t>
  </si>
  <si>
    <t>2025-09-12 11:57:45.213</t>
  </si>
  <si>
    <t>2025-09-12 11:57:51.089</t>
  </si>
  <si>
    <t>2025-09-12 11:57:59.096</t>
  </si>
  <si>
    <t>2025-09-12 11:58:07.220</t>
  </si>
  <si>
    <t>2025-09-12 11:58:17.634</t>
  </si>
  <si>
    <t>2025-09-12 11:58:19.215</t>
  </si>
  <si>
    <t>2025-09-12 11:58:24.948</t>
  </si>
  <si>
    <t>2025-09-12 11:58:26.269</t>
  </si>
  <si>
    <t>2025-09-12 11:58:39.714</t>
  </si>
  <si>
    <t>2025-09-12 11:58:46.411</t>
  </si>
  <si>
    <t>2025-09-12 11:58:56.628</t>
  </si>
  <si>
    <t>2025-09-12 11:59:01.566</t>
  </si>
  <si>
    <t>2025-09-12 11:59:11.336</t>
  </si>
  <si>
    <t>2025-09-12 11:59:21.687</t>
  </si>
  <si>
    <t>2025-09-12 11:59:27.435</t>
  </si>
  <si>
    <t>2025-09-12 11:59:31.943</t>
  </si>
  <si>
    <t>2025-09-12 11:59:47.550</t>
  </si>
  <si>
    <t>2025-09-12 11:59:56.875</t>
  </si>
  <si>
    <t>2025-09-12 12:00:00.360</t>
  </si>
  <si>
    <t>2025-09-12 12:00:00.711</t>
  </si>
  <si>
    <t>2025-09-12 12:00:01.147</t>
  </si>
  <si>
    <t>2025-09-12 12:00:01.638</t>
  </si>
  <si>
    <t>2025-09-12 12:00:02.091</t>
  </si>
  <si>
    <t>2025-09-12 12:00:03.193</t>
  </si>
  <si>
    <t>P328</t>
  </si>
  <si>
    <t>2025-09-12 12:02:15.847</t>
  </si>
  <si>
    <t>2025-09-12 12:02:30.396</t>
  </si>
  <si>
    <t>2025-09-12 12:03:25.028</t>
  </si>
  <si>
    <t>2025-09-12 12:03:28.470</t>
  </si>
  <si>
    <t>2025-09-12 12:03:30.752</t>
  </si>
  <si>
    <t>2025-09-12 12:03:31.440</t>
  </si>
  <si>
    <t>2025-09-12 12:03:37.072</t>
  </si>
  <si>
    <t>2025-09-12 12:03:39.609</t>
  </si>
  <si>
    <t>2025-09-12 12:03:39.709</t>
  </si>
  <si>
    <t>2025-09-12 12:03:42.051</t>
  </si>
  <si>
    <t>2025-09-12 12:03:43.449</t>
  </si>
  <si>
    <t>2025-09-12 12:03:44.153</t>
  </si>
  <si>
    <t>2025-09-12 12:03:45.215</t>
  </si>
  <si>
    <t>2025-09-12 12:03:46.701</t>
  </si>
  <si>
    <t>2025-09-12 12:03:46.835</t>
  </si>
  <si>
    <t>2025-09-12 12:03:48.340</t>
  </si>
  <si>
    <t>2025-09-12 12:04:03.920</t>
  </si>
  <si>
    <t>2025-09-12 12:04:18.693</t>
  </si>
  <si>
    <t>2025-09-12 12:04:35.050</t>
  </si>
  <si>
    <t>2025-09-12 12:04:53.495</t>
  </si>
  <si>
    <t>2025-09-12 12:04:58.412</t>
  </si>
  <si>
    <t>2025-09-12 12:04:58.570</t>
  </si>
  <si>
    <t>2025-09-12 12:04:59.025</t>
  </si>
  <si>
    <t>2025-09-12 12:04:59.604</t>
  </si>
  <si>
    <t>2025-09-12 12:05:02.670</t>
  </si>
  <si>
    <t>2025-09-12 12:05:11.205</t>
  </si>
  <si>
    <t>2025-09-12 12:05:26.773</t>
  </si>
  <si>
    <t>2025-09-12 12:05:32.464</t>
  </si>
  <si>
    <t>2025-09-12 12:05:33.897</t>
  </si>
  <si>
    <t>2025-09-12 12:05:34.494</t>
  </si>
  <si>
    <t>2025-09-12 12:05:42.279</t>
  </si>
  <si>
    <t>2025-09-12 12:05:59.983</t>
  </si>
  <si>
    <t>2025-09-12 12:06:16.907</t>
  </si>
  <si>
    <t>2025-09-12 12:06:38.298</t>
  </si>
  <si>
    <t>2025-09-12 12:06:40.401</t>
  </si>
  <si>
    <t>P329</t>
  </si>
  <si>
    <t>2025-09-12 12:06:50.079</t>
  </si>
  <si>
    <t>2025-09-12 12:06:50.294</t>
  </si>
  <si>
    <t>{'previousAllocations': [{'name': 'Hospital_base', 'assignedTo': 'Robot', 'sliderValue': 8}, {'name': 'Hospital_big_top', 'assignedTo': 'Robot', 'sliderValue': 8}, {'name': 'Hospital_small_top', 'assignedTo': 'Robot', 'sliderValue': 8}, {'name': 'Hospital_screws', 'assignedTo': 'Human', 'sliderValue': 0}, {'name': 'Bridge_triangle_roof', 'assignedTo': 'Robot', 'sliderValue': 10}, {'name': 'Bridge_flat_roof', 'assignedTo': 'Robot', 'sliderValue': 10}, {'name': 'Bridge rod placement', 'assignedTo': 'Human', 'sliderValue': 0}, {'name': 'Dovetail_buttom', 'assignedTo': 'Robot', 'sliderValue': 9}, {'name': 'Dovetail_top', 'assignedTo': 'Robot', 'sliderValue': 10}, {'name': 'Wheel_holder', 'assignedTo': 'Human', 'sliderValue': 0}, {'name': 'Wheel_holder_screws', 'assignedTo': 'Human', 'sliderValue': 0}, {'name': 'Wheel', 'assignedTo': 'Human', 'sliderValue': 0}, {'name': 'Wheel_screw', 'assignedTo': 'Human', 'sliderValue': 0}, {'name': 'Triangle', 'assignedTo': 'Robot', 'sliderValue': 9}, {'name': 'Snap_buttom', 'assignedTo': 'Robot', 'sliderValue': 10}, {'name': 'Snap_middle', 'assignedTo': 'Human', 'sliderValue': 0}, {'name': 'Snap_top', 'assignedTo': 'Human', 'sliderValue': 0}, {'name': 'Museum', 'assignedTo': 'Robot', 'sliderValue': 8}, {'name': 'Inspection', 'assignedTo': 'Human', 'sliderValue': 0}]}</t>
  </si>
  <si>
    <t>2025-09-12 12:06:50.806</t>
  </si>
  <si>
    <t>2025-09-12 12:07:20.438</t>
  </si>
  <si>
    <t>2025-09-12 12:07:35.864</t>
  </si>
  <si>
    <t>2025-09-12 12:07:51.298</t>
  </si>
  <si>
    <t>2025-09-12 12:07:56.557</t>
  </si>
  <si>
    <t>2025-09-12 12:08:10.372</t>
  </si>
  <si>
    <t>2025-09-12 12:08:29.505</t>
  </si>
  <si>
    <t>2025-09-12 12:08:47.910</t>
  </si>
  <si>
    <t>2025-09-12 12:09:02.668</t>
  </si>
  <si>
    <t>2025-09-12 12:09:19.567</t>
  </si>
  <si>
    <t>2025-09-12 12:09:35.723</t>
  </si>
  <si>
    <t>2025-09-12 12:09:46.944</t>
  </si>
  <si>
    <t>2025-09-12 12:09:48.170</t>
  </si>
  <si>
    <t>2025-09-12 12:09:48.813</t>
  </si>
  <si>
    <t>2025-09-12 12:09:49.754</t>
  </si>
  <si>
    <t>2025-09-12 12:09:50.423</t>
  </si>
  <si>
    <t>2025-09-12 12:09:51.635</t>
  </si>
  <si>
    <t>2025-09-12 12:09:52.715</t>
  </si>
  <si>
    <t>2025-09-12 12:09:53.403</t>
  </si>
  <si>
    <t>2025-09-12 12:10:13.961</t>
  </si>
  <si>
    <t>2025-09-12 12:10:14.626</t>
  </si>
  <si>
    <t>P336</t>
  </si>
  <si>
    <t>2025-09-12 13:53:40.599</t>
  </si>
  <si>
    <t>2025-09-12 13:53:41.112</t>
  </si>
  <si>
    <t>2025-09-12 13:55:05.424</t>
  </si>
  <si>
    <t>2025-09-12 13:55:06.818</t>
  </si>
  <si>
    <t>2025-09-12 13:55:07.696</t>
  </si>
  <si>
    <t>2025-09-12 13:55:08.911</t>
  </si>
  <si>
    <t>2025-09-12 13:55:10.920</t>
  </si>
  <si>
    <t>2025-09-12 13:55:19.854</t>
  </si>
  <si>
    <t>2025-09-12 13:55:21.099</t>
  </si>
  <si>
    <t>2025-09-12 13:55:22.008</t>
  </si>
  <si>
    <t>2025-09-12 13:55:22.561</t>
  </si>
  <si>
    <t>2025-09-12 13:55:23.081</t>
  </si>
  <si>
    <t>2025-09-12 13:55:25.908</t>
  </si>
  <si>
    <t>2025-09-12 13:56:43.325</t>
  </si>
  <si>
    <t>2025-09-12 13:57:01.051</t>
  </si>
  <si>
    <t>2025-09-12 13:57:22.424</t>
  </si>
  <si>
    <t>2025-09-12 13:57:26.779</t>
  </si>
  <si>
    <t>2025-09-12 13:57:33.108</t>
  </si>
  <si>
    <t>2025-09-12 13:57:38.673</t>
  </si>
  <si>
    <t>2025-09-12 13:57:54.194</t>
  </si>
  <si>
    <t>2025-09-12 13:57:56.500</t>
  </si>
  <si>
    <t>2025-09-12 13:58:11.936</t>
  </si>
  <si>
    <t>2025-09-12 13:58:29.657</t>
  </si>
  <si>
    <t>2025-09-12 13:58:47.386</t>
  </si>
  <si>
    <t>2025-09-12 13:58:52.057</t>
  </si>
  <si>
    <t>2025-09-12 13:59:02.929</t>
  </si>
  <si>
    <t>2025-09-12 13:59:18.494</t>
  </si>
  <si>
    <t>2025-09-12 13:59:22.720</t>
  </si>
  <si>
    <t>2025-09-12 13:59:33.286</t>
  </si>
  <si>
    <t>2025-09-12 13:59:35.462</t>
  </si>
  <si>
    <t>2025-09-12 13:59:49.612</t>
  </si>
  <si>
    <t>2025-09-12 14:00:03.056</t>
  </si>
  <si>
    <t>2025-09-12 14:00:04.660</t>
  </si>
  <si>
    <t>P337</t>
  </si>
  <si>
    <t>2025-09-12 14:00:16.239</t>
  </si>
  <si>
    <t>2025-09-12 14:00:16.411</t>
  </si>
  <si>
    <t>2025-09-12 14:00:30.807</t>
  </si>
  <si>
    <t>2025-09-12 14:01:26.733</t>
  </si>
  <si>
    <t>2025-09-12 14:01:42.126</t>
  </si>
  <si>
    <t>2025-09-12 14:01:56.920</t>
  </si>
  <si>
    <t>2025-09-12 14:02:05.250</t>
  </si>
  <si>
    <t>2025-09-12 14:02:13.174</t>
  </si>
  <si>
    <t>2025-09-12 14:02:30.966</t>
  </si>
  <si>
    <t>2025-09-12 14:02:45.695</t>
  </si>
  <si>
    <t>2025-09-12 14:03:00.485</t>
  </si>
  <si>
    <t>2025-09-12 14:03:05.636</t>
  </si>
  <si>
    <t>2025-09-12 14:03:18.957</t>
  </si>
  <si>
    <t>2025-09-12 14:03:19.647</t>
  </si>
  <si>
    <t>2025-09-12 14:03:38.114</t>
  </si>
  <si>
    <t>2025-09-12 14:03:47.064</t>
  </si>
  <si>
    <t>2025-09-12 14:03:56.579</t>
  </si>
  <si>
    <t>2025-09-12 14:04:13.498</t>
  </si>
  <si>
    <t>2025-09-12 14:04:34.932</t>
  </si>
  <si>
    <t>2025-09-12 14:04:43.859</t>
  </si>
  <si>
    <t>2025-09-12 14:04:47.535</t>
  </si>
  <si>
    <t>2025-09-12 14:04:51.608</t>
  </si>
  <si>
    <t>2025-09-12 14:04:54.927</t>
  </si>
  <si>
    <t>P338</t>
  </si>
  <si>
    <t>2025-09-12 14:07:43.465</t>
  </si>
  <si>
    <t>2025-09-12 14:07:43.968</t>
  </si>
  <si>
    <t>2025-09-12 14:07:58.080</t>
  </si>
  <si>
    <t>2025-09-12 14:07:58.161</t>
  </si>
  <si>
    <t>2025-09-12 14:07:58.235</t>
  </si>
  <si>
    <t>2025-09-12 14:07:58.309</t>
  </si>
  <si>
    <t>2025-09-12 14:07:58.360</t>
  </si>
  <si>
    <t>2025-09-12 14:07:58.409</t>
  </si>
  <si>
    <t>2025-09-12 14:07:58.461</t>
  </si>
  <si>
    <t>2025-09-12 14:07:58.520</t>
  </si>
  <si>
    <t>2025-09-12 14:07:58.579</t>
  </si>
  <si>
    <t>2025-09-12 14:07:58.671</t>
  </si>
  <si>
    <t>2025-09-12 14:07:58.727</t>
  </si>
  <si>
    <t>{'taskId': '14', 'assignedTo': 'Robot', 'sliderValue': 7}</t>
  </si>
  <si>
    <t>2025-09-12 14:07:58.803</t>
  </si>
  <si>
    <t>2025-09-12 14:07:58.895</t>
  </si>
  <si>
    <t>2025-09-12 14:07:59.004</t>
  </si>
  <si>
    <t>2025-09-12 14:07:59.109</t>
  </si>
  <si>
    <t>2025-09-12 14:07:59.211</t>
  </si>
  <si>
    <t>2025-09-12 14:08:00.754</t>
  </si>
  <si>
    <t>2025-09-12 14:08:02.295</t>
  </si>
  <si>
    <t>2025-09-12 14:08:43.946</t>
  </si>
  <si>
    <t>2025-09-12 14:09:01.638</t>
  </si>
  <si>
    <t>2025-09-12 14:09:04.139</t>
  </si>
  <si>
    <t>2025-09-12 14:09:14.045</t>
  </si>
  <si>
    <t>2025-09-12 14:09:19.333</t>
  </si>
  <si>
    <t>2025-09-12 14:09:25.169</t>
  </si>
  <si>
    <t>2025-09-12 14:09:31.027</t>
  </si>
  <si>
    <t>2025-09-12 14:09:34.165</t>
  </si>
  <si>
    <t>2025-09-12 14:09:37.045</t>
  </si>
  <si>
    <t>2025-09-12 14:09:40.000</t>
  </si>
  <si>
    <t>2025-09-12 14:09:52.538</t>
  </si>
  <si>
    <t>2025-09-12 14:10:00.128</t>
  </si>
  <si>
    <t>2025-09-12 14:10:06.514</t>
  </si>
  <si>
    <t>2025-09-12 14:10:08.029</t>
  </si>
  <si>
    <t>2025-09-12 14:10:18.180</t>
  </si>
  <si>
    <t>2025-09-12 14:10:24.978</t>
  </si>
  <si>
    <t>2025-09-12 14:10:26.646</t>
  </si>
  <si>
    <t>2025-09-12 14:10:37.597</t>
  </si>
  <si>
    <t>2025-09-12 14:10:40.387</t>
  </si>
  <si>
    <t>2025-09-12 14:10:41.895</t>
  </si>
  <si>
    <t>2025-09-12 14:10:48.349</t>
  </si>
  <si>
    <t>2025-09-12 14:10:57.363</t>
  </si>
  <si>
    <t>2025-09-12 14:10:57.722</t>
  </si>
  <si>
    <t>2025-09-12 14:11:05.829</t>
  </si>
  <si>
    <t>2025-09-12 14:11:07.263</t>
  </si>
  <si>
    <t>2025-09-12 14:11:12.864</t>
  </si>
  <si>
    <t>2025-09-12 14:11:25.947</t>
  </si>
  <si>
    <t>2025-09-12 14:11:29.135</t>
  </si>
  <si>
    <t>2025-09-12 14:11:33.286</t>
  </si>
  <si>
    <t>2025-09-12 14:11:50.452</t>
  </si>
  <si>
    <t>2025-09-12 14:11:53.415</t>
  </si>
  <si>
    <t>2025-09-12 14:11:59.335</t>
  </si>
  <si>
    <t>2025-09-12 14:12:00.886</t>
  </si>
  <si>
    <t>2025-09-12 14:12:02.932</t>
  </si>
  <si>
    <t>P339</t>
  </si>
  <si>
    <t>2025-09-12 14:12:11.255</t>
  </si>
  <si>
    <t>2025-09-12 14:12:11.422</t>
  </si>
  <si>
    <t>2025-09-12 14:12:25.820</t>
  </si>
  <si>
    <t>2025-09-12 14:12:31.321</t>
  </si>
  <si>
    <t>2025-09-12 14:12:46.042</t>
  </si>
  <si>
    <t>2025-09-12 14:12:51.467</t>
  </si>
  <si>
    <t>2025-09-12 14:12:57.191</t>
  </si>
  <si>
    <t>2025-09-12 14:13:00.917</t>
  </si>
  <si>
    <t>2025-09-12 14:13:14.220</t>
  </si>
  <si>
    <t>2025-09-12 14:13:15.744</t>
  </si>
  <si>
    <t>2025-09-12 14:13:17.318</t>
  </si>
  <si>
    <t>2025-09-12 14:13:22.017</t>
  </si>
  <si>
    <t>2025-09-12 14:13:24.504</t>
  </si>
  <si>
    <t>2025-09-12 14:13:30.686</t>
  </si>
  <si>
    <t>2025-09-12 14:13:42.147</t>
  </si>
  <si>
    <t>2025-09-12 14:13:46.980</t>
  </si>
  <si>
    <t>2025-09-12 14:13:50.139</t>
  </si>
  <si>
    <t>2025-09-12 14:14:04.744</t>
  </si>
  <si>
    <t>2025-09-12 14:14:06.247</t>
  </si>
  <si>
    <t>2025-09-12 14:14:10.271</t>
  </si>
  <si>
    <t>2025-09-12 14:14:21.697</t>
  </si>
  <si>
    <t>2025-09-12 14:14:22.326</t>
  </si>
  <si>
    <t>2025-09-12 14:14:29.533</t>
  </si>
  <si>
    <t>2025-09-12 14:14:38.501</t>
  </si>
  <si>
    <t>2025-09-12 14:14:42.370</t>
  </si>
  <si>
    <t>2025-09-12 14:14:42.457</t>
  </si>
  <si>
    <t>2025-09-12 14:14:49.386</t>
  </si>
  <si>
    <t>2025-09-12 14:15:02.221</t>
  </si>
  <si>
    <t>2025-09-12 14:15:09.531</t>
  </si>
  <si>
    <t>2025-09-12 14:15:09.615</t>
  </si>
  <si>
    <t>2025-09-12 14:15:16.291</t>
  </si>
  <si>
    <t>2025-09-12 14:15:21.373</t>
  </si>
  <si>
    <t>2025-09-12 14:15:36.421</t>
  </si>
  <si>
    <t>2025-09-12 14:15:39.887</t>
  </si>
  <si>
    <t>2025-09-12 14:15:42.183</t>
  </si>
  <si>
    <t>2025-09-12 14:15:53.387</t>
  </si>
  <si>
    <t>2025-09-12 14:15:54.683</t>
  </si>
  <si>
    <t>P345</t>
  </si>
  <si>
    <t>2025-09-12 15:08:31.133</t>
  </si>
  <si>
    <t>2025-09-12 15:08:36.916</t>
  </si>
  <si>
    <t>2025-09-12 15:08:42.915</t>
  </si>
  <si>
    <t>2025-09-12 15:08:43.468</t>
  </si>
  <si>
    <t>2025-09-12 15:08:44.436</t>
  </si>
  <si>
    <t>2025-09-12 15:08:44.565</t>
  </si>
  <si>
    <t>2025-09-12 15:08:44.697</t>
  </si>
  <si>
    <t>2025-09-12 15:08:44.776</t>
  </si>
  <si>
    <t>2025-09-12 15:08:45.810</t>
  </si>
  <si>
    <t>2025-09-12 15:08:45.955</t>
  </si>
  <si>
    <t>2025-09-12 15:08:46.087</t>
  </si>
  <si>
    <t>2025-09-12 15:08:46.198</t>
  </si>
  <si>
    <t>2025-09-12 15:08:46.263</t>
  </si>
  <si>
    <t>2025-09-12 15:08:47.229</t>
  </si>
  <si>
    <t>2025-09-12 15:08:48.035</t>
  </si>
  <si>
    <t>2025-09-12 15:08:49.701</t>
  </si>
  <si>
    <t>2025-09-12 15:08:50.303</t>
  </si>
  <si>
    <t>2025-09-12 15:08:51.378</t>
  </si>
  <si>
    <t>2025-09-12 15:08:52.086</t>
  </si>
  <si>
    <t>2025-09-12 15:08:55.252</t>
  </si>
  <si>
    <t>2025-09-12 15:08:56.714</t>
  </si>
  <si>
    <t>2025-09-12 15:08:57.824</t>
  </si>
  <si>
    <t>2025-09-12 15:08:59.224</t>
  </si>
  <si>
    <t>2025-09-12 15:09:05.654</t>
  </si>
  <si>
    <t>2025-09-12 15:09:21.110</t>
  </si>
  <si>
    <t>2025-09-12 15:09:25.849</t>
  </si>
  <si>
    <t>2025-09-12 15:09:31.620</t>
  </si>
  <si>
    <t>2025-09-12 15:09:35.891</t>
  </si>
  <si>
    <t>2025-09-12 15:09:51.737</t>
  </si>
  <si>
    <t>2025-09-12 15:09:52.184</t>
  </si>
  <si>
    <t>2025-09-12 15:09:57.384</t>
  </si>
  <si>
    <t>2025-09-12 15:10:06.810</t>
  </si>
  <si>
    <t>2025-09-12 15:10:09.847</t>
  </si>
  <si>
    <t>2025-09-12 15:10:17.502</t>
  </si>
  <si>
    <t>2025-09-12 15:10:22.673</t>
  </si>
  <si>
    <t>2025-09-12 15:10:27.503</t>
  </si>
  <si>
    <t>2025-09-12 15:10:42.801</t>
  </si>
  <si>
    <t>2025-09-12 15:10:43.019</t>
  </si>
  <si>
    <t>2025-09-12 15:10:57.058</t>
  </si>
  <si>
    <t>2025-09-12 15:10:59.945</t>
  </si>
  <si>
    <t>2025-09-12 15:11:01.298</t>
  </si>
  <si>
    <t>2025-09-12 15:11:17.188</t>
  </si>
  <si>
    <t>2025-09-12 15:11:17.553</t>
  </si>
  <si>
    <t>2025-09-12 15:11:23.591</t>
  </si>
  <si>
    <t>2025-09-12 15:11:34.462</t>
  </si>
  <si>
    <t>2025-09-12 15:11:36.822</t>
  </si>
  <si>
    <t>2025-09-12 15:11:43.718</t>
  </si>
  <si>
    <t>2025-09-12 15:11:49.892</t>
  </si>
  <si>
    <t>2025-09-12 15:11:57.899</t>
  </si>
  <si>
    <t>2025-09-12 15:12:11.183</t>
  </si>
  <si>
    <t>2025-09-12 15:12:18.015</t>
  </si>
  <si>
    <t>2025-09-12 15:12:37.541</t>
  </si>
  <si>
    <t>{'question': '18 × 6 = ?', 'answer': '104'}</t>
  </si>
  <si>
    <t>2025-09-12 15:12:43.503</t>
  </si>
  <si>
    <t>2025-09-12 15:12:48.938</t>
  </si>
  <si>
    <t>2025-09-12 15:12:53.624</t>
  </si>
  <si>
    <t>2025-09-12 15:12:54.322</t>
  </si>
  <si>
    <t>2025-09-12 15:13:09.082</t>
  </si>
  <si>
    <t>2025-09-12 15:13:23.154</t>
  </si>
  <si>
    <t>2025-09-12 15:13:24.795</t>
  </si>
  <si>
    <t>2025-09-12 15:13:28.304</t>
  </si>
  <si>
    <t>2025-09-12 15:13:35.140</t>
  </si>
  <si>
    <t>P346</t>
  </si>
  <si>
    <t>2025-09-12 15:13:46.656</t>
  </si>
  <si>
    <t>2025-09-12 15:13:46.905</t>
  </si>
  <si>
    <t>2025-09-12 15:13:47.407</t>
  </si>
  <si>
    <t>2025-09-12 15:14:03.089</t>
  </si>
  <si>
    <t>2025-09-12 15:14:22.891</t>
  </si>
  <si>
    <t>2025-09-12 15:14:23.233</t>
  </si>
  <si>
    <t>2025-09-12 15:14:36.321</t>
  </si>
  <si>
    <t>2025-09-12 15:14:42.060</t>
  </si>
  <si>
    <t>2025-09-12 15:14:56.439</t>
  </si>
  <si>
    <t>2025-09-12 15:15:00.458</t>
  </si>
  <si>
    <t>2025-09-12 15:15:01.326</t>
  </si>
  <si>
    <t>2025-09-12 15:15:15.900</t>
  </si>
  <si>
    <t>2025-09-12 15:15:19.606</t>
  </si>
  <si>
    <t>2025-09-12 15:15:21.450</t>
  </si>
  <si>
    <t>2025-09-12 15:15:31.374</t>
  </si>
  <si>
    <t>2025-09-12 15:15:47.552</t>
  </si>
  <si>
    <t>2025-09-12 15:16:05.257</t>
  </si>
  <si>
    <t>2025-09-12 15:16:05.308</t>
  </si>
  <si>
    <t>{'question': '12 × 12 = ?', 'answer': '164'}</t>
  </si>
  <si>
    <t>2025-09-12 15:16:19.951</t>
  </si>
  <si>
    <t>2025-09-12 15:16:20.595</t>
  </si>
  <si>
    <t>{'question': '12 × 12 = ?', 'answer': '154'}</t>
  </si>
  <si>
    <t>2025-09-12 15:16:36.804</t>
  </si>
  <si>
    <t>2025-09-12 15:16:51.520</t>
  </si>
  <si>
    <t>2025-09-12 15:17:06.018</t>
  </si>
  <si>
    <t>2025-09-12 15:17:08.765</t>
  </si>
  <si>
    <t>2025-09-12 15:17:12.808</t>
  </si>
  <si>
    <t>2025-09-12 15:17:26.140</t>
  </si>
  <si>
    <t>2025-09-12 15:17:41.524</t>
  </si>
  <si>
    <t>2025-09-12 15:18:01.643</t>
  </si>
  <si>
    <t>2025-09-12 15:18:24.165</t>
  </si>
  <si>
    <t>2025-09-12 15:18:27.350</t>
  </si>
  <si>
    <t>2025-09-12 15:18:44.270</t>
  </si>
  <si>
    <t>2025-09-12 15:18:48.532</t>
  </si>
  <si>
    <t>2025-09-12 15:18:49.883</t>
  </si>
  <si>
    <t>2025-09-12 15:18:51.589</t>
  </si>
  <si>
    <t>2025-09-12 15:18:53.017</t>
  </si>
  <si>
    <t>2025-09-12 15:18:53.851</t>
  </si>
  <si>
    <t>2025-09-12 15:18:54.920</t>
  </si>
  <si>
    <t>P347</t>
  </si>
  <si>
    <t>2025-09-12 15:21:36.816</t>
  </si>
  <si>
    <t>2025-09-12 15:21:51.339</t>
  </si>
  <si>
    <t>2025-09-12 15:21:51.409</t>
  </si>
  <si>
    <t>2025-09-12 15:21:51.495</t>
  </si>
  <si>
    <t>2025-09-12 15:21:51.547</t>
  </si>
  <si>
    <t>2025-09-12 15:21:51.598</t>
  </si>
  <si>
    <t>2025-09-12 15:21:51.642</t>
  </si>
  <si>
    <t>2025-09-12 15:21:51.703</t>
  </si>
  <si>
    <t>2025-09-12 15:21:51.771</t>
  </si>
  <si>
    <t>2025-09-12 15:21:51.844</t>
  </si>
  <si>
    <t>2025-09-12 15:21:51.917</t>
  </si>
  <si>
    <t>2025-09-12 15:21:51.980</t>
  </si>
  <si>
    <t>2025-09-12 15:21:54.799</t>
  </si>
  <si>
    <t>2025-09-12 15:21:57.921</t>
  </si>
  <si>
    <t>2025-09-12 15:22:13.319</t>
  </si>
  <si>
    <t>2025-09-12 15:22:28.067</t>
  </si>
  <si>
    <t>2025-09-12 15:22:44.300</t>
  </si>
  <si>
    <t>2025-09-12 15:22:56.083</t>
  </si>
  <si>
    <t>2025-09-12 15:23:01.950</t>
  </si>
  <si>
    <t>2025-09-12 15:23:19.501</t>
  </si>
  <si>
    <t>2025-09-12 15:23:30.488</t>
  </si>
  <si>
    <t>2025-09-12 15:23:34.930</t>
  </si>
  <si>
    <t>2025-09-12 15:23:51.903</t>
  </si>
  <si>
    <t>2025-09-12 15:24:09.585</t>
  </si>
  <si>
    <t>2025-09-12 15:24:14.715</t>
  </si>
  <si>
    <t>2025-09-12 15:24:26.516</t>
  </si>
  <si>
    <t>2025-09-12 15:24:40.284</t>
  </si>
  <si>
    <t>2025-09-12 15:24:41.951</t>
  </si>
  <si>
    <t>2025-09-12 15:24:42.026</t>
  </si>
  <si>
    <t>2025-09-12 15:24:50.607</t>
  </si>
  <si>
    <t>2025-09-12 15:24:51.151</t>
  </si>
  <si>
    <t>2025-09-12 15:24:57.023</t>
  </si>
  <si>
    <t>2025-09-12 15:25:03.290</t>
  </si>
  <si>
    <t>P348</t>
  </si>
  <si>
    <t>2025-09-12 15:25:11.069</t>
  </si>
  <si>
    <t>2025-09-12 15:25:11.544</t>
  </si>
  <si>
    <t>2025-09-12 15:25:12.055</t>
  </si>
  <si>
    <t>2025-09-12 15:25:26.761</t>
  </si>
  <si>
    <t>2025-09-12 15:25:46.482</t>
  </si>
  <si>
    <t>2025-09-12 15:25:51.891</t>
  </si>
  <si>
    <t>Pause Button Pressed</t>
  </si>
  <si>
    <t>2025-09-12 15:25:53.375</t>
  </si>
  <si>
    <t>2025-09-12 15:25:55.326</t>
  </si>
  <si>
    <t>2025-09-12 15:26:08.947</t>
  </si>
  <si>
    <t>2025-09-12 15:26:27.327</t>
  </si>
  <si>
    <t>2025-09-12 15:26:30.162</t>
  </si>
  <si>
    <t>2025-09-12 15:26:42.770</t>
  </si>
  <si>
    <t>2025-09-12 15:26:57.501</t>
  </si>
  <si>
    <t>2025-09-12 15:27:00.391</t>
  </si>
  <si>
    <t>2025-09-12 15:27:13.618</t>
  </si>
  <si>
    <t>2025-09-12 15:27:31.356</t>
  </si>
  <si>
    <t>2025-09-12 15:27:46.055</t>
  </si>
  <si>
    <t>2025-09-12 15:28:02.966</t>
  </si>
  <si>
    <t>2025-09-12 15:28:17.664</t>
  </si>
  <si>
    <t>2025-09-12 15:28:28.844</t>
  </si>
  <si>
    <t>2025-09-12 15:28:29.326</t>
  </si>
  <si>
    <t>2025-09-12 15:28:30.402</t>
  </si>
  <si>
    <t>2025-09-12 15:28:35.725</t>
  </si>
  <si>
    <t>2025-09-12 15:28:36.022</t>
  </si>
  <si>
    <t>2025-09-12 15:28:36.762</t>
  </si>
  <si>
    <t>2025-09-12 15:28:38.212</t>
  </si>
  <si>
    <t>P354</t>
  </si>
  <si>
    <t>2025-09-12 16:05:05.483</t>
  </si>
  <si>
    <t>2025-09-12 16:05:05.991</t>
  </si>
  <si>
    <t>2025-09-12 16:05:21.851</t>
  </si>
  <si>
    <t>2025-09-12 16:06:22.961</t>
  </si>
  <si>
    <t>2025-09-12 16:06:24.650</t>
  </si>
  <si>
    <t>2025-09-12 16:06:25.399</t>
  </si>
  <si>
    <t>2025-09-12 16:06:28.227</t>
  </si>
  <si>
    <t>2025-09-12 16:06:29.141</t>
  </si>
  <si>
    <t>2025-09-12 16:06:29.932</t>
  </si>
  <si>
    <t>2025-09-12 16:06:34.894</t>
  </si>
  <si>
    <t>2025-09-12 16:06:36.075</t>
  </si>
  <si>
    <t>2025-09-12 16:06:38.817</t>
  </si>
  <si>
    <t>2025-09-12 16:06:40.258</t>
  </si>
  <si>
    <t>2025-09-12 16:06:52.664</t>
  </si>
  <si>
    <t>2025-09-12 16:06:53.366</t>
  </si>
  <si>
    <t>2025-09-12 16:06:53.497</t>
  </si>
  <si>
    <t>2025-09-12 16:06:53.623</t>
  </si>
  <si>
    <t>2025-09-12 16:06:53.754</t>
  </si>
  <si>
    <t>2025-09-12 16:06:53.816</t>
  </si>
  <si>
    <t>2025-09-12 16:06:54.711</t>
  </si>
  <si>
    <t>2025-09-12 16:06:58.580</t>
  </si>
  <si>
    <t>2025-09-12 16:07:16.162</t>
  </si>
  <si>
    <t>2025-09-12 16:07:33.904</t>
  </si>
  <si>
    <t>2025-09-12 16:07:39.943</t>
  </si>
  <si>
    <t>2025-09-12 16:07:40.775</t>
  </si>
  <si>
    <t>2025-09-12 16:07:41.742</t>
  </si>
  <si>
    <t>2025-09-12 16:07:50.904</t>
  </si>
  <si>
    <t>2025-09-12 16:07:55.250</t>
  </si>
  <si>
    <t>2025-09-12 16:08:06.381</t>
  </si>
  <si>
    <t>2025-09-12 16:08:08.161</t>
  </si>
  <si>
    <t>2025-09-12 16:08:15.547</t>
  </si>
  <si>
    <t>2025-09-12 16:08:21.854</t>
  </si>
  <si>
    <t>2025-09-12 16:08:37.289</t>
  </si>
  <si>
    <t>2025-09-12 16:08:53.562</t>
  </si>
  <si>
    <t>2025-09-12 16:09:09.008</t>
  </si>
  <si>
    <t>2025-09-12 16:09:12.134</t>
  </si>
  <si>
    <t>2025-09-12 16:09:25.925</t>
  </si>
  <si>
    <t>2025-09-12 16:09:42.802</t>
  </si>
  <si>
    <t>2025-09-12 16:10:03.294</t>
  </si>
  <si>
    <t>2025-09-12 16:10:04.883</t>
  </si>
  <si>
    <t>P355</t>
  </si>
  <si>
    <t>2025-09-12 16:10:09.948</t>
  </si>
  <si>
    <t>2025-09-12 16:10:10.077</t>
  </si>
  <si>
    <t>2025-09-12 16:10:10.588</t>
  </si>
  <si>
    <t>2025-09-12 16:10:52.125</t>
  </si>
  <si>
    <t>2025-09-12 16:10:52.223</t>
  </si>
  <si>
    <t>{'taskId': '9', 'assignedTo': 'Human', 'sliderValue': 2}</t>
  </si>
  <si>
    <t>2025-09-12 16:10:52.941</t>
  </si>
  <si>
    <t>2025-09-12 16:10:54.224</t>
  </si>
  <si>
    <t>2025-09-12 16:10:54.899</t>
  </si>
  <si>
    <t>2025-09-12 16:10:57.148</t>
  </si>
  <si>
    <t>2025-09-12 16:10:57.225</t>
  </si>
  <si>
    <t>2025-09-12 16:10:57.524</t>
  </si>
  <si>
    <t>2025-09-12 16:10:57.648</t>
  </si>
  <si>
    <t>2025-09-12 16:10:57.842</t>
  </si>
  <si>
    <t>2025-09-12 16:10:57.986</t>
  </si>
  <si>
    <t>2025-09-12 16:10:58.068</t>
  </si>
  <si>
    <t>2025-09-12 16:11:05.513</t>
  </si>
  <si>
    <t>2025-09-12 16:11:05.586</t>
  </si>
  <si>
    <t>2025-09-12 16:11:05.677</t>
  </si>
  <si>
    <t>2025-09-12 16:11:05.778</t>
  </si>
  <si>
    <t>2025-09-12 16:11:05.829</t>
  </si>
  <si>
    <t>2025-09-12 16:11:05.908</t>
  </si>
  <si>
    <t>2025-09-12 16:11:06.042</t>
  </si>
  <si>
    <t>2025-09-12 16:11:06.136</t>
  </si>
  <si>
    <t>2025-09-12 16:11:06.186</t>
  </si>
  <si>
    <t>2025-09-12 16:11:06.887</t>
  </si>
  <si>
    <t>2025-09-12 16:11:12.316</t>
  </si>
  <si>
    <t>2025-09-12 16:11:12.723</t>
  </si>
  <si>
    <t>2025-09-12 16:11:18.571</t>
  </si>
  <si>
    <t>2025-09-12 16:11:28.351</t>
  </si>
  <si>
    <t>2025-09-12 16:11:31.368</t>
  </si>
  <si>
    <t>2025-09-12 16:11:35.168</t>
  </si>
  <si>
    <t>2025-09-12 16:11:49.825</t>
  </si>
  <si>
    <t>2025-09-12 16:12:05.301</t>
  </si>
  <si>
    <t>2025-09-12 16:12:06.155</t>
  </si>
  <si>
    <t>2025-09-12 16:12:08.489</t>
  </si>
  <si>
    <t>2025-09-12 16:12:20.061</t>
  </si>
  <si>
    <t>2025-09-12 16:12:37.418</t>
  </si>
  <si>
    <t>2025-09-12 16:12:38.760</t>
  </si>
  <si>
    <t>2025-09-12 16:12:39.189</t>
  </si>
  <si>
    <t>2025-09-12 16:12:58.269</t>
  </si>
  <si>
    <t>2025-09-12 16:13:16.655</t>
  </si>
  <si>
    <t>2025-09-12 16:13:18.409</t>
  </si>
  <si>
    <t>2025-09-12 16:13:31.340</t>
  </si>
  <si>
    <t>2025-09-12 16:13:34.271</t>
  </si>
  <si>
    <t>2025-09-12 16:13:42.100</t>
  </si>
  <si>
    <t>2025-09-12 16:13:47.543</t>
  </si>
  <si>
    <t>2025-09-12 16:13:50.330</t>
  </si>
  <si>
    <t>2025-09-12 16:13:55.630</t>
  </si>
  <si>
    <t>2025-09-12 16:14:04.455</t>
  </si>
  <si>
    <t>2025-09-12 16:14:05.092</t>
  </si>
  <si>
    <t>P356</t>
  </si>
  <si>
    <t>2025-09-12 16:16:14.780</t>
  </si>
  <si>
    <t>2025-09-12 16:16:29.192</t>
  </si>
  <si>
    <t>2025-09-12 16:16:49.353</t>
  </si>
  <si>
    <t>2025-09-12 16:16:50.757</t>
  </si>
  <si>
    <t>2025-09-12 16:16:51.385</t>
  </si>
  <si>
    <t>2025-09-12 16:17:20.808</t>
  </si>
  <si>
    <t>2025-09-12 16:17:21.264</t>
  </si>
  <si>
    <t>2025-09-12 16:17:22.135</t>
  </si>
  <si>
    <t>2025-09-12 16:17:24.290</t>
  </si>
  <si>
    <t>2025-09-12 16:17:24.896</t>
  </si>
  <si>
    <t>2025-09-12 16:17:29.193</t>
  </si>
  <si>
    <t>2025-09-12 16:17:30.327</t>
  </si>
  <si>
    <t>2025-09-12 16:17:33.588</t>
  </si>
  <si>
    <t>2025-09-12 16:17:37.675</t>
  </si>
  <si>
    <t>2025-09-12 16:17:37.770</t>
  </si>
  <si>
    <t>2025-09-12 16:17:47.755</t>
  </si>
  <si>
    <t>2025-09-12 16:17:51.703</t>
  </si>
  <si>
    <t>2025-09-12 16:17:59.525</t>
  </si>
  <si>
    <t>2025-09-12 16:18:08.724</t>
  </si>
  <si>
    <t>2025-09-12 16:18:15.039</t>
  </si>
  <si>
    <t>2025-09-12 16:18:19.725</t>
  </si>
  <si>
    <t>2025-09-12 16:18:25.550</t>
  </si>
  <si>
    <t>2025-09-12 16:18:29.772</t>
  </si>
  <si>
    <t>2025-09-12 16:18:29.952</t>
  </si>
  <si>
    <t>2025-09-12 16:18:30.655</t>
  </si>
  <si>
    <t>2025-09-12 16:18:45.664</t>
  </si>
  <si>
    <t>2025-09-12 16:18:45.993</t>
  </si>
  <si>
    <t>2025-09-12 16:18:53.615</t>
  </si>
  <si>
    <t>2025-09-12 16:19:03.677</t>
  </si>
  <si>
    <t>2025-09-12 16:19:09.638</t>
  </si>
  <si>
    <t>2025-09-12 16:19:13.766</t>
  </si>
  <si>
    <t>2025-09-12 16:19:21.350</t>
  </si>
  <si>
    <t>2025-09-12 16:19:26.558</t>
  </si>
  <si>
    <t>2025-09-12 16:19:36.440</t>
  </si>
  <si>
    <t>2025-09-12 16:19:36.840</t>
  </si>
  <si>
    <t>2025-09-12 16:19:44.480</t>
  </si>
  <si>
    <t>2025-09-12 16:19:46.685</t>
  </si>
  <si>
    <t>2025-09-12 16:19:52.292</t>
  </si>
  <si>
    <t>2025-09-12 16:19:54.729</t>
  </si>
  <si>
    <t>2025-09-12 16:19:57.205</t>
  </si>
  <si>
    <t>2025-09-12 16:20:04.723</t>
  </si>
  <si>
    <t>2025-09-12 16:20:09.190</t>
  </si>
  <si>
    <t>2025-09-12 16:20:10.635</t>
  </si>
  <si>
    <t>2025-09-12 16:20:14.860</t>
  </si>
  <si>
    <t>2025-09-12 16:20:19.951</t>
  </si>
  <si>
    <t>2025-09-12 16:20:26.416</t>
  </si>
  <si>
    <t>2025-09-12 16:20:30.471</t>
  </si>
  <si>
    <t>P357</t>
  </si>
  <si>
    <t>2025-09-12 16:20:34.669</t>
  </si>
  <si>
    <t>2025-09-12 16:20:34.835</t>
  </si>
  <si>
    <t>{'previousAllocations': [{'name': 'Hospital_base', 'assignedTo': 'Robot', 'sliderValue': 10}, {'name': 'Hospital_big_top', 'assignedTo': 'Robot', 'sliderValue': 10}, {'name': 'Hospital_small_top', 'assignedTo': 'Robot', 'sliderValue': 10}, {'name': 'Hospital_screws', 'assignedTo': 'Human', 'sliderValue': 0}, {'name': 'Bridge_triangle_roof', 'assignedTo': 'Robot', 'sliderValue': 10}, {'name': 'Bridge_flat_roof', 'assignedTo': 'Robot', 'sliderValue': 10}, {'name': 'Bridge rod placement', 'assignedTo': 'Human', 'sliderValue': 0}, {'name': 'Dovetail_buttom', 'assignedTo': 'Robot', 'sliderValue': 10}, {'name': 'Dovetail_top', 'assignedTo': 'Human', 'sliderValue': 5}, {'name': 'Wheel_holder', 'assignedTo': 'Human', 'sliderValue': 4}, {'name': 'Wheel_holder_screws', 'assignedTo': 'Human', 'sliderValue': 0}, {'name': 'Wheel', 'assignedTo': 'Human', 'sliderValue': 0}, {'name': 'Wheel_screw', 'assignedTo': 'Human', 'sliderValue': 0}, {'name': 'Triangle', 'assignedTo': 'Robot', 'sliderValue': 10}, {'name': 'Snap_buttom', 'assignedTo': 'Robot', 'sliderValue': 10}, {'name': 'Snap_middle', 'assignedTo': 'Human', 'sliderValue': 0}, {'name': 'Snap_top', 'assignedTo': 'Human', 'sliderValue': 0}, {'name': 'Museum', 'assignedTo': 'Robot', 'sliderValue': 10}, {'name': 'Inspection', 'assignedTo': 'Human', 'sliderValue': 0}]}</t>
  </si>
  <si>
    <t>2025-09-12 16:20:35.350</t>
  </si>
  <si>
    <t>2025-09-12 16:21:46.968</t>
  </si>
  <si>
    <t>2025-09-12 16:21:56.688</t>
  </si>
  <si>
    <t>2025-09-12 16:22:02.382</t>
  </si>
  <si>
    <t>2025-09-12 16:22:07.107</t>
  </si>
  <si>
    <t>2025-09-12 16:22:15.871</t>
  </si>
  <si>
    <t>{'question': '25 + 36 - 14 = ?', 'answer': '45'}</t>
  </si>
  <si>
    <t>2025-09-12 16:22:17.104</t>
  </si>
  <si>
    <t>2025-09-12 16:22:24.979</t>
  </si>
  <si>
    <t>2025-09-12 16:22:32.229</t>
  </si>
  <si>
    <t>2025-09-12 16:22:33.291</t>
  </si>
  <si>
    <t>2025-09-12 16:22:35.600</t>
  </si>
  <si>
    <t>2025-09-12 16:22:45.096</t>
  </si>
  <si>
    <t>2025-09-12 16:22:52.943</t>
  </si>
  <si>
    <t>2025-09-12 16:22:53.084</t>
  </si>
  <si>
    <t>2025-09-12 16:22:54.347</t>
  </si>
  <si>
    <t>2025-09-12 16:23:04.571</t>
  </si>
  <si>
    <t>2025-09-12 16:23:11.436</t>
  </si>
  <si>
    <t>2025-09-12 16:23:11.516</t>
  </si>
  <si>
    <t>2025-09-12 16:23:12.992</t>
  </si>
  <si>
    <t>2025-09-12 16:23:24.264</t>
  </si>
  <si>
    <t>2025-09-12 16:23:29.805</t>
  </si>
  <si>
    <t>2025-09-12 16:23:36.835</t>
  </si>
  <si>
    <t>2025-09-12 16:23:44.377</t>
  </si>
  <si>
    <t>2025-09-12 16:23:44.522</t>
  </si>
  <si>
    <t>2025-09-12 16:23:50.519</t>
  </si>
  <si>
    <t>2025-09-12 16:23:52.076</t>
  </si>
  <si>
    <t>2025-09-12 16:23:59.471</t>
  </si>
  <si>
    <t>2025-09-12 16:24:01.430</t>
  </si>
  <si>
    <t>2025-09-12 16:24:10.644</t>
  </si>
  <si>
    <t>2025-09-12 16:24:15.361</t>
  </si>
  <si>
    <t>2025-09-12 16:24:19.161</t>
  </si>
  <si>
    <t>2025-09-12 16:24:21.954</t>
  </si>
  <si>
    <t>P363</t>
  </si>
  <si>
    <t>2025-09-12 17:16:55.749</t>
  </si>
  <si>
    <t>2025-09-12 17:17:01.742</t>
  </si>
  <si>
    <t>2025-09-12 17:17:25.633</t>
  </si>
  <si>
    <t>2025-09-12 17:17:27.500</t>
  </si>
  <si>
    <t>2025-09-12 17:17:42.867</t>
  </si>
  <si>
    <t>2025-09-12 17:17:44.131</t>
  </si>
  <si>
    <t>2025-09-12 17:17:46.722</t>
  </si>
  <si>
    <t>2025-09-12 17:17:58.738</t>
  </si>
  <si>
    <t>2025-09-12 17:18:06.194</t>
  </si>
  <si>
    <t>2025-09-12 17:18:13.116</t>
  </si>
  <si>
    <t>2025-09-12 17:18:13.206</t>
  </si>
  <si>
    <t>2025-09-12 17:18:13.307</t>
  </si>
  <si>
    <t>2025-09-12 17:18:16.828</t>
  </si>
  <si>
    <t>{'taskId': '5', 'assignedTo': 'Human', 'sliderValue': 2}</t>
  </si>
  <si>
    <t>2025-09-12 17:18:18.140</t>
  </si>
  <si>
    <t>2025-09-12 17:18:23.039</t>
  </si>
  <si>
    <t>2025-09-12 17:18:24.179</t>
  </si>
  <si>
    <t>2025-09-12 17:18:24.327</t>
  </si>
  <si>
    <t>2025-09-12 17:18:25.310</t>
  </si>
  <si>
    <t>2025-09-12 17:18:31.216</t>
  </si>
  <si>
    <t>2025-09-12 17:18:46.744</t>
  </si>
  <si>
    <t>2025-09-12 17:18:51.378</t>
  </si>
  <si>
    <t>2025-09-12 17:19:03.660</t>
  </si>
  <si>
    <t>2025-09-12 17:19:25.118</t>
  </si>
  <si>
    <t>2025-09-12 17:19:29.418</t>
  </si>
  <si>
    <t>2025-09-12 17:19:44.632</t>
  </si>
  <si>
    <t>2025-09-12 17:19:45.215</t>
  </si>
  <si>
    <t>2025-09-12 17:19:52.951</t>
  </si>
  <si>
    <t>2025-09-12 17:19:55.389</t>
  </si>
  <si>
    <t>2025-09-12 17:20:00.084</t>
  </si>
  <si>
    <t>2025-09-12 17:20:13.082</t>
  </si>
  <si>
    <t>2025-09-12 17:20:17.758</t>
  </si>
  <si>
    <t>2025-09-12 17:20:18.355</t>
  </si>
  <si>
    <t>2025-09-12 17:20:19.132</t>
  </si>
  <si>
    <t>2025-09-12 17:20:32.700</t>
  </si>
  <si>
    <t>2025-09-12 17:20:34.683</t>
  </si>
  <si>
    <t>2025-09-12 17:20:37.964</t>
  </si>
  <si>
    <t>2025-09-12 17:20:38.474</t>
  </si>
  <si>
    <t>2025-09-12 17:20:42.455</t>
  </si>
  <si>
    <t>2025-09-12 17:20:55.954</t>
  </si>
  <si>
    <t>2025-09-12 17:21:02.591</t>
  </si>
  <si>
    <t>2025-09-12 17:21:12.389</t>
  </si>
  <si>
    <t>2025-09-12 17:21:14.232</t>
  </si>
  <si>
    <t>2025-09-12 17:21:32.509</t>
  </si>
  <si>
    <t>2025-09-12 17:21:43.115</t>
  </si>
  <si>
    <t>2025-09-12 17:21:44.193</t>
  </si>
  <si>
    <t>2025-09-12 17:21:44.837</t>
  </si>
  <si>
    <t>2025-09-12 17:21:51.372</t>
  </si>
  <si>
    <t>2025-09-12 17:21:56.582</t>
  </si>
  <si>
    <t>2025-09-12 17:22:03.240</t>
  </si>
  <si>
    <t>2025-09-12 17:22:09.766</t>
  </si>
  <si>
    <t>2025-09-12 17:22:10.698</t>
  </si>
  <si>
    <t>2025-09-12 17:22:16.325</t>
  </si>
  <si>
    <t>P364</t>
  </si>
  <si>
    <t>2025-09-12 17:22:24.274</t>
  </si>
  <si>
    <t>2025-09-12 17:22:24.419</t>
  </si>
  <si>
    <t>{'previousAllocations': [{'name': 'Hospital_base', 'assignedTo': 'Human', 'sliderValue': 0}, {'name': 'Hospital_big_top', 'assignedTo': 'Robot', 'sliderValue': 8}, {'name': 'Hospital_small_top', 'assignedTo': 'Human', 'sliderValue': 1}, {'name': 'Hospital_screws', 'assignedTo': 'Human', 'sliderValue': 0}, {'name': 'Bridge_triangle_roof', 'assignedTo': 'Human', 'sliderValue': 2}, {'name': 'Bridge_flat_roof', 'assignedTo': 'Human', 'sliderValue': 1}, {'name': 'Bridge rod placement', 'assignedTo': 'Human', 'sliderValue': 0}, {'name': 'Dovetail_buttom', 'assignedTo': 'Robot', 'sliderValue': 8}, {'name': 'Dovetail_top', 'assignedTo': 'Robot', 'sliderValue': 8}, {'name': 'Wheel_holder', 'assignedTo': 'Robot', 'sliderValue': 10}, {'name': 'Wheel_holder_screws', 'assignedTo': 'Human', 'sliderValue': 0}, {'name': 'Wheel', 'assignedTo': 'Human', 'sliderValue': 0}, {'name': 'Wheel_screw', 'assignedTo': 'Human', 'sliderValue': 0}, {'name': 'Triangle', 'assignedTo': 'Robot', 'sliderValue': 10}, {'name': 'Snap_buttom', 'assignedTo': 'Robot', 'sliderValue': 10}, {'name': 'Snap_middle', 'assignedTo': 'Human', 'sliderValue': 0}, {'name': 'Snap_top', 'assignedTo': 'Human', 'sliderValue': 0}, {'name': 'Museum', 'assignedTo': 'Robot', 'sliderValue': 7}, {'name': 'Inspection', 'assignedTo': 'Human', 'sliderValue': 0}]}</t>
  </si>
  <si>
    <t>2025-09-12 17:22:24.920</t>
  </si>
  <si>
    <t>2025-09-12 17:22:38.882</t>
  </si>
  <si>
    <t>2025-09-12 17:22:43.612</t>
  </si>
  <si>
    <t>2025-09-12 17:23:05.949</t>
  </si>
  <si>
    <t>2025-09-12 17:23:19.311</t>
  </si>
  <si>
    <t>2025-09-12 17:23:26.114</t>
  </si>
  <si>
    <t>2025-09-12 17:23:32.179</t>
  </si>
  <si>
    <t>2025-09-12 17:23:39.147</t>
  </si>
  <si>
    <t>2025-09-12 17:23:52.309</t>
  </si>
  <si>
    <t>2025-09-12 17:23:57.543</t>
  </si>
  <si>
    <t>2025-09-12 17:24:01.446</t>
  </si>
  <si>
    <t>2025-09-12 17:24:09.796</t>
  </si>
  <si>
    <t>2025-09-12 17:24:13.009</t>
  </si>
  <si>
    <t>2025-09-12 17:24:17.651</t>
  </si>
  <si>
    <t>2025-09-12 17:24:21.568</t>
  </si>
  <si>
    <t>2025-09-12 17:24:29.167</t>
  </si>
  <si>
    <t>2025-09-12 17:24:30.393</t>
  </si>
  <si>
    <t>2025-09-12 17:24:31.303</t>
  </si>
  <si>
    <t>2025-09-12 17:24:46.893</t>
  </si>
  <si>
    <t>2025-09-12 17:24:50.515</t>
  </si>
  <si>
    <t>2025-09-12 17:25:01.644</t>
  </si>
  <si>
    <t>2025-09-12 17:25:04.207</t>
  </si>
  <si>
    <t>2025-09-12 17:25:18.566</t>
  </si>
  <si>
    <t>2025-09-12 17:25:21.767</t>
  </si>
  <si>
    <t>2025-09-12 17:25:24.332</t>
  </si>
  <si>
    <t>2025-09-12 17:25:30.572</t>
  </si>
  <si>
    <t>2025-09-12 17:25:33.310</t>
  </si>
  <si>
    <t>2025-09-12 17:25:50.713</t>
  </si>
  <si>
    <t>2025-09-12 17:25:53.856</t>
  </si>
  <si>
    <t>2025-09-12 17:25:54.760</t>
  </si>
  <si>
    <t>2025-09-12 17:25:55.807</t>
  </si>
  <si>
    <t>2025-09-12 17:25:56.369</t>
  </si>
  <si>
    <t>2025-09-12 17:26:07.609</t>
  </si>
  <si>
    <t>2025-09-12 17:26:08.551</t>
  </si>
  <si>
    <t>2025-09-12 17:26:10.123</t>
  </si>
  <si>
    <t>P365</t>
  </si>
  <si>
    <t>2025-09-12 17:28:27.052</t>
  </si>
  <si>
    <t>2025-09-12 17:28:41.587</t>
  </si>
  <si>
    <t>2025-09-12 17:28:46.271</t>
  </si>
  <si>
    <t>2025-09-12 17:28:47.728</t>
  </si>
  <si>
    <t>2025-09-12 17:28:49.294</t>
  </si>
  <si>
    <t>2025-09-12 17:28:55.665</t>
  </si>
  <si>
    <t>2025-09-12 17:28:57.040</t>
  </si>
  <si>
    <t>2025-09-12 17:28:58.460</t>
  </si>
  <si>
    <t>2025-09-12 17:28:59.074</t>
  </si>
  <si>
    <t>2025-09-12 17:29:00.027</t>
  </si>
  <si>
    <t>2025-09-12 17:29:01.789</t>
  </si>
  <si>
    <t>2025-09-12 17:29:02.576</t>
  </si>
  <si>
    <t>2025-09-12 17:29:05.081</t>
  </si>
  <si>
    <t>2025-09-12 17:29:05.225</t>
  </si>
  <si>
    <t>2025-09-12 17:29:05.387</t>
  </si>
  <si>
    <t>2025-09-12 17:29:07.580</t>
  </si>
  <si>
    <t>2025-09-12 17:29:19.344</t>
  </si>
  <si>
    <t>2025-09-12 17:29:30.192</t>
  </si>
  <si>
    <t>2025-09-12 17:29:36.657</t>
  </si>
  <si>
    <t>2025-09-12 17:29:46.080</t>
  </si>
  <si>
    <t>2025-09-12 17:29:53.627</t>
  </si>
  <si>
    <t>2025-09-12 17:29:55.271</t>
  </si>
  <si>
    <t>2025-09-12 17:30:07.452</t>
  </si>
  <si>
    <t>2025-09-12 17:30:09.086</t>
  </si>
  <si>
    <t>2025-09-12 17:30:26.057</t>
  </si>
  <si>
    <t>2025-09-12 17:30:43.748</t>
  </si>
  <si>
    <t>2025-09-12 17:31:00.666</t>
  </si>
  <si>
    <t>2025-09-12 17:31:03.074</t>
  </si>
  <si>
    <t>2025-09-12 17:31:16.156</t>
  </si>
  <si>
    <t>2025-09-12 17:31:37.467</t>
  </si>
  <si>
    <t>2025-09-12 17:31:38.338</t>
  </si>
  <si>
    <t>2025-09-12 17:31:39.497</t>
  </si>
  <si>
    <t>2025-09-12 17:31:49.911</t>
  </si>
  <si>
    <t>2025-09-12 17:31:50.515</t>
  </si>
  <si>
    <t>2025-09-12 17:31:51.664</t>
  </si>
  <si>
    <t>P366</t>
  </si>
  <si>
    <t>2025-09-12 17:32:00.183</t>
  </si>
  <si>
    <t>2025-09-12 17:32:00.401</t>
  </si>
  <si>
    <t>{'previousAllocations': [{'name': 'Hospital_base', 'assignedTo': 'Human', 'sliderValue': 0}, {'name': 'Hospital_big_top', 'assignedTo': 'Human', 'sliderValue': 0}, {'name': 'Hospital_small_top', 'assignedTo': 'Robot', 'sliderValue': 9}, {'name': 'Hospital_screws', 'assignedTo': 'Human', 'sliderValue': 0}, {'name': 'Bridge_triangle_roof', 'assignedTo': 'Human', 'sliderValue': 0}, {'name': 'Bridge_flat_roof', 'assignedTo': 'Robot', 'sliderValue': 10}, {'name': 'Bridge rod placement', 'assignedTo': 'Human', 'sliderValue': 0}, {'name': 'Dovetail_buttom', 'assignedTo': 'Robot', 'sliderValue': 10}, {'name': 'Dovetail_top', 'assignedTo': 'Robot', 'sliderValue': 10}, {'name': 'Wheel_holder', 'assignedTo': 'Robot', 'sliderValue': 10}, {'name': 'Wheel_holder_screws', 'assignedTo': 'Human', 'sliderValue': 0}, {'name': 'Wheel', 'assignedTo': 'Human', 'sliderValue': 0}, {'name': 'Wheel_screw', 'assignedTo': 'Human', 'sliderValue': 0}, {'name': 'Triangle', 'assignedTo': 'Robot', 'sliderValue': 10}, {'name': 'Snap_buttom', 'assignedTo': 'Robot', 'sliderValue': 10}, {'name': 'Snap_middle', 'assignedTo': 'Human', 'sliderValue': 0}, {'name': 'Snap_top', 'assignedTo': 'Human', 'sliderValue': 0}, {'name': 'Museum', 'assignedTo': 'Robot', 'sliderValue': 10}, {'name': 'Inspection', 'assignedTo': 'Human', 'sliderValue': 0}]}</t>
  </si>
  <si>
    <t>2025-09-12 17:32:14.800</t>
  </si>
  <si>
    <t>2025-09-12 17:32:16.963</t>
  </si>
  <si>
    <t>2025-09-12 17:32:31.650</t>
  </si>
  <si>
    <t>2025-09-12 17:32:43.221</t>
  </si>
  <si>
    <t>2025-09-12 17:32:52.178</t>
  </si>
  <si>
    <t>2025-09-12 17:33:07.641</t>
  </si>
  <si>
    <t>2025-09-12 17:33:11.143</t>
  </si>
  <si>
    <t>2025-09-12 17:33:12.508</t>
  </si>
  <si>
    <t>2025-09-12 17:33:19.279</t>
  </si>
  <si>
    <t>2025-09-12 17:33:23.830</t>
  </si>
  <si>
    <t>2025-09-12 17:33:28.095</t>
  </si>
  <si>
    <t>2025-09-12 17:33:34.572</t>
  </si>
  <si>
    <t>2025-09-12 17:33:41.497</t>
  </si>
  <si>
    <t>2025-09-12 17:33:44.006</t>
  </si>
  <si>
    <t>2025-09-12 17:33:58.401</t>
  </si>
  <si>
    <t>2025-09-12 17:34:16.778</t>
  </si>
  <si>
    <t>2025-09-12 17:34:21.198</t>
  </si>
  <si>
    <t>2025-09-12 17:34:31.507</t>
  </si>
  <si>
    <t>2025-09-12 17:34:35.964</t>
  </si>
  <si>
    <t>2025-09-12 17:34:36.953</t>
  </si>
  <si>
    <t>2025-09-12 17:34:37.926</t>
  </si>
  <si>
    <t>P378</t>
  </si>
  <si>
    <t>2025-09-15 11:50:01.299</t>
  </si>
  <si>
    <t>2025-09-15 11:50:01.801</t>
  </si>
  <si>
    <t>2025-09-15 11:50:18.913</t>
  </si>
  <si>
    <t>2025-09-15 11:50:19.004</t>
  </si>
  <si>
    <t>2025-09-15 11:50:19.093</t>
  </si>
  <si>
    <t>2025-09-15 11:50:19.186</t>
  </si>
  <si>
    <t>2025-09-15 11:50:19.288</t>
  </si>
  <si>
    <t>2025-09-15 11:50:19.361</t>
  </si>
  <si>
    <t>2025-09-15 11:50:19.434</t>
  </si>
  <si>
    <t>2025-09-15 11:50:19.489</t>
  </si>
  <si>
    <t>2025-09-15 11:50:19.562</t>
  </si>
  <si>
    <t>2025-09-15 11:50:19.639</t>
  </si>
  <si>
    <t>2025-09-15 11:50:19.704</t>
  </si>
  <si>
    <t>2025-09-15 11:50:19.766</t>
  </si>
  <si>
    <t>2025-09-15 11:50:19.830</t>
  </si>
  <si>
    <t>2025-09-15 11:50:19.899</t>
  </si>
  <si>
    <t>2025-09-15 11:50:19.987</t>
  </si>
  <si>
    <t>2025-09-15 11:50:20.072</t>
  </si>
  <si>
    <t>2025-09-15 11:50:20.153</t>
  </si>
  <si>
    <t>2025-09-15 11:50:20.234</t>
  </si>
  <si>
    <t>2025-09-15 11:50:20.281</t>
  </si>
  <si>
    <t>2025-09-15 11:50:20.355</t>
  </si>
  <si>
    <t>2025-09-15 11:50:20.416</t>
  </si>
  <si>
    <t>2025-09-15 11:50:21.377</t>
  </si>
  <si>
    <t>2025-09-15 11:50:39.038</t>
  </si>
  <si>
    <t>2025-09-15 11:50:39.999</t>
  </si>
  <si>
    <t>2025-09-15 11:50:41.619</t>
  </si>
  <si>
    <t>2025-09-15 11:50:46.449</t>
  </si>
  <si>
    <t>2025-09-15 11:50:47.741</t>
  </si>
  <si>
    <t>2025-09-15 11:50:54.954</t>
  </si>
  <si>
    <t>2025-09-15 11:50:56.199</t>
  </si>
  <si>
    <t>2025-09-15 11:51:08.184</t>
  </si>
  <si>
    <t>2025-09-15 11:51:15.744</t>
  </si>
  <si>
    <t>2025-09-15 11:51:16.996</t>
  </si>
  <si>
    <t>2025-09-15 11:51:26.839</t>
  </si>
  <si>
    <t>2025-09-15 11:51:44.494</t>
  </si>
  <si>
    <t>2025-09-15 11:51:54.142</t>
  </si>
  <si>
    <t>2025-09-15 11:52:00.002</t>
  </si>
  <si>
    <t>2025-09-15 11:52:00.068</t>
  </si>
  <si>
    <t>2025-09-15 11:52:15.368</t>
  </si>
  <si>
    <t>2025-09-15 11:52:22.844</t>
  </si>
  <si>
    <t>2025-09-15 11:52:31.681</t>
  </si>
  <si>
    <t>2025-09-15 11:52:41.365</t>
  </si>
  <si>
    <t>2025-09-15 11:52:50.096</t>
  </si>
  <si>
    <t>2025-09-15 11:53:07.779</t>
  </si>
  <si>
    <t>2025-09-15 11:53:14.210</t>
  </si>
  <si>
    <t>2025-09-15 11:53:23.291</t>
  </si>
  <si>
    <t>2025-09-15 11:53:26.644</t>
  </si>
  <si>
    <t>2025-09-15 11:53:36.559</t>
  </si>
  <si>
    <t>2025-09-15 11:53:40.262</t>
  </si>
  <si>
    <t>2025-09-15 11:53:42.964</t>
  </si>
  <si>
    <t>2025-09-15 11:53:51.987</t>
  </si>
  <si>
    <t>2025-09-15 11:54:01.712</t>
  </si>
  <si>
    <t>2025-09-15 11:54:02.650</t>
  </si>
  <si>
    <t>P379</t>
  </si>
  <si>
    <t>2025-09-15 11:54:12.701</t>
  </si>
  <si>
    <t>2025-09-15 11:54:12.852</t>
  </si>
  <si>
    <t>{'previousAllocations': [{'name': 'Hospital_base', 'assignedTo': 'Robot', 'sliderValue': 10}, {'name': 'Hospital_big_top', 'assignedTo': 'Robot', 'sliderValue': 10}, {'name': 'Hospital_small_top', 'assignedTo': 'Robot', 'sliderValue': 10}, {'name': 'Hospital_screws', 'assignedTo': 'Human', 'sliderValue': 0}, {'name': 'Bridge_triangle_roof', 'assignedTo': 'Robot', 'sliderValue': 10}, {'name': 'Bridge_flat_roof', 'assignedTo': 'Robot', 'sliderValue': 10}, {'name': 'Bridge rod placement', 'assignedTo': 'Human', 'sliderValue': 0}, {'name': 'Dovetail_buttom', 'assignedTo': 'Robot', 'sliderValue': 10}, {'name': 'Dovetail_top', 'assignedTo': 'Human', 'sliderValue': 0}, {'name': 'Wheel_holder', 'assignedTo': 'Robot', 'sliderValue': 10}, {'name': 'Wheel_holder_screws', 'assignedTo': 'Human', 'sliderValue': 0}, {'name': 'Wheel', 'assignedTo': 'Human', 'sliderValue': 0}, {'name': 'Wheel_screw', 'assignedTo': 'Human', 'sliderValue': 0}, {'name': 'Triangle', 'assignedTo': 'Robot', 'sliderValue': 10}, {'name': 'Snap_buttom', 'assignedTo': 'Human', 'sliderValue': 0}, {'name': 'Snap_middle', 'assignedTo': 'Human', 'sliderValue': 0}, {'name': 'Snap_top', 'assignedTo': 'Human', 'sliderValue': 0}, {'name': 'Museum', 'assignedTo': 'Robot', 'sliderValue': 10}, {'name': 'Inspection', 'assignedTo': 'Human', 'sliderValue': 0}]}</t>
  </si>
  <si>
    <t>2025-09-15 11:54:27.327</t>
  </si>
  <si>
    <t>2025-09-15 11:54:58.249</t>
  </si>
  <si>
    <t>2025-09-15 11:55:05.620</t>
  </si>
  <si>
    <t>2025-09-15 11:55:20.342</t>
  </si>
  <si>
    <t>2025-09-15 11:55:35.003</t>
  </si>
  <si>
    <t>2025-09-15 11:55:39.521</t>
  </si>
  <si>
    <t>2025-09-15 11:55:44.350</t>
  </si>
  <si>
    <t>2025-09-15 11:55:58.797</t>
  </si>
  <si>
    <t>2025-09-15 11:55:59.761</t>
  </si>
  <si>
    <t>2025-09-15 11:56:17.306</t>
  </si>
  <si>
    <t>2025-09-15 11:56:23.439</t>
  </si>
  <si>
    <t>2025-09-15 11:56:30.736</t>
  </si>
  <si>
    <t>2025-09-15 11:56:32.770</t>
  </si>
  <si>
    <t>2025-09-15 11:56:36.912</t>
  </si>
  <si>
    <t>2025-09-15 11:56:43.623</t>
  </si>
  <si>
    <t>2025-09-15 11:56:47.551</t>
  </si>
  <si>
    <t>2025-09-15 11:56:55.818</t>
  </si>
  <si>
    <t>2025-09-15 11:57:03.782</t>
  </si>
  <si>
    <t>2025-09-15 11:57:05.615</t>
  </si>
  <si>
    <t>2025-09-15 11:57:16.926</t>
  </si>
  <si>
    <t>2025-09-15 11:57:24.366</t>
  </si>
  <si>
    <t>2025-09-15 11:57:24.425</t>
  </si>
  <si>
    <t>P380</t>
  </si>
  <si>
    <t>2025-09-15 12:00:15.994</t>
  </si>
  <si>
    <t>2025-09-15 12:00:16.500</t>
  </si>
  <si>
    <t>2025-09-15 12:00:32.442</t>
  </si>
  <si>
    <t>2025-09-15 12:00:38.524</t>
  </si>
  <si>
    <t>2025-09-15 12:00:39.310</t>
  </si>
  <si>
    <t>2025-09-15 12:00:40.271</t>
  </si>
  <si>
    <t>2025-09-15 12:00:46.121</t>
  </si>
  <si>
    <t>2025-09-15 12:00:46.864</t>
  </si>
  <si>
    <t>2025-09-15 12:00:49.910</t>
  </si>
  <si>
    <t>2025-09-15 12:00:50.817</t>
  </si>
  <si>
    <t>2025-09-15 12:00:53.301</t>
  </si>
  <si>
    <t>2025-09-15 12:00:56.388</t>
  </si>
  <si>
    <t>2025-09-15 12:01:03.970</t>
  </si>
  <si>
    <t>2025-09-15 12:01:11.464</t>
  </si>
  <si>
    <t>2025-09-15 12:01:29.054</t>
  </si>
  <si>
    <t>2025-09-15 12:01:31.677</t>
  </si>
  <si>
    <t>2025-09-15 12:01:42.358</t>
  </si>
  <si>
    <t>2025-09-15 12:01:44.468</t>
  </si>
  <si>
    <t>2025-09-15 12:01:52.037</t>
  </si>
  <si>
    <t>2025-09-15 12:01:59.056</t>
  </si>
  <si>
    <t>2025-09-15 12:01:59.941</t>
  </si>
  <si>
    <t>2025-09-15 12:02:02.487</t>
  </si>
  <si>
    <t>2025-09-15 12:02:16.224</t>
  </si>
  <si>
    <t>2025-09-15 12:02:24.858</t>
  </si>
  <si>
    <t>2025-09-15 12:02:34.642</t>
  </si>
  <si>
    <t>2025-09-15 12:02:44.969</t>
  </si>
  <si>
    <t>2025-09-15 12:02:52.282</t>
  </si>
  <si>
    <t>2025-09-15 12:02:54.747</t>
  </si>
  <si>
    <t>{'question': '17 × 3 = ?', 'answer': '41'}</t>
  </si>
  <si>
    <t>2025-09-15 12:03:07.697</t>
  </si>
  <si>
    <t>2025-09-15 12:03:11.506</t>
  </si>
  <si>
    <t>2025-09-15 12:03:15.222</t>
  </si>
  <si>
    <t>2025-09-15 12:03:24.656</t>
  </si>
  <si>
    <t>2025-09-15 12:03:28.187</t>
  </si>
  <si>
    <t>2025-09-15 12:03:31.622</t>
  </si>
  <si>
    <t>2025-09-15 12:03:40.232</t>
  </si>
  <si>
    <t>2025-09-15 12:03:40.434</t>
  </si>
  <si>
    <t>2025-09-15 12:03:43.148</t>
  </si>
  <si>
    <t>2025-09-15 12:03:49.168</t>
  </si>
  <si>
    <t>2025-09-15 12:03:54.357</t>
  </si>
  <si>
    <t>2025-09-15 12:03:57.166</t>
  </si>
  <si>
    <t>2025-09-15 12:04:00.552</t>
  </si>
  <si>
    <t>2025-09-15 12:04:18.468</t>
  </si>
  <si>
    <t>2025-09-15 12:04:20.306</t>
  </si>
  <si>
    <t>2025-09-15 12:04:27.368</t>
  </si>
  <si>
    <t>P381</t>
  </si>
  <si>
    <t>2025-09-15 12:04:38.360</t>
  </si>
  <si>
    <t>2025-09-15 12:04:38.500</t>
  </si>
  <si>
    <t>2025-09-15 12:04:52.964</t>
  </si>
  <si>
    <t>2025-09-15 12:05:51.269</t>
  </si>
  <si>
    <t>2025-09-15 12:06:11.072</t>
  </si>
  <si>
    <t>2025-09-15 12:06:11.417</t>
  </si>
  <si>
    <t>2025-09-15 12:06:17.308</t>
  </si>
  <si>
    <t>2025-09-15 12:06:30.203</t>
  </si>
  <si>
    <t>2025-09-15 12:06:37.430</t>
  </si>
  <si>
    <t>2025-09-15 12:06:44.055</t>
  </si>
  <si>
    <t>2025-09-15 12:06:48.679</t>
  </si>
  <si>
    <t>2025-09-15 12:07:01.035</t>
  </si>
  <si>
    <t>2025-09-15 12:07:02.693</t>
  </si>
  <si>
    <t>2025-09-15 12:07:04.194</t>
  </si>
  <si>
    <t>2025-09-15 12:07:18.138</t>
  </si>
  <si>
    <t>2025-09-15 12:07:18.803</t>
  </si>
  <si>
    <t>2025-09-15 12:07:31.059</t>
  </si>
  <si>
    <t>2025-09-15 12:07:32.954</t>
  </si>
  <si>
    <t>2025-09-15 12:07:37.260</t>
  </si>
  <si>
    <t>2025-09-15 12:07:38.920</t>
  </si>
  <si>
    <t>2025-09-15 12:07:46.594</t>
  </si>
  <si>
    <t>2025-09-15 12:07:49.135</t>
  </si>
  <si>
    <t>2025-09-15 12:07:56.722</t>
  </si>
  <si>
    <t>2025-09-15 12:08:06.700</t>
  </si>
  <si>
    <t>2025-09-15 12:08:06.797</t>
  </si>
  <si>
    <t>2025-09-15 12:08:23.662</t>
  </si>
  <si>
    <t>2025-09-15 12:08:37.356</t>
  </si>
  <si>
    <t>2025-09-15 12:08:39.166</t>
  </si>
  <si>
    <t>2025-09-15 12:08:39.466</t>
  </si>
  <si>
    <t>2025-09-15 12:08:47.701</t>
  </si>
  <si>
    <t>2025-09-15 12:08:52.718</t>
  </si>
  <si>
    <t>2025-09-15 12:08:57.468</t>
  </si>
  <si>
    <t>2025-09-15 12:08:59.785</t>
  </si>
  <si>
    <t>2025-09-15 12:09:11.751</t>
  </si>
  <si>
    <t>{'question': '14 + 28 + 2 = ?', 'answer': '40'}</t>
  </si>
  <si>
    <t>2025-09-15 12:09:26.226</t>
  </si>
  <si>
    <t>2025-09-15 12:09:27.428</t>
  </si>
  <si>
    <t>P387</t>
  </si>
  <si>
    <t>2025-09-15 13:44:56.646</t>
  </si>
  <si>
    <t>2025-09-15 13:44:57.155</t>
  </si>
  <si>
    <t>2025-09-15 13:45:16.971</t>
  </si>
  <si>
    <t>2025-09-15 13:45:18.058</t>
  </si>
  <si>
    <t>2025-09-15 13:45:19.339</t>
  </si>
  <si>
    <t>2025-09-15 13:45:20.375</t>
  </si>
  <si>
    <t>2025-09-15 13:45:26.420</t>
  </si>
  <si>
    <t>2025-09-15 13:45:30.864</t>
  </si>
  <si>
    <t>2025-09-15 13:45:31.918</t>
  </si>
  <si>
    <t>2025-09-15 13:45:38.488</t>
  </si>
  <si>
    <t>2025-09-15 13:45:46.797</t>
  </si>
  <si>
    <t>2025-09-15 13:45:57.335</t>
  </si>
  <si>
    <t>2025-09-15 13:46:03.689</t>
  </si>
  <si>
    <t>2025-09-15 13:46:07.626</t>
  </si>
  <si>
    <t>2025-09-15 13:46:10.982</t>
  </si>
  <si>
    <t>2025-09-15 13:46:29.136</t>
  </si>
  <si>
    <t>2025-09-15 13:46:33.854</t>
  </si>
  <si>
    <t>2025-09-15 13:46:33.919</t>
  </si>
  <si>
    <t>2025-09-15 13:46:39.344</t>
  </si>
  <si>
    <t>2025-09-15 13:46:50.088</t>
  </si>
  <si>
    <t>2025-09-15 13:46:56.954</t>
  </si>
  <si>
    <t>2025-09-15 13:46:59.178</t>
  </si>
  <si>
    <t>2025-09-15 13:46:59.511</t>
  </si>
  <si>
    <t>2025-09-15 13:47:12.436</t>
  </si>
  <si>
    <t>2025-09-15 13:47:14.815</t>
  </si>
  <si>
    <t>2025-09-15 13:47:26.201</t>
  </si>
  <si>
    <t>2025-09-15 13:47:27.187</t>
  </si>
  <si>
    <t>2025-09-15 13:47:34.925</t>
  </si>
  <si>
    <t>2025-09-15 13:47:42.626</t>
  </si>
  <si>
    <t>{'question': '95 - 36 + 7 = ?', 'answer': '59'}</t>
  </si>
  <si>
    <t>2025-09-15 13:47:44.832</t>
  </si>
  <si>
    <t>2025-09-15 13:48:00.256</t>
  </si>
  <si>
    <t>2025-09-15 13:48:03.309</t>
  </si>
  <si>
    <t>2025-09-15 13:48:13.647</t>
  </si>
  <si>
    <t>2025-09-15 13:48:17.187</t>
  </si>
  <si>
    <t>2025-09-15 13:48:23.426</t>
  </si>
  <si>
    <t>2025-09-15 13:48:31.593</t>
  </si>
  <si>
    <t>2025-09-15 13:48:34.102</t>
  </si>
  <si>
    <t>2025-09-15 13:48:36.178</t>
  </si>
  <si>
    <t>2025-09-15 13:48:51.108</t>
  </si>
  <si>
    <t>2025-09-15 13:48:51.703</t>
  </si>
  <si>
    <t>2025-09-15 13:48:55.448</t>
  </si>
  <si>
    <t>2025-09-15 13:49:05.996</t>
  </si>
  <si>
    <t>2025-09-15 13:49:10.952</t>
  </si>
  <si>
    <t>2025-09-15 13:49:12.406</t>
  </si>
  <si>
    <t>2025-09-15 13:49:19.859</t>
  </si>
  <si>
    <t>2025-09-15 13:49:21.535</t>
  </si>
  <si>
    <t>2025-09-15 13:49:22.567</t>
  </si>
  <si>
    <t>P388</t>
  </si>
  <si>
    <t>2025-09-15 13:49:29.998</t>
  </si>
  <si>
    <t>2025-09-15 13:49:30.137</t>
  </si>
  <si>
    <t>{'previousAllocations': [{'name': 'Hospital_base', 'assignedTo': 'Robot', 'sliderValue': 10}, {'name': 'Hospital_big_top', 'assignedTo': 'Robot', 'sliderValue': 9}, {'name': 'Hospital_small_top', 'assignedTo': 'Human', 'sliderValue': 2}, {'name': 'Hospital_screws', 'assignedTo': 'Human', 'sliderValue': 0}, {'name': 'Bridge_triangle_roof', 'assignedTo': 'Human', 'sliderValue': 2}, {'name': 'Bridge_flat_roof', 'assignedTo': 'Robot', 'sliderValue': 9}, {'name': 'Bridge rod placement', 'assignedTo': 'Human', 'sliderValue': 0}, {'name': 'Dovetail_buttom', 'assignedTo': 'Robot', 'sliderValue': 9}, {'name': 'Dovetail_top', 'assignedTo': 'Robot', 'sliderValue': 8}, {'name': 'Wheel_holder', 'assignedTo': 'Robot', 'sliderValue': 8}, {'name': 'Wheel_holder_screws', 'assignedTo': 'Human', 'sliderValue': 0}, {'name': 'Wheel', 'assignedTo': 'Human', 'sliderValue': 0}, {'name': 'Wheel_screw', 'assignedTo': 'Human', 'sliderValue': 0}, {'name': 'Triangle', 'assignedTo': 'Robot', 'sliderValue': 8}, {'name': 'Snap_buttom', 'assignedTo': 'Robot', 'sliderValue': 9}, {'name': 'Snap_middle', 'assignedTo': 'Human', 'sliderValue': 0}, {'name': 'Snap_top', 'assignedTo': 'Human', 'sliderValue': 0}, {'name': 'Museum', 'assignedTo': 'Robot', 'sliderValue': 9}, {'name': 'Inspection', 'assignedTo': 'Human', 'sliderValue': 0}]}</t>
  </si>
  <si>
    <t>2025-09-15 13:49:44.292</t>
  </si>
  <si>
    <t>2025-09-15 13:50:20.699</t>
  </si>
  <si>
    <t>2025-09-15 13:50:32.390</t>
  </si>
  <si>
    <t>2025-09-15 13:50:36.011</t>
  </si>
  <si>
    <t>2025-09-15 13:50:40.831</t>
  </si>
  <si>
    <t>2025-09-15 13:50:53.835</t>
  </si>
  <si>
    <t>2025-09-15 13:50:55.069</t>
  </si>
  <si>
    <t>2025-09-15 13:50:56.139</t>
  </si>
  <si>
    <t>2025-09-15 13:51:13.465</t>
  </si>
  <si>
    <t>2025-09-15 13:51:13.958</t>
  </si>
  <si>
    <t>2025-09-15 13:51:17.032</t>
  </si>
  <si>
    <t>2025-09-15 13:51:28.081</t>
  </si>
  <si>
    <t>2025-09-15 13:51:29.597</t>
  </si>
  <si>
    <t>2025-09-15 13:51:30.289</t>
  </si>
  <si>
    <t>2025-09-15 13:51:47.269</t>
  </si>
  <si>
    <t>2025-09-15 13:51:48.183</t>
  </si>
  <si>
    <t>2025-09-15 13:51:53.635</t>
  </si>
  <si>
    <t>2025-09-15 13:52:01.979</t>
  </si>
  <si>
    <t>2025-09-15 13:52:12.649</t>
  </si>
  <si>
    <t>2025-09-15 13:52:13.764</t>
  </si>
  <si>
    <t>2025-09-15 13:52:19.196</t>
  </si>
  <si>
    <t>2025-09-15 13:52:22.498</t>
  </si>
  <si>
    <t>2025-09-15 13:52:35.981</t>
  </si>
  <si>
    <t>2025-09-15 13:52:36.742</t>
  </si>
  <si>
    <t>2025-09-15 13:52:39.293</t>
  </si>
  <si>
    <t>2025-09-15 13:52:39.343</t>
  </si>
  <si>
    <t>2025-09-15 13:52:48.047</t>
  </si>
  <si>
    <t>2025-09-15 13:52:54.813</t>
  </si>
  <si>
    <t>2025-09-15 13:53:01.650</t>
  </si>
  <si>
    <t>2025-09-15 13:53:02.596</t>
  </si>
  <si>
    <t>2025-09-15 13:53:03.508</t>
  </si>
  <si>
    <t>P389</t>
  </si>
  <si>
    <t>2025-09-15 13:55:30.953</t>
  </si>
  <si>
    <t>2025-09-15 13:55:31.454</t>
  </si>
  <si>
    <t>2025-09-15 13:55:45.081</t>
  </si>
  <si>
    <t>2025-09-15 13:55:45.146</t>
  </si>
  <si>
    <t>2025-09-15 13:55:45.225</t>
  </si>
  <si>
    <t>2025-09-15 13:55:45.313</t>
  </si>
  <si>
    <t>2025-09-15 13:55:45.385</t>
  </si>
  <si>
    <t>2025-09-15 13:55:45.439</t>
  </si>
  <si>
    <t>2025-09-15 13:55:45.643</t>
  </si>
  <si>
    <t>2025-09-15 13:55:46.657</t>
  </si>
  <si>
    <t>2025-09-15 13:56:00.877</t>
  </si>
  <si>
    <t>2025-09-15 13:56:07.477</t>
  </si>
  <si>
    <t>2025-09-15 13:56:09.743</t>
  </si>
  <si>
    <t>2025-09-15 13:56:10.478</t>
  </si>
  <si>
    <t>2025-09-15 13:56:17.245</t>
  </si>
  <si>
    <t>2025-09-15 13:56:19.679</t>
  </si>
  <si>
    <t>2025-09-15 13:56:21.743</t>
  </si>
  <si>
    <t>2025-09-15 13:56:26.407</t>
  </si>
  <si>
    <t>2025-09-15 13:56:28.727</t>
  </si>
  <si>
    <t>2025-09-15 13:56:30.150</t>
  </si>
  <si>
    <t>2025-09-15 13:56:31.867</t>
  </si>
  <si>
    <t>2025-09-15 13:56:36.563</t>
  </si>
  <si>
    <t>2025-09-15 13:56:37.562</t>
  </si>
  <si>
    <t>2025-09-15 13:56:45.630</t>
  </si>
  <si>
    <t>2025-09-15 13:56:49.215</t>
  </si>
  <si>
    <t>2025-09-15 13:57:04.701</t>
  </si>
  <si>
    <t>2025-09-15 13:57:11.473</t>
  </si>
  <si>
    <t>2025-09-15 13:57:18.613</t>
  </si>
  <si>
    <t>2025-09-15 13:57:22.478</t>
  </si>
  <si>
    <t>2025-09-15 13:57:32.129</t>
  </si>
  <si>
    <t>2025-09-15 13:57:36.977</t>
  </si>
  <si>
    <t>2025-09-15 13:57:37.959</t>
  </si>
  <si>
    <t>2025-09-15 13:57:44.639</t>
  </si>
  <si>
    <t>2025-09-15 13:57:50.384</t>
  </si>
  <si>
    <t>2025-09-15 13:57:55.633</t>
  </si>
  <si>
    <t>2025-09-15 13:58:04.771</t>
  </si>
  <si>
    <t>2025-09-15 13:58:12.504</t>
  </si>
  <si>
    <t>2025-09-15 13:58:17.317</t>
  </si>
  <si>
    <t>2025-09-15 13:58:18.991</t>
  </si>
  <si>
    <t>2025-09-15 13:58:24.109</t>
  </si>
  <si>
    <t>2025-09-15 13:58:31.815</t>
  </si>
  <si>
    <t>2025-09-15 13:58:32.506</t>
  </si>
  <si>
    <t>2025-09-15 13:58:33.822</t>
  </si>
  <si>
    <t>2025-09-15 13:58:34.901</t>
  </si>
  <si>
    <t>P390</t>
  </si>
  <si>
    <t>2025-09-15 13:58:46.339</t>
  </si>
  <si>
    <t>2025-09-15 13:58:46.487</t>
  </si>
  <si>
    <t>2025-09-15 13:59:00.781</t>
  </si>
  <si>
    <t>2025-09-15 13:59:15.163</t>
  </si>
  <si>
    <t>2025-09-15 13:59:34.894</t>
  </si>
  <si>
    <t>2025-09-15 13:59:39.398</t>
  </si>
  <si>
    <t>2025-09-15 13:59:43.006</t>
  </si>
  <si>
    <t>2025-09-15 13:59:50.380</t>
  </si>
  <si>
    <t>2025-09-15 13:59:54.955</t>
  </si>
  <si>
    <t>2025-09-15 13:59:59.033</t>
  </si>
  <si>
    <t>2025-09-15 14:00:06.170</t>
  </si>
  <si>
    <t>2025-09-15 14:00:06.554</t>
  </si>
  <si>
    <t>2025-09-15 14:00:13.178</t>
  </si>
  <si>
    <t>2025-09-15 14:00:20.658</t>
  </si>
  <si>
    <t>2025-09-15 14:00:36.363</t>
  </si>
  <si>
    <t>2025-09-15 14:00:38.251</t>
  </si>
  <si>
    <t>2025-09-15 14:00:56.541</t>
  </si>
  <si>
    <t>2025-09-15 14:00:58.926</t>
  </si>
  <si>
    <t>2025-09-15 14:00:59.593</t>
  </si>
  <si>
    <t>2025-09-15 14:01:06.154</t>
  </si>
  <si>
    <t>2025-09-15 14:01:06.995</t>
  </si>
  <si>
    <t>2025-09-15 14:01:09.600</t>
  </si>
  <si>
    <t>2025-09-15 14:01:10.628</t>
  </si>
  <si>
    <t>P8</t>
  </si>
  <si>
    <t>2025-09-16 11:33:20.044</t>
  </si>
  <si>
    <t>2025-09-16 11:33:20.547</t>
  </si>
  <si>
    <t>2025-09-16 11:34:03.593</t>
  </si>
  <si>
    <t>2025-09-16 11:34:04.596</t>
  </si>
  <si>
    <t>2025-09-16 11:34:04.961</t>
  </si>
  <si>
    <t>2025-09-16 11:34:05.262</t>
  </si>
  <si>
    <t>2025-09-16 11:34:06.526</t>
  </si>
  <si>
    <t>2025-09-16 11:34:06.934</t>
  </si>
  <si>
    <t>2025-09-16 11:34:07.751</t>
  </si>
  <si>
    <t>2025-09-16 11:34:08.141</t>
  </si>
  <si>
    <t>2025-09-16 11:34:09.972</t>
  </si>
  <si>
    <t>2025-09-16 11:34:21.477</t>
  </si>
  <si>
    <t>2025-09-16 11:34:22.409</t>
  </si>
  <si>
    <t>2025-09-16 11:34:47.031</t>
  </si>
  <si>
    <t>2025-09-16 11:34:53.894</t>
  </si>
  <si>
    <t>2025-09-16 11:34:54.688</t>
  </si>
  <si>
    <t>2025-09-16 11:34:59.970</t>
  </si>
  <si>
    <t>2025-09-16 11:35:19.111</t>
  </si>
  <si>
    <t>2025-09-16 11:35:36.763</t>
  </si>
  <si>
    <t>2025-09-16 11:35:45.579</t>
  </si>
  <si>
    <t>2025-09-16 11:35:46.728</t>
  </si>
  <si>
    <t>2025-09-16 11:35:52.334</t>
  </si>
  <si>
    <t>2025-09-16 11:36:07.262</t>
  </si>
  <si>
    <t>2025-09-16 11:36:10.454</t>
  </si>
  <si>
    <t>2025-09-16 11:36:23.606</t>
  </si>
  <si>
    <t>2025-09-16 11:36:32.094</t>
  </si>
  <si>
    <t>2025-09-16 11:36:42.119</t>
  </si>
  <si>
    <t>2025-09-16 11:36:59.813</t>
  </si>
  <si>
    <t>2025-09-16 11:37:16.752</t>
  </si>
  <si>
    <t>2025-09-16 11:37:23.647</t>
  </si>
  <si>
    <t>2025-09-16 11:37:32.243</t>
  </si>
  <si>
    <t>2025-09-16 11:37:35.906</t>
  </si>
  <si>
    <t>2025-09-16 11:37:36.390</t>
  </si>
  <si>
    <t>2025-09-16 11:37:42.010</t>
  </si>
  <si>
    <t>2025-09-16 11:37:42.409</t>
  </si>
  <si>
    <t>2025-09-16 11:37:46.700</t>
  </si>
  <si>
    <t>2025-09-16 11:37:48.490</t>
  </si>
  <si>
    <t>P9</t>
  </si>
  <si>
    <t>2025-09-16 11:37:59.056</t>
  </si>
  <si>
    <t>2025-09-16 11:37:59.190</t>
  </si>
  <si>
    <t>{'previousAllocations': [{'name': 'Hospital_base', 'assignedTo': 'Robot', 'sliderValue': 10}, {'name': 'Hospital_big_top', 'assignedTo': 'Robot', 'sliderValue': 10}, {'name': 'Hospital_small_top', 'assignedTo': 'Robot', 'sliderValue': 10}, {'name': 'Hospital_screws', 'assignedTo': 'Human', 'sliderValue': 0}, {'name': 'Bridge_triangle_roof', 'assignedTo': 'Robot', 'sliderValue': 10}, {'name': 'Bridge_flat_roof', 'assignedTo': 'Robot', 'sliderValue': 10}, {'name': 'Bridge rod placement', 'assignedTo': 'Human', 'sliderValue': 0}, {'name': 'Dovetail_buttom', 'assignedTo': 'Human', 'sliderValue': 0}, {'name': 'Dovetail_top', 'assignedTo': 'Human', 'sliderValue': 0}, {'name': 'Wheel_holder', 'assignedTo': 'Robot', 'sliderValue': 10}, {'name': 'Wheel_holder_screws', 'assignedTo': 'Human', 'sliderValue': 0}, {'name': 'Wheel', 'assignedTo': 'Human', 'sliderValue': 0}, {'name': 'Wheel_screw', 'assignedTo': 'Human', 'sliderValue': 0}, {'name': 'Triangle', 'assignedTo': 'Robot', 'sliderValue': 6}, {'name': 'Snap_buttom', 'assignedTo': 'Robot', 'sliderValue': 10}, {'name': 'Snap_middle', 'assignedTo': 'Human', 'sliderValue': 0}, {'name': 'Snap_top', 'assignedTo': 'Human', 'sliderValue': 0}, {'name': 'Museum', 'assignedTo': 'Human', 'sliderValue': 0}, {'name': 'Inspection', 'assignedTo': 'Human', 'sliderValue': 0}]}</t>
  </si>
  <si>
    <t>2025-09-16 11:38:13.414</t>
  </si>
  <si>
    <t>2025-09-16 11:38:30.625</t>
  </si>
  <si>
    <t>2025-09-16 11:38:30.884</t>
  </si>
  <si>
    <t>2025-09-16 11:38:31.456</t>
  </si>
  <si>
    <t>2025-09-16 11:38:33.237</t>
  </si>
  <si>
    <t>2025-09-16 11:38:34.017</t>
  </si>
  <si>
    <t>2025-09-16 11:38:35.050</t>
  </si>
  <si>
    <t>2025-09-16 11:38:47.299</t>
  </si>
  <si>
    <t>2025-09-16 11:39:01.985</t>
  </si>
  <si>
    <t>2025-09-16 11:39:13.201</t>
  </si>
  <si>
    <t>2025-09-16 11:39:14.501</t>
  </si>
  <si>
    <t>2025-09-16 11:39:17.497</t>
  </si>
  <si>
    <t>2025-09-16 11:39:26.539</t>
  </si>
  <si>
    <t>2025-09-16 11:39:32.995</t>
  </si>
  <si>
    <t>2025-09-16 11:39:34.477</t>
  </si>
  <si>
    <t>2025-09-16 11:39:38.325</t>
  </si>
  <si>
    <t>2025-09-16 11:39:40.883</t>
  </si>
  <si>
    <t>2025-09-16 11:39:44.546</t>
  </si>
  <si>
    <t>2025-09-16 11:39:53.121</t>
  </si>
  <si>
    <t>2025-09-16 11:39:56.788</t>
  </si>
  <si>
    <t>2025-09-16 11:39:59.214</t>
  </si>
  <si>
    <t>2025-09-16 11:40:02.075</t>
  </si>
  <si>
    <t>2025-09-16 11:40:04.662</t>
  </si>
  <si>
    <t>2025-09-16 11:40:09.277</t>
  </si>
  <si>
    <t>2025-09-16 11:40:12.850</t>
  </si>
  <si>
    <t>2025-09-16 11:40:16.990</t>
  </si>
  <si>
    <t>2025-09-16 11:40:18.012</t>
  </si>
  <si>
    <t>2025-09-16 11:42:22.813</t>
  </si>
  <si>
    <t>2025-09-16 11:42:36.978</t>
  </si>
  <si>
    <t>2025-09-16 11:42:47.741</t>
  </si>
  <si>
    <t>2025-09-16 11:42:48.639</t>
  </si>
  <si>
    <t>2025-09-16 11:42:49.034</t>
  </si>
  <si>
    <t>2025-09-16 11:43:09.914</t>
  </si>
  <si>
    <t>2025-09-16 11:43:10.941</t>
  </si>
  <si>
    <t>2025-09-16 11:43:13.086</t>
  </si>
  <si>
    <t>2025-09-16 11:43:13.701</t>
  </si>
  <si>
    <t>2025-09-16 11:43:14.379</t>
  </si>
  <si>
    <t>2025-09-16 11:43:14.462</t>
  </si>
  <si>
    <t>2025-09-16 11:43:14.518</t>
  </si>
  <si>
    <t>2025-09-16 11:43:14.588</t>
  </si>
  <si>
    <t>2025-09-16 11:43:14.649</t>
  </si>
  <si>
    <t>2025-09-16 11:43:23.374</t>
  </si>
  <si>
    <t>2025-09-16 11:43:25.161</t>
  </si>
  <si>
    <t>2025-09-16 11:43:27.669</t>
  </si>
  <si>
    <t>2025-09-16 11:43:54.981</t>
  </si>
  <si>
    <t>2025-09-16 11:43:58.544</t>
  </si>
  <si>
    <t>2025-09-16 11:44:00.313</t>
  </si>
  <si>
    <t>2025-09-16 11:44:00.798</t>
  </si>
  <si>
    <t>2025-09-16 11:44:10.546</t>
  </si>
  <si>
    <t>2025-09-16 11:44:28.222</t>
  </si>
  <si>
    <t>2025-09-16 11:44:30.761</t>
  </si>
  <si>
    <t>2025-09-16 11:44:37.329</t>
  </si>
  <si>
    <t>2025-09-16 11:44:46.708</t>
  </si>
  <si>
    <t>2025-09-16 11:44:51.976</t>
  </si>
  <si>
    <t>2025-09-16 11:44:52.858</t>
  </si>
  <si>
    <t>2025-09-16 11:44:53.564</t>
  </si>
  <si>
    <t>2025-09-16 11:44:57.449</t>
  </si>
  <si>
    <t>2025-09-16 11:45:04.406</t>
  </si>
  <si>
    <t>2025-09-16 11:45:05.945</t>
  </si>
  <si>
    <t>{'question': '64 ÷ 8 = ?', 'answer': '7'}</t>
  </si>
  <si>
    <t>2025-09-16 11:45:13.659</t>
  </si>
  <si>
    <t>2025-09-16 11:45:19.917</t>
  </si>
  <si>
    <t>2025-09-16 11:45:20.400</t>
  </si>
  <si>
    <t>2025-09-16 11:45:22.398</t>
  </si>
  <si>
    <t>2025-09-16 11:45:33.793</t>
  </si>
  <si>
    <t>2025-09-16 11:45:35.493</t>
  </si>
  <si>
    <t>2025-09-16 11:45:40.457</t>
  </si>
  <si>
    <t>2025-09-16 11:45:46.304</t>
  </si>
  <si>
    <t>2025-09-16 11:45:46.446</t>
  </si>
  <si>
    <t>2025-09-16 11:45:51.014</t>
  </si>
  <si>
    <t>2025-09-16 11:45:58.611</t>
  </si>
  <si>
    <t>2025-09-16 11:46:00.583</t>
  </si>
  <si>
    <t>2025-09-16 11:46:05.282</t>
  </si>
  <si>
    <t>2025-09-16 11:46:08.300</t>
  </si>
  <si>
    <t>2025-09-16 11:46:15.375</t>
  </si>
  <si>
    <t>2025-09-16 11:46:19.386</t>
  </si>
  <si>
    <t>2025-09-16 11:46:23.361</t>
  </si>
  <si>
    <t>2025-09-16 11:46:25.400</t>
  </si>
  <si>
    <t>2025-09-16 11:46:25.547</t>
  </si>
  <si>
    <t>2025-09-16 11:46:32.628</t>
  </si>
  <si>
    <t>2025-09-16 11:46:45.912</t>
  </si>
  <si>
    <t>2025-09-16 11:46:46.141</t>
  </si>
  <si>
    <t>{'previousAllocations': [{'name': 'Hospital_base', 'assignedTo': 'Robot', 'sliderValue': 10}, {'name': 'Hospital_big_top', 'assignedTo': 'Human', 'sliderValue': 0}, {'name': 'Hospital_small_top', 'assignedTo': 'Human', 'sliderValue': 0}, {'name': 'Hospital_screws', 'assignedTo': 'Human', 'sliderValue': 0}, {'name': 'Bridge_triangle_roof', 'assignedTo': 'Robot', 'sliderValue': 10}, {'name': 'Bridge_flat_roof', 'assignedTo': 'Robot', 'sliderValue': 10}, {'name': 'Bridge rod placement', 'assignedTo': 'Human', 'sliderValue': 0}, {'name': 'Dovetail_buttom', 'assignedTo': 'Robot', 'sliderValue': 10}, {'name': 'Dovetail_top', 'assignedTo': 'Human', 'sliderValue': 0}, {'name': 'Wheel_holder', 'assignedTo': 'Robot', 'sliderValue': 10}, {'name': 'Wheel_holder_screws', 'assignedTo': 'Human', 'sliderValue': 0}, {'name': 'Wheel', 'assignedTo': 'Human', 'sliderValue': 0}, {'name': 'Wheel_screw', 'assignedTo': 'Human', 'sliderValue': 0}, {'name': 'Triangle', 'assignedTo': 'Human', 'sliderValue': 0}, {'name': 'Snap_buttom', 'assignedTo': 'Robot', 'sliderValue': 10}, {'name': 'Snap_middle', 'assignedTo': 'Human', 'sliderValue': 0}, {'name': 'Snap_top', 'assignedTo': 'Human', 'sliderValue': 0}, {'name': 'Museum', 'assignedTo': 'Human', 'sliderValue': 0}, {'name': 'Inspection', 'assignedTo': 'Human', 'sliderValue': 0}]}</t>
  </si>
  <si>
    <t>2025-09-16 11:46:46.647</t>
  </si>
  <si>
    <t>2025-09-16 11:47:18.820</t>
  </si>
  <si>
    <t>2025-09-16 11:47:33.576</t>
  </si>
  <si>
    <t>2025-09-16 11:47:38.971</t>
  </si>
  <si>
    <t>2025-09-16 11:47:45.076</t>
  </si>
  <si>
    <t>2025-09-16 11:47:46.438</t>
  </si>
  <si>
    <t>2025-09-16 11:47:47.065</t>
  </si>
  <si>
    <t>2025-09-16 11:47:49.046</t>
  </si>
  <si>
    <t>2025-09-16 11:47:57.429</t>
  </si>
  <si>
    <t>2025-09-16 11:48:04.591</t>
  </si>
  <si>
    <t>2025-09-16 11:48:05.199</t>
  </si>
  <si>
    <t>2025-09-16 11:48:08.796</t>
  </si>
  <si>
    <t>2025-09-16 11:48:09.869</t>
  </si>
  <si>
    <t>2025-09-16 11:48:23.733</t>
  </si>
  <si>
    <t>2025-09-16 11:48:26.876</t>
  </si>
  <si>
    <t>2025-09-16 11:48:27.823</t>
  </si>
  <si>
    <t>2025-09-16 11:48:28.936</t>
  </si>
  <si>
    <t>2025-09-16 11:48:35.322</t>
  </si>
  <si>
    <t>2025-09-16 11:48:39.973</t>
  </si>
  <si>
    <t>2025-09-16 11:48:47.662</t>
  </si>
  <si>
    <t>2025-09-16 11:48:55.361</t>
  </si>
  <si>
    <t>2025-09-16 11:48:55.514</t>
  </si>
  <si>
    <t>2025-09-16 11:49:05.814</t>
  </si>
  <si>
    <t>2025-09-16 11:49:07.627</t>
  </si>
  <si>
    <t>2025-09-16 11:49:13.234</t>
  </si>
  <si>
    <t>2025-09-16 11:49:18.319</t>
  </si>
  <si>
    <t>2025-09-16 11:49:18.995</t>
  </si>
  <si>
    <t>2025-09-16 11:49:22.634</t>
  </si>
  <si>
    <t>2025-09-16 11:49:23.292</t>
  </si>
  <si>
    <t>2025-09-16 13:35:23.739</t>
  </si>
  <si>
    <t>2025-09-16 13:35:29.667</t>
  </si>
  <si>
    <t>2025-09-16 13:36:29.177</t>
  </si>
  <si>
    <t>2025-09-16 13:36:30.695</t>
  </si>
  <si>
    <t>2025-09-16 13:36:31.343</t>
  </si>
  <si>
    <t>2025-09-16 13:36:32.513</t>
  </si>
  <si>
    <t>2025-09-16 13:36:33.049</t>
  </si>
  <si>
    <t>2025-09-16 13:36:33.962</t>
  </si>
  <si>
    <t>2025-09-16 13:36:39.485</t>
  </si>
  <si>
    <t>2025-09-16 13:36:41.107</t>
  </si>
  <si>
    <t>2025-09-16 13:36:45.564</t>
  </si>
  <si>
    <t>2025-09-16 13:36:46.300</t>
  </si>
  <si>
    <t>2025-09-16 13:36:47.831</t>
  </si>
  <si>
    <t>2025-09-16 13:36:47.950</t>
  </si>
  <si>
    <t>2025-09-16 13:36:49.179</t>
  </si>
  <si>
    <t>2025-09-16 13:36:50.163</t>
  </si>
  <si>
    <t>2025-09-16 13:36:55.397</t>
  </si>
  <si>
    <t>2025-09-16 13:36:57.572</t>
  </si>
  <si>
    <t>2025-09-16 13:37:15.262</t>
  </si>
  <si>
    <t>2025-09-16 13:37:17.710</t>
  </si>
  <si>
    <t>2025-09-16 13:37:26.674</t>
  </si>
  <si>
    <t>2025-09-16 13:37:29.475</t>
  </si>
  <si>
    <t>2025-09-16 13:37:33.738</t>
  </si>
  <si>
    <t>2025-09-16 13:37:35.548</t>
  </si>
  <si>
    <t>2025-09-16 13:37:46.769</t>
  </si>
  <si>
    <t>2025-09-16 13:37:51.415</t>
  </si>
  <si>
    <t>2025-09-16 13:37:53.134</t>
  </si>
  <si>
    <t>2025-09-16 13:38:06.919</t>
  </si>
  <si>
    <t>2025-09-16 13:38:13.253</t>
  </si>
  <si>
    <t>2025-09-16 13:38:20.548</t>
  </si>
  <si>
    <t>2025-09-16 13:38:21.718</t>
  </si>
  <si>
    <t>2025-09-16 13:38:37.437</t>
  </si>
  <si>
    <t>2025-09-16 13:38:37.958</t>
  </si>
  <si>
    <t>2025-09-16 13:38:40.680</t>
  </si>
  <si>
    <t>2025-09-16 13:38:53.440</t>
  </si>
  <si>
    <t>2025-09-16 13:38:53.743</t>
  </si>
  <si>
    <t>2025-09-16 13:38:55.736</t>
  </si>
  <si>
    <t>2025-09-16 13:39:10.379</t>
  </si>
  <si>
    <t>2025-09-16 13:39:13.874</t>
  </si>
  <si>
    <t>2025-09-16 13:39:22.373</t>
  </si>
  <si>
    <t>2025-09-16 13:39:24.890</t>
  </si>
  <si>
    <t>2025-09-16 13:39:27.312</t>
  </si>
  <si>
    <t>2025-09-16 13:39:34.897</t>
  </si>
  <si>
    <t>2025-09-16 13:39:41.631</t>
  </si>
  <si>
    <t>2025-09-16 13:39:42.507</t>
  </si>
  <si>
    <t>2025-09-16 13:39:48.685</t>
  </si>
  <si>
    <t>2025-09-16 13:40:02.236</t>
  </si>
  <si>
    <t>2025-09-16 13:40:04.033</t>
  </si>
  <si>
    <t>2025-09-16 13:40:09.830</t>
  </si>
  <si>
    <t>2025-09-16 13:40:17.591</t>
  </si>
  <si>
    <t>2025-09-16 13:40:17.722</t>
  </si>
  <si>
    <t>{'previousAllocations': [{'name': 'Hospital_base', 'assignedTo': 'Robot', 'sliderValue': 10}, {'name': 'Hospital_big_top', 'assignedTo': 'Robot', 'sliderValue': 10}, {'name': 'Hospital_small_top', 'assignedTo': 'Robot', 'sliderValue': 10}, {'name': 'Hospital_screws', 'assignedTo': 'Human', 'sliderValue': 0}, {'name': 'Bridge_triangle_roof', 'assignedTo': 'Robot', 'sliderValue': 10}, {'name': 'Bridge_flat_roof', 'assignedTo': 'Robot', 'sliderValue': 10}, {'name': 'Bridge rod placement', 'assignedTo': 'Human', 'sliderValue': 0}, {'name': 'Dovetail_buttom', 'assignedTo': 'Robot', 'sliderValue': 10}, {'name': 'Dovetail_top', 'assignedTo': 'Robot', 'sliderValue': 10}, {'name': 'Wheel_holder', 'assignedTo': 'Robot', 'sliderValue': 10}, {'name': 'Wheel_holder_screws', 'assignedTo': 'Human', 'sliderValue': 0}, {'name': 'Wheel', 'assignedTo': 'Human', 'sliderValue': 0}, {'name': 'Wheel_screw', 'assignedTo': 'Human', 'sliderValue': 0}, {'name': 'Triangle', 'assignedTo': 'Robot', 'sliderValue': 10}, {'name': 'Snap_buttom', 'assignedTo': 'Human', 'sliderValue': 0}, {'name': 'Snap_middle', 'assignedTo': 'Human', 'sliderValue': 0}, {'name': 'Snap_top', 'assignedTo': 'Human', 'sliderValue': 0}, {'name': 'Museum', 'assignedTo': 'Robot', 'sliderValue': 10}, {'name': 'Inspection', 'assignedTo': 'Human', 'sliderValue': 0}]}</t>
  </si>
  <si>
    <t>2025-09-16 13:40:32.133</t>
  </si>
  <si>
    <t>2025-09-16 13:40:35.502</t>
  </si>
  <si>
    <t>2025-09-16 13:40:55.331</t>
  </si>
  <si>
    <t>2025-09-16 13:40:55.651</t>
  </si>
  <si>
    <t>2025-09-16 13:41:01.625</t>
  </si>
  <si>
    <t>2025-09-16 13:41:14.514</t>
  </si>
  <si>
    <t>2025-09-16 13:41:21.753</t>
  </si>
  <si>
    <t>2025-09-16 13:41:32.963</t>
  </si>
  <si>
    <t>2025-09-16 13:41:34.093</t>
  </si>
  <si>
    <t>2025-09-16 13:41:43.929</t>
  </si>
  <si>
    <t>2025-09-16 13:41:48.512</t>
  </si>
  <si>
    <t>2025-09-16 13:41:54.220</t>
  </si>
  <si>
    <t>2025-09-16 13:42:00.855</t>
  </si>
  <si>
    <t>2025-09-16 13:42:04.074</t>
  </si>
  <si>
    <t>2025-09-16 13:42:08.421</t>
  </si>
  <si>
    <t>2025-09-16 13:42:20.285</t>
  </si>
  <si>
    <t>2025-09-16 13:42:20.979</t>
  </si>
  <si>
    <t>2025-09-16 13:42:27.058</t>
  </si>
  <si>
    <t>2025-09-16 13:42:38.032</t>
  </si>
  <si>
    <t>2025-09-16 13:42:47.189</t>
  </si>
  <si>
    <t>2025-09-16 13:42:52.051</t>
  </si>
  <si>
    <t>2025-09-16 13:42:54.750</t>
  </si>
  <si>
    <t>2025-09-16 13:43:09.658</t>
  </si>
  <si>
    <t>2025-09-16 13:43:14.860</t>
  </si>
  <si>
    <t>2025-09-16 13:43:26.637</t>
  </si>
  <si>
    <t>{'question': '14 × 7 = ?', 'answer': '88'}</t>
  </si>
  <si>
    <t>2025-09-16 13:43:30.273</t>
  </si>
  <si>
    <t>2025-09-16 13:43:36.730</t>
  </si>
  <si>
    <t>2025-09-16 13:43:38.752</t>
  </si>
  <si>
    <t>2025-09-16 13:43:45.840</t>
  </si>
  <si>
    <t>2025-09-16 13:43:56.848</t>
  </si>
  <si>
    <t>2025-09-16 13:44:04.002</t>
  </si>
  <si>
    <t>2025-09-16 13:44:19.430</t>
  </si>
  <si>
    <t>2025-09-16 13:44:20.332</t>
  </si>
  <si>
    <t>2025-09-16 13:44:20.747</t>
  </si>
  <si>
    <t>2025-09-16 13:44:21.712</t>
  </si>
  <si>
    <t>2025-09-16 13:44:23.088</t>
  </si>
  <si>
    <t>2025-09-16 13:46:14.865</t>
  </si>
  <si>
    <t>2025-09-16 13:46:15.378</t>
  </si>
  <si>
    <t>2025-09-16 13:46:29.376</t>
  </si>
  <si>
    <t>2025-09-16 13:46:29.482</t>
  </si>
  <si>
    <t>2025-09-16 13:46:45.338</t>
  </si>
  <si>
    <t>2025-09-16 13:46:46.487</t>
  </si>
  <si>
    <t>2025-09-16 13:46:47.610</t>
  </si>
  <si>
    <t>2025-09-16 13:46:48.450</t>
  </si>
  <si>
    <t>2025-09-16 13:46:51.955</t>
  </si>
  <si>
    <t>2025-09-16 13:46:53.392</t>
  </si>
  <si>
    <t>2025-09-16 13:46:56.476</t>
  </si>
  <si>
    <t>2025-09-16 13:46:56.593</t>
  </si>
  <si>
    <t>2025-09-16 13:46:56.663</t>
  </si>
  <si>
    <t>2025-09-16 13:47:04.673</t>
  </si>
  <si>
    <t>2025-09-16 13:47:05.865</t>
  </si>
  <si>
    <t>2025-09-16 13:47:07.604</t>
  </si>
  <si>
    <t>2025-09-16 13:47:13.006</t>
  </si>
  <si>
    <t>2025-09-16 13:47:21.376</t>
  </si>
  <si>
    <t>2025-09-16 13:47:28.466</t>
  </si>
  <si>
    <t>2025-09-16 13:47:39.752</t>
  </si>
  <si>
    <t>2025-09-16 13:47:43.917</t>
  </si>
  <si>
    <t>2025-09-16 13:47:45.584</t>
  </si>
  <si>
    <t>2025-09-16 13:48:00.194</t>
  </si>
  <si>
    <t>2025-09-16 13:48:10.012</t>
  </si>
  <si>
    <t>2025-09-16 13:48:18.588</t>
  </si>
  <si>
    <t>2025-09-16 13:48:21.465</t>
  </si>
  <si>
    <t>2025-09-16 13:48:35.576</t>
  </si>
  <si>
    <t>2025-09-16 13:48:38.312</t>
  </si>
  <si>
    <t>2025-09-16 13:48:45.435</t>
  </si>
  <si>
    <t>2025-09-16 13:48:50.575</t>
  </si>
  <si>
    <t>2025-09-16 13:48:51.118</t>
  </si>
  <si>
    <t>2025-09-16 13:48:55.661</t>
  </si>
  <si>
    <t>2025-09-16 13:49:08.782</t>
  </si>
  <si>
    <t>2025-09-16 13:49:25.704</t>
  </si>
  <si>
    <t>2025-09-16 13:49:47.030</t>
  </si>
  <si>
    <t>2025-09-16 13:50:07.903</t>
  </si>
  <si>
    <t>2025-09-16 13:50:16.464</t>
  </si>
  <si>
    <t>2025-09-16 13:50:16.580</t>
  </si>
  <si>
    <t>{'previousAllocations': [{'name': 'Hospital_base', 'assignedTo': 'Robot', 'sliderValue': 10}, {'name': 'Hospital_big_top', 'assignedTo': 'Robot', 'sliderValue': 10}, {'name': 'Hospital_small_top', 'assignedTo': 'Robot', 'sliderValue': 10}, {'name': 'Hospital_screws', 'assignedTo': 'Human', 'sliderValue': 0}, {'name': 'Bridge_triangle_roof', 'assignedTo': 'Robot', 'sliderValue': 10}, {'name': 'Bridge_flat_roof', 'assignedTo': 'Robot', 'sliderValue': 10}, {'name': 'Bridge rod placement', 'assignedTo': 'Human', 'sliderValue': 0}, {'name': 'Dovetail_buttom', 'assignedTo': 'Robot', 'sliderValue': 10}, {'name': 'Dovetail_top', 'assignedTo': 'Robot', 'sliderValue': 10}, {'name': 'Wheel_holder', 'assignedTo': 'Human', 'sliderValue': 0}, {'name': 'Wheel_holder_screws', 'assignedTo': 'Human', 'sliderValue': 0}, {'name': 'Wheel', 'assignedTo': 'Human', 'sliderValue': 0}, {'name': 'Wheel_screw', 'assignedTo': 'Human', 'sliderValue': 0}, {'name': 'Triangle', 'assignedTo': 'Robot', 'sliderValue': 10}, {'name': 'Snap_buttom', 'assignedTo': 'Human', 'sliderValue': 0}, {'name': 'Snap_middle', 'assignedTo': 'Human', 'sliderValue': 0}, {'name': 'Snap_top', 'assignedTo': 'Human', 'sliderValue': 0}, {'name': 'Museum', 'assignedTo': 'Robot', 'sliderValue': 10}, {'name': 'Inspection', 'assignedTo': 'Human', 'sliderValue': 0}]}</t>
  </si>
  <si>
    <t>2025-09-16 13:50:30.914</t>
  </si>
  <si>
    <t>2025-09-16 13:51:54.070</t>
  </si>
  <si>
    <t>2025-09-16 13:51:55.180</t>
  </si>
  <si>
    <t>2025-09-16 13:51:55.831</t>
  </si>
  <si>
    <t>2025-09-16 13:52:03.586</t>
  </si>
  <si>
    <t>2025-09-16 13:52:19.719</t>
  </si>
  <si>
    <t>2025-09-16 13:52:23.335</t>
  </si>
  <si>
    <t>2025-09-16 13:52:35.730</t>
  </si>
  <si>
    <t>2025-09-16 13:52:42.428</t>
  </si>
  <si>
    <t>2025-09-16 13:52:43.019</t>
  </si>
  <si>
    <t>2025-09-16 13:53:00.874</t>
  </si>
  <si>
    <t>2025-09-16 13:53:21.557</t>
  </si>
  <si>
    <t>2025-09-16 13:53:37.733</t>
  </si>
  <si>
    <t>2025-09-16 13:53:45.115</t>
  </si>
  <si>
    <t>2025-09-16 13:53:55.372</t>
  </si>
  <si>
    <t>2025-09-16 13:54:04.993</t>
  </si>
  <si>
    <t>2025-09-16 13:54:12.209</t>
  </si>
  <si>
    <t>2025-09-16 13:54:12.673</t>
  </si>
  <si>
    <t>2025-09-16 13:54:20.916</t>
  </si>
  <si>
    <t>2025-09-16 13:54:27.934</t>
  </si>
  <si>
    <t>2025-09-16 13:54:39.204</t>
  </si>
  <si>
    <t>2025-09-16 13:54:41.450</t>
  </si>
  <si>
    <t>2025-09-16 13:54:42.170</t>
  </si>
  <si>
    <t>2025-09-16 13:54:45.591</t>
  </si>
  <si>
    <t>2025-09-16 14:56:30.358</t>
  </si>
  <si>
    <t>2025-09-16 14:56:36.268</t>
  </si>
  <si>
    <t>2025-09-16 14:56:49.228</t>
  </si>
  <si>
    <t>2025-09-16 14:56:49.567</t>
  </si>
  <si>
    <t>2025-09-16 14:56:49.845</t>
  </si>
  <si>
    <t>2025-09-16 14:56:50.928</t>
  </si>
  <si>
    <t>2025-09-16 14:56:51.306</t>
  </si>
  <si>
    <t>2025-09-16 14:56:52.995</t>
  </si>
  <si>
    <t>2025-09-16 14:56:53.602</t>
  </si>
  <si>
    <t>2025-09-16 14:56:54.458</t>
  </si>
  <si>
    <t>2025-09-16 14:56:55.993</t>
  </si>
  <si>
    <t>2025-09-16 14:56:57.053</t>
  </si>
  <si>
    <t>2025-09-16 14:56:59.511</t>
  </si>
  <si>
    <t>2025-09-16 14:57:10.139</t>
  </si>
  <si>
    <t>2025-09-16 14:57:21.892</t>
  </si>
  <si>
    <t>2025-09-16 14:57:43.157</t>
  </si>
  <si>
    <t>2025-09-16 14:57:53.201</t>
  </si>
  <si>
    <t>2025-09-16 14:58:11.662</t>
  </si>
  <si>
    <t>2025-09-16 14:58:33.212</t>
  </si>
  <si>
    <t>2025-09-16 14:58:45.782</t>
  </si>
  <si>
    <t>2025-09-16 14:58:51.323</t>
  </si>
  <si>
    <t>2025-09-16 14:59:02.581</t>
  </si>
  <si>
    <t>2025-09-16 14:59:39.013</t>
  </si>
  <si>
    <t>2025-09-16 14:59:55.786</t>
  </si>
  <si>
    <t>2025-09-16 14:59:56.999</t>
  </si>
  <si>
    <t>2025-09-16 15:00:11.341</t>
  </si>
  <si>
    <t>2025-09-16 15:00:14.927</t>
  </si>
  <si>
    <t>2025-09-16 15:00:32.699</t>
  </si>
  <si>
    <t>2025-09-16 15:00:48.213</t>
  </si>
  <si>
    <t>2025-09-16 15:00:53.165</t>
  </si>
  <si>
    <t>2025-09-16 15:01:05.945</t>
  </si>
  <si>
    <t>2025-09-16 15:01:15.442</t>
  </si>
  <si>
    <t>2025-09-16 15:01:20.692</t>
  </si>
  <si>
    <t>2025-09-16 15:01:24.340</t>
  </si>
  <si>
    <t>2025-09-16 15:01:42.011</t>
  </si>
  <si>
    <t>2025-09-16 15:01:55.999</t>
  </si>
  <si>
    <t>2025-09-16 15:02:02.167</t>
  </si>
  <si>
    <t>2025-09-16 15:02:08.841</t>
  </si>
  <si>
    <t>2025-09-16 15:02:14.126</t>
  </si>
  <si>
    <t>2025-09-16 15:02:16.954</t>
  </si>
  <si>
    <t>2025-09-16 15:02:24.845</t>
  </si>
  <si>
    <t>2025-09-16 15:02:25.066</t>
  </si>
  <si>
    <t>{'previousAllocations': [{'name': 'Hospital_base', 'assignedTo': 'Human', 'sliderValue': 0}, {'name': 'Hospital_big_top', 'assignedTo': 'Robot', 'sliderValue': 10}, {'name': 'Hospital_small_top', 'assignedTo': 'Human', 'sliderValue': 0}, {'name': 'Hospital_screws', 'assignedTo': 'Human', 'sliderValue': 0}, {'name': 'Bridge_triangle_roof', 'assignedTo': 'Robot', 'sliderValue': 10}, {'name': 'Bridge_flat_roof', 'assignedTo': 'Robot', 'sliderValue': 10}, {'name': 'Bridge rod placement', 'assignedTo': 'Human', 'sliderValue': 0}, {'name': 'Dovetail_buttom', 'assignedTo': 'Robot', 'sliderValue': 10}, {'name': 'Dovetail_top', 'assignedTo': 'Human', 'sliderValue': 0}, {'name': 'Wheel_holder', 'assignedTo': 'Robot', 'sliderValue': 10}, {'name': 'Wheel_holder_screws', 'assignedTo': 'Human', 'sliderValue': 0}, {'name': 'Wheel', 'assignedTo': 'Human', 'sliderValue': 0}, {'name': 'Wheel_screw', 'assignedTo': 'Human', 'sliderValue': 0}, {'name': 'Triangle', 'assignedTo': 'Robot', 'sliderValue': 10}, {'name': 'Snap_buttom', 'assignedTo': 'Robot', 'sliderValue': 10}, {'name': 'Snap_middle', 'assignedTo': 'Human', 'sliderValue': 0}, {'name': 'Snap_top', 'assignedTo': 'Human', 'sliderValue': 0}, {'name': 'Museum', 'assignedTo': 'Robot', 'sliderValue': 10}, {'name': 'Inspection', 'assignedTo': 'Human', 'sliderValue': 0}]}</t>
  </si>
  <si>
    <t>2025-09-16 15:02:25.572</t>
  </si>
  <si>
    <t>2025-09-16 15:03:06.870</t>
  </si>
  <si>
    <t>2025-09-16 15:03:08.210</t>
  </si>
  <si>
    <t>2025-09-16 15:03:18.899</t>
  </si>
  <si>
    <t>2025-09-16 15:03:40.276</t>
  </si>
  <si>
    <t>2025-09-16 15:03:41.776</t>
  </si>
  <si>
    <t>2025-09-16 15:03:43.577</t>
  </si>
  <si>
    <t>2025-09-16 15:03:55.333</t>
  </si>
  <si>
    <t>2025-09-16 15:04:14.746</t>
  </si>
  <si>
    <t>2025-09-16 15:04:23.456</t>
  </si>
  <si>
    <t>2025-09-16 15:04:30.208</t>
  </si>
  <si>
    <t>2025-09-16 15:04:35.228</t>
  </si>
  <si>
    <t>2025-09-16 15:04:45.726</t>
  </si>
  <si>
    <t>2025-09-16 15:04:52.476</t>
  </si>
  <si>
    <t>2025-09-16 15:04:59.876</t>
  </si>
  <si>
    <t>2025-09-16 15:05:16.074</t>
  </si>
  <si>
    <t>2025-09-16 15:05:17.380</t>
  </si>
  <si>
    <t>2025-09-16 15:05:23.563</t>
  </si>
  <si>
    <t>2025-09-16 15:05:33.789</t>
  </si>
  <si>
    <t>2025-09-16 15:05:50.696</t>
  </si>
  <si>
    <t>2025-09-16 15:05:54.585</t>
  </si>
  <si>
    <t>2025-09-16 15:06:06.138</t>
  </si>
  <si>
    <t>2025-09-16 15:06:11.413</t>
  </si>
  <si>
    <t>2025-09-16 15:06:26.679</t>
  </si>
  <si>
    <t>2025-09-16 15:06:26.937</t>
  </si>
  <si>
    <t>2025-09-16 15:06:27.937</t>
  </si>
  <si>
    <t>2025-09-16 15:09:44.935</t>
  </si>
  <si>
    <t>2025-09-16 15:09:59.540</t>
  </si>
  <si>
    <t>2025-09-16 15:10:03.285</t>
  </si>
  <si>
    <t>2025-09-16 15:10:08.096</t>
  </si>
  <si>
    <t>2025-09-16 15:10:12.927</t>
  </si>
  <si>
    <t>2025-09-16 15:10:15.536</t>
  </si>
  <si>
    <t>2025-09-16 15:10:15.890</t>
  </si>
  <si>
    <t>2025-09-16 15:10:19.370</t>
  </si>
  <si>
    <t>2025-09-16 15:10:19.656</t>
  </si>
  <si>
    <t>2025-09-16 15:10:22.362</t>
  </si>
  <si>
    <t>2025-09-16 15:10:28.954</t>
  </si>
  <si>
    <t>2025-09-16 15:10:30.682</t>
  </si>
  <si>
    <t>2025-09-16 15:10:35.217</t>
  </si>
  <si>
    <t>2025-09-16 15:11:08.532</t>
  </si>
  <si>
    <t>2025-09-16 15:11:17.043</t>
  </si>
  <si>
    <t>2025-09-16 15:11:28.764</t>
  </si>
  <si>
    <t>2025-09-16 15:11:34.096</t>
  </si>
  <si>
    <t>2025-09-16 15:11:34.251</t>
  </si>
  <si>
    <t>2025-09-16 15:11:38.382</t>
  </si>
  <si>
    <t>2025-09-16 15:11:52.489</t>
  </si>
  <si>
    <t>2025-09-16 15:11:54.378</t>
  </si>
  <si>
    <t>2025-09-16 15:11:59.392</t>
  </si>
  <si>
    <t>2025-09-16 15:12:00.874</t>
  </si>
  <si>
    <t>2025-09-16 15:12:09.448</t>
  </si>
  <si>
    <t>2025-09-16 15:12:12.196</t>
  </si>
  <si>
    <t>2025-09-16 15:12:19.453</t>
  </si>
  <si>
    <t>2025-09-16 15:12:27.136</t>
  </si>
  <si>
    <t>2025-09-16 15:12:27.205</t>
  </si>
  <si>
    <t>2025-09-16 15:12:42.654</t>
  </si>
  <si>
    <t>2025-09-16 15:12:47.287</t>
  </si>
  <si>
    <t>2025-09-16 15:12:56.042</t>
  </si>
  <si>
    <t>2025-09-16 15:12:57.749</t>
  </si>
  <si>
    <t>2025-09-16 15:12:59.634</t>
  </si>
  <si>
    <t>2025-09-16 15:13:04.638</t>
  </si>
  <si>
    <t>2025-09-16 15:13:15.049</t>
  </si>
  <si>
    <t>2025-09-16 15:13:16.159</t>
  </si>
  <si>
    <t>2025-09-16 15:13:23.740</t>
  </si>
  <si>
    <t>2025-09-16 15:13:36.345</t>
  </si>
  <si>
    <t>2025-09-16 15:13:38.581</t>
  </si>
  <si>
    <t>2025-09-16 15:13:41.646</t>
  </si>
  <si>
    <t>2025-09-16 15:13:43.880</t>
  </si>
  <si>
    <t>2025-09-16 15:13:50.501</t>
  </si>
  <si>
    <t>2025-09-16 15:13:58.925</t>
  </si>
  <si>
    <t>2025-09-16 15:13:59.934</t>
  </si>
  <si>
    <t>2025-09-16 15:14:04.040</t>
  </si>
  <si>
    <t>2025-09-16 15:14:14.978</t>
  </si>
  <si>
    <t>2025-09-16 15:14:15.207</t>
  </si>
  <si>
    <t>{'previousAllocations': [{'name': 'Hospital_base', 'assignedTo': 'Human', 'sliderValue': 0}, {'name': 'Hospital_big_top', 'assignedTo': 'Robot', 'sliderValue': 10}, {'name': 'Hospital_small_top', 'assignedTo': 'Human', 'sliderValue': 0}, {'name': 'Hospital_screws', 'assignedTo': 'Human', 'sliderValue': 0}, {'name': 'Bridge_triangle_roof', 'assignedTo': 'Robot', 'sliderValue': 9}, {'name': 'Bridge_flat_roof', 'assignedTo': 'Robot', 'sliderValue': 9}, {'name': 'Bridge rod placement', 'assignedTo': 'Human', 'sliderValue': 0}, {'name': 'Dovetail_buttom', 'assignedTo': 'Robot', 'sliderValue': 10}, {'name': 'Dovetail_top', 'assignedTo': 'Robot', 'sliderValue': 10}, {'name': 'Wheel_holder', 'assignedTo': 'Robot', 'sliderValue': 10}, {'name': 'Wheel_holder_screws', 'assignedTo': 'Human', 'sliderValue': 0}, {'name': 'Wheel', 'assignedTo': 'Human', 'sliderValue': 0}, {'name': 'Wheel_screw', 'assignedTo': 'Human', 'sliderValue': 0}, {'name': 'Triangle', 'assignedTo': 'Human', 'sliderValue': 0}, {'name': 'Snap_buttom', 'assignedTo': 'Robot', 'sliderValue': 10}, {'name': 'Snap_middle', 'assignedTo': 'Human', 'sliderValue': 0}, {'name': 'Snap_top', 'assignedTo': 'Human', 'sliderValue': 0}, {'name': 'Museum', 'assignedTo': 'Robot', 'sliderValue': 10}, {'name': 'Inspection', 'assignedTo': 'Human', 'sliderValue': 0}]}</t>
  </si>
  <si>
    <t>2025-09-16 15:14:15.720</t>
  </si>
  <si>
    <t>2025-09-16 15:14:29.576</t>
  </si>
  <si>
    <t>2025-09-16 15:14:29.711</t>
  </si>
  <si>
    <t>2025-09-16 15:14:39.021</t>
  </si>
  <si>
    <t>2025-09-16 15:14:46.879</t>
  </si>
  <si>
    <t>2025-09-16 15:14:54.640</t>
  </si>
  <si>
    <t>2025-09-16 15:14:59.169</t>
  </si>
  <si>
    <t>2025-09-16 15:15:05.945</t>
  </si>
  <si>
    <t>2025-09-16 15:15:06.220</t>
  </si>
  <si>
    <t>2025-09-16 15:15:17.164</t>
  </si>
  <si>
    <t>2025-09-16 15:15:21.776</t>
  </si>
  <si>
    <t>2025-09-16 15:15:26.072</t>
  </si>
  <si>
    <t>2025-09-16 15:15:34.547</t>
  </si>
  <si>
    <t>{'question': '18 × 6 = ?', 'answer': '100'}</t>
  </si>
  <si>
    <t>2025-09-16 15:15:37.225</t>
  </si>
  <si>
    <t>2025-09-16 15:15:41.999</t>
  </si>
  <si>
    <t>2025-09-16 15:15:50.036</t>
  </si>
  <si>
    <t>2025-09-16 15:15:53.440</t>
  </si>
  <si>
    <t>2025-09-16 15:16:02.119</t>
  </si>
  <si>
    <t>2025-09-16 15:16:11.206</t>
  </si>
  <si>
    <t>2025-09-16 15:16:18.584</t>
  </si>
  <si>
    <t>2025-09-16 15:16:26.050</t>
  </si>
  <si>
    <t>2025-09-16 15:16:38.731</t>
  </si>
  <si>
    <t>2025-09-16 15:16:41.510</t>
  </si>
  <si>
    <t>2025-09-16 15:16:48.999</t>
  </si>
  <si>
    <t>2025-09-16 15:16:52.780</t>
  </si>
  <si>
    <t>2025-09-16 15:16:58.482</t>
  </si>
  <si>
    <t>2025-09-16 15:17:00.840</t>
  </si>
  <si>
    <t>2025-09-16 15:17:09.153</t>
  </si>
  <si>
    <t>2025-09-16 15:17:16.839</t>
  </si>
  <si>
    <t>2025-09-16 15:17:19.119</t>
  </si>
  <si>
    <t>2025-09-16 15:17:36.997</t>
  </si>
  <si>
    <t>2025-09-16 15:17:40.877</t>
  </si>
  <si>
    <t>2025-09-16 15:17:47.971</t>
  </si>
  <si>
    <t>2025-09-16 15:17:48.504</t>
  </si>
  <si>
    <t>2025-09-16 15:17:50.063</t>
  </si>
  <si>
    <t>2025-09-16 15:17:54.082</t>
  </si>
  <si>
    <t>2025-09-16 17:42:04.139</t>
  </si>
  <si>
    <t>2025-09-16 17:42:10.003</t>
  </si>
  <si>
    <t>2025-09-16 17:42:18.343</t>
  </si>
  <si>
    <t>2025-09-16 17:42:27.512</t>
  </si>
  <si>
    <t>2025-09-16 17:42:33.260</t>
  </si>
  <si>
    <t>2025-09-16 17:43:14.930</t>
  </si>
  <si>
    <t>2025-09-16 17:43:15.709</t>
  </si>
  <si>
    <t>2025-09-16 17:43:17.319</t>
  </si>
  <si>
    <t>2025-09-16 17:43:22.793</t>
  </si>
  <si>
    <t>2025-09-16 17:43:24.434</t>
  </si>
  <si>
    <t>2025-09-16 17:43:28.071</t>
  </si>
  <si>
    <t>2025-09-16 17:43:28.662</t>
  </si>
  <si>
    <t>2025-09-16 17:44:41.692</t>
  </si>
  <si>
    <t>2025-09-16 17:44:45.143</t>
  </si>
  <si>
    <t>2025-09-16 17:45:00.736</t>
  </si>
  <si>
    <t>2025-09-16 17:45:05.333</t>
  </si>
  <si>
    <t>2025-09-16 17:45:13.592</t>
  </si>
  <si>
    <t>2025-09-16 17:45:15.503</t>
  </si>
  <si>
    <t>2025-09-16 17:45:31.779</t>
  </si>
  <si>
    <t>2025-09-16 17:45:33.734</t>
  </si>
  <si>
    <t>2025-09-16 17:45:43.241</t>
  </si>
  <si>
    <t>2025-09-16 17:45:47.233</t>
  </si>
  <si>
    <t>2025-09-16 17:46:03.374</t>
  </si>
  <si>
    <t>2025-09-16 17:46:04.915</t>
  </si>
  <si>
    <t>2025-09-16 17:46:23.037</t>
  </si>
  <si>
    <t>2025-09-16 17:46:23.317</t>
  </si>
  <si>
    <t>2025-09-16 17:46:40.982</t>
  </si>
  <si>
    <t>2025-09-16 17:46:43.163</t>
  </si>
  <si>
    <t>2025-09-16 17:46:54.613</t>
  </si>
  <si>
    <t>2025-09-16 17:46:57.900</t>
  </si>
  <si>
    <t>2025-09-16 17:46:59.164</t>
  </si>
  <si>
    <t>2025-09-16 17:47:00.275</t>
  </si>
  <si>
    <t>2025-09-16 17:47:00.994</t>
  </si>
  <si>
    <t>2025-09-16 17:47:01.753</t>
  </si>
  <si>
    <t>2025-09-16 17:47:05.080</t>
  </si>
  <si>
    <t>2025-09-16 17:47:14.740</t>
  </si>
  <si>
    <t>2025-09-16 17:47:19.303</t>
  </si>
  <si>
    <t>2025-09-16 17:47:26.535</t>
  </si>
  <si>
    <t>2025-09-16 17:47:27.876</t>
  </si>
  <si>
    <t>2025-09-16 17:47:28.317</t>
  </si>
  <si>
    <t>2025-09-16 17:47:38.414</t>
  </si>
  <si>
    <t>2025-09-16 17:47:38.985</t>
  </si>
  <si>
    <t>2025-09-16 17:47:39.976</t>
  </si>
  <si>
    <t>P37</t>
  </si>
  <si>
    <t>2025-09-16 17:47:52.315</t>
  </si>
  <si>
    <t>2025-09-16 17:47:52.504</t>
  </si>
  <si>
    <t>2025-09-16 17:47:52.709</t>
  </si>
  <si>
    <t>2025-09-16 17:47:52.908</t>
  </si>
  <si>
    <t>2025-09-16 17:47:53.027</t>
  </si>
  <si>
    <t>2025-09-16 17:48:12.282</t>
  </si>
  <si>
    <t>2025-09-16 17:48:12.437</t>
  </si>
  <si>
    <t>2025-09-16 17:48:20.040</t>
  </si>
  <si>
    <t>2025-09-16 17:48:29.942</t>
  </si>
  <si>
    <t>2025-09-16 17:48:49.761</t>
  </si>
  <si>
    <t>2025-09-16 17:48:50.079</t>
  </si>
  <si>
    <t>2025-09-16 17:48:54.978</t>
  </si>
  <si>
    <t>2025-09-16 17:49:08.179</t>
  </si>
  <si>
    <t>2025-09-16 17:49:15.111</t>
  </si>
  <si>
    <t>2025-09-16 17:49:19.811</t>
  </si>
  <si>
    <t>2025-09-16 17:49:26.643</t>
  </si>
  <si>
    <t>2025-09-16 17:49:36.685</t>
  </si>
  <si>
    <t>2025-09-16 17:49:39.948</t>
  </si>
  <si>
    <t>2025-09-16 17:49:42.157</t>
  </si>
  <si>
    <t>2025-09-16 17:49:57.647</t>
  </si>
  <si>
    <t>2025-09-16 17:50:04.393</t>
  </si>
  <si>
    <t>2025-09-16 17:50:13.860</t>
  </si>
  <si>
    <t>2025-09-16 17:50:17.729</t>
  </si>
  <si>
    <t>2025-09-16 17:50:24.510</t>
  </si>
  <si>
    <t>2025-09-16 17:50:31.566</t>
  </si>
  <si>
    <t>2025-09-16 17:50:35.452</t>
  </si>
  <si>
    <t>2025-09-16 17:50:42.697</t>
  </si>
  <si>
    <t>2025-09-16 17:50:55.570</t>
  </si>
  <si>
    <t>2025-09-16 17:51:06.849</t>
  </si>
  <si>
    <t>2025-09-16 17:51:20.136</t>
  </si>
  <si>
    <t>2025-09-16 17:51:20.524</t>
  </si>
  <si>
    <t>2025-09-16 17:51:26.982</t>
  </si>
  <si>
    <t>2025-09-16 17:51:33.016</t>
  </si>
  <si>
    <t>2025-09-16 17:51:41.303</t>
  </si>
  <si>
    <t>2025-09-16 17:51:53.156</t>
  </si>
  <si>
    <t>2025-09-16 17:51:58.194</t>
  </si>
  <si>
    <t>2025-09-16 17:52:13.665</t>
  </si>
  <si>
    <t>2025-09-16 17:52:17.335</t>
  </si>
  <si>
    <t>2025-09-16 17:52:19.132</t>
  </si>
  <si>
    <t>2025-09-16 17:52:20.386</t>
  </si>
  <si>
    <t>2025-09-16 17:52:29.004</t>
  </si>
  <si>
    <t>2025-09-16 17:52:30.602</t>
  </si>
  <si>
    <t>2025-09-16 17:52:32.500</t>
  </si>
  <si>
    <t>P38</t>
  </si>
  <si>
    <t>2025-09-16 17:55:00.104</t>
  </si>
  <si>
    <t>2025-09-16 17:55:14.354</t>
  </si>
  <si>
    <t>2025-09-16 17:55:20.716</t>
  </si>
  <si>
    <t>2025-09-16 17:55:32.246</t>
  </si>
  <si>
    <t>2025-09-16 17:55:33.808</t>
  </si>
  <si>
    <t>2025-09-16 17:55:38.908</t>
  </si>
  <si>
    <t>2025-09-16 17:56:01.477</t>
  </si>
  <si>
    <t>2025-09-16 17:56:02.033</t>
  </si>
  <si>
    <t>2025-09-16 17:56:02.903</t>
  </si>
  <si>
    <t>2025-09-16 17:56:03.405</t>
  </si>
  <si>
    <t>2025-09-16 17:56:04.065</t>
  </si>
  <si>
    <t>2025-09-16 17:56:06.749</t>
  </si>
  <si>
    <t>2025-09-16 17:56:07.537</t>
  </si>
  <si>
    <t>2025-09-16 17:56:12.514</t>
  </si>
  <si>
    <t>2025-09-16 17:56:28.054</t>
  </si>
  <si>
    <t>2025-09-16 17:56:39.203</t>
  </si>
  <si>
    <t>2025-09-16 17:56:39.863</t>
  </si>
  <si>
    <t>2025-09-16 17:56:40.768</t>
  </si>
  <si>
    <t>2025-09-16 17:56:42.715</t>
  </si>
  <si>
    <t>2025-09-16 17:56:58.966</t>
  </si>
  <si>
    <t>2025-09-16 17:57:17.340</t>
  </si>
  <si>
    <t>2025-09-16 17:57:18.503</t>
  </si>
  <si>
    <t>2025-09-16 17:57:35.377</t>
  </si>
  <si>
    <t>2025-09-16 17:57:38.123</t>
  </si>
  <si>
    <t>2025-09-16 17:57:50.834</t>
  </si>
  <si>
    <t>2025-09-16 17:57:59.612</t>
  </si>
  <si>
    <t>2025-09-16 17:58:00.717</t>
  </si>
  <si>
    <t>2025-09-16 17:58:08.514</t>
  </si>
  <si>
    <t>2025-09-16 17:58:25.389</t>
  </si>
  <si>
    <t>2025-09-16 17:58:29.051</t>
  </si>
  <si>
    <t>2025-09-16 17:58:30.083</t>
  </si>
  <si>
    <t>2025-09-16 17:58:46.689</t>
  </si>
  <si>
    <t>2025-09-16 17:58:47.061</t>
  </si>
  <si>
    <t>P39</t>
  </si>
  <si>
    <t>2025-09-16 17:58:58.451</t>
  </si>
  <si>
    <t>2025-09-16 17:58:58.636</t>
  </si>
  <si>
    <t>2025-09-16 17:58:59.150</t>
  </si>
  <si>
    <t>2025-09-16 17:59:43.503</t>
  </si>
  <si>
    <t>2025-09-16 18:00:03.281</t>
  </si>
  <si>
    <t>2025-09-16 18:00:05.263</t>
  </si>
  <si>
    <t>2025-09-16 18:00:05.955</t>
  </si>
  <si>
    <t>2025-09-16 18:00:06.722</t>
  </si>
  <si>
    <t>2025-09-16 18:00:22.396</t>
  </si>
  <si>
    <t>2025-09-16 18:00:40.836</t>
  </si>
  <si>
    <t>2025-09-16 18:00:42.506</t>
  </si>
  <si>
    <t>2025-09-16 18:00:56.350</t>
  </si>
  <si>
    <t>2025-09-16 18:01:11.833</t>
  </si>
  <si>
    <t>2025-09-16 18:01:15.969</t>
  </si>
  <si>
    <t>2025-09-16 18:01:21.699</t>
  </si>
  <si>
    <t>2025-09-16 18:01:28.061</t>
  </si>
  <si>
    <t>2025-09-16 18:01:38.753</t>
  </si>
  <si>
    <t>2025-09-16 18:01:45.786</t>
  </si>
  <si>
    <t>2025-09-16 18:01:53.072</t>
  </si>
  <si>
    <t>2025-09-16 18:02:02.692</t>
  </si>
  <si>
    <t>2025-09-16 18:02:09.123</t>
  </si>
  <si>
    <t>2025-09-16 18:02:19.910</t>
  </si>
  <si>
    <t>2025-09-16 18:02:23.235</t>
  </si>
  <si>
    <t>P45</t>
  </si>
  <si>
    <t>2025-09-16 19:08:01.090</t>
  </si>
  <si>
    <t>2025-09-16 19:08:06.992</t>
  </si>
  <si>
    <t>2025-09-16 19:08:29.713</t>
  </si>
  <si>
    <t>2025-09-16 19:08:29.788</t>
  </si>
  <si>
    <t>2025-09-16 19:08:29.868</t>
  </si>
  <si>
    <t>2025-09-16 19:08:29.934</t>
  </si>
  <si>
    <t>2025-09-16 19:08:30.001</t>
  </si>
  <si>
    <t>2025-09-16 19:08:30.064</t>
  </si>
  <si>
    <t>2025-09-16 19:08:30.130</t>
  </si>
  <si>
    <t>2025-09-16 19:08:30.193</t>
  </si>
  <si>
    <t>2025-09-16 19:08:30.287</t>
  </si>
  <si>
    <t>2025-09-16 19:08:30.369</t>
  </si>
  <si>
    <t>2025-09-16 19:08:30.437</t>
  </si>
  <si>
    <t>2025-09-16 19:08:30.507</t>
  </si>
  <si>
    <t>2025-09-16 19:08:30.577</t>
  </si>
  <si>
    <t>2025-09-16 19:08:30.640</t>
  </si>
  <si>
    <t>2025-09-16 19:08:31.758</t>
  </si>
  <si>
    <t>2025-09-16 19:08:33.534</t>
  </si>
  <si>
    <t>2025-09-16 19:08:34.112</t>
  </si>
  <si>
    <t>2025-09-16 19:08:40.055</t>
  </si>
  <si>
    <t>2025-09-16 19:08:47.684</t>
  </si>
  <si>
    <t>2025-09-16 19:09:10.588</t>
  </si>
  <si>
    <t>2025-09-16 19:09:11.756</t>
  </si>
  <si>
    <t>2025-09-16 19:09:13.354</t>
  </si>
  <si>
    <t>2025-09-16 19:09:21.282</t>
  </si>
  <si>
    <t>2025-09-16 19:09:21.955</t>
  </si>
  <si>
    <t>2025-09-16 19:09:25.400</t>
  </si>
  <si>
    <t>2025-09-16 19:09:26.537</t>
  </si>
  <si>
    <t>2025-09-16 19:09:26.670</t>
  </si>
  <si>
    <t>2025-09-16 19:09:27.204</t>
  </si>
  <si>
    <t>2025-09-16 19:09:27.320</t>
  </si>
  <si>
    <t>2025-09-16 19:09:27.436</t>
  </si>
  <si>
    <t>2025-09-16 19:09:27.527</t>
  </si>
  <si>
    <t>2025-09-16 19:09:28.054</t>
  </si>
  <si>
    <t>2025-09-16 19:09:37.507</t>
  </si>
  <si>
    <t>2025-09-16 19:09:38.997</t>
  </si>
  <si>
    <t>2025-09-16 19:09:41.429</t>
  </si>
  <si>
    <t>2025-09-16 19:10:54.100</t>
  </si>
  <si>
    <t>2025-09-16 19:11:09.615</t>
  </si>
  <si>
    <t>2025-09-16 19:11:27.275</t>
  </si>
  <si>
    <t>2025-09-16 19:11:42.368</t>
  </si>
  <si>
    <t>2025-09-16 19:11:43.040</t>
  </si>
  <si>
    <t>2025-09-16 19:11:44.292</t>
  </si>
  <si>
    <t>2025-09-16 19:11:45.297</t>
  </si>
  <si>
    <t>2025-09-16 19:11:45.684</t>
  </si>
  <si>
    <t>2025-09-16 19:12:02.564</t>
  </si>
  <si>
    <t>2025-09-16 19:12:05.733</t>
  </si>
  <si>
    <t>2025-09-16 19:12:18.043</t>
  </si>
  <si>
    <t>2025-09-16 19:12:22.367</t>
  </si>
  <si>
    <t>2025-09-16 19:12:23.796</t>
  </si>
  <si>
    <t>2025-09-16 19:12:25.998</t>
  </si>
  <si>
    <t>2025-09-16 19:12:32.761</t>
  </si>
  <si>
    <t>2025-09-16 19:12:48.981</t>
  </si>
  <si>
    <t>2025-09-16 19:13:04.175</t>
  </si>
  <si>
    <t>2025-09-16 19:13:05.124</t>
  </si>
  <si>
    <t>2025-09-16 19:13:26.438</t>
  </si>
  <si>
    <t>2025-09-16 19:13:30.601</t>
  </si>
  <si>
    <t>P46</t>
  </si>
  <si>
    <t>2025-09-16 19:13:38.138</t>
  </si>
  <si>
    <t>2025-09-16 19:13:38.626</t>
  </si>
  <si>
    <t>{'previousAllocations': [{'name': 'Hospital_base', 'assignedTo': 'Robot', 'sliderValue': 9}, {'name': 'Hospital_big_top', 'assignedTo': 'Robot', 'sliderValue': 10}, {'name': 'Hospital_small_top', 'assignedTo': 'Robot', 'sliderValue': 10}, {'name': 'Hospital_screws', 'assignedTo': 'Human', 'sliderValue': 0}, {'name': 'Bridge_triangle_roof', 'assignedTo': 'Robot', 'sliderValue': 8}, {'name': 'Bridge_flat_roof', 'assignedTo': 'Robot', 'sliderValue': 8}, {'name': 'Bridge rod placement', 'assignedTo': 'Human', 'sliderValue': 0}, {'name': 'Dovetail_buttom', 'assignedTo': 'Robot', 'sliderValue': 10}, {'name': 'Dovetail_top', 'assignedTo': 'Robot', 'sliderValue': 10}, {'name': 'Wheel_holder', 'assignedTo': 'Human', 'sliderValue': 3}, {'name': 'Wheel_holder_screws', 'assignedTo': 'Human', 'sliderValue': 0}, {'name': 'Wheel', 'assignedTo': 'Human', 'sliderValue': 0}, {'name': 'Wheel_screw', 'assignedTo': 'Human', 'sliderValue': 0}, {'name': 'Triangle', 'assignedTo': 'Robot', 'sliderValue': 10}, {'name': 'Snap_buttom', 'assignedTo': 'Human', 'sliderValue': 3}, {'name': 'Snap_middle', 'assignedTo': 'Human', 'sliderValue': 0}, {'name': 'Snap_top', 'assignedTo': 'Human', 'sliderValue': 0}, {'name': 'Museum', 'assignedTo': 'Robot', 'sliderValue': 10}, {'name': 'Inspection', 'assignedTo': 'Human', 'sliderValue': 0}]}</t>
  </si>
  <si>
    <t>2025-09-16 19:13:39.130</t>
  </si>
  <si>
    <t>2025-09-16 19:13:59.648</t>
  </si>
  <si>
    <t>2025-09-16 19:13:59.719</t>
  </si>
  <si>
    <t>2025-09-16 19:13:59.776</t>
  </si>
  <si>
    <t>2025-09-16 19:13:59.849</t>
  </si>
  <si>
    <t>2025-09-16 19:13:59.918</t>
  </si>
  <si>
    <t>2025-09-16 19:14:00.007</t>
  </si>
  <si>
    <t>2025-09-16 19:14:00.101</t>
  </si>
  <si>
    <t>2025-09-16 19:14:00.178</t>
  </si>
  <si>
    <t>2025-09-16 19:14:00.250</t>
  </si>
  <si>
    <t>2025-09-16 19:14:00.336</t>
  </si>
  <si>
    <t>2025-09-16 19:14:00.418</t>
  </si>
  <si>
    <t>2025-09-16 19:14:00.492</t>
  </si>
  <si>
    <t>2025-09-16 19:14:00.576</t>
  </si>
  <si>
    <t>2025-09-16 19:14:00.628</t>
  </si>
  <si>
    <t>2025-09-16 19:14:02.051</t>
  </si>
  <si>
    <t>2025-09-16 19:14:04.237</t>
  </si>
  <si>
    <t>2025-09-16 19:15:04.460</t>
  </si>
  <si>
    <t>2025-09-16 19:15:20.579</t>
  </si>
  <si>
    <t>2025-09-16 19:15:38.274</t>
  </si>
  <si>
    <t>2025-09-16 19:15:47.839</t>
  </si>
  <si>
    <t>2025-09-16 19:15:48.310</t>
  </si>
  <si>
    <t>2025-09-16 19:15:49.976</t>
  </si>
  <si>
    <t>2025-09-16 19:15:51.914</t>
  </si>
  <si>
    <t>2025-09-16 19:15:57.367</t>
  </si>
  <si>
    <t>2025-09-16 19:16:16.449</t>
  </si>
  <si>
    <t>2025-09-16 19:16:34.865</t>
  </si>
  <si>
    <t>2025-09-16 19:16:37.908</t>
  </si>
  <si>
    <t>2025-09-16 19:16:50.341</t>
  </si>
  <si>
    <t>2025-09-16 19:16:54.869</t>
  </si>
  <si>
    <t>2025-09-16 19:16:55.694</t>
  </si>
  <si>
    <t>2025-09-16 19:16:57.332</t>
  </si>
  <si>
    <t>2025-09-16 19:17:05.805</t>
  </si>
  <si>
    <t>2025-09-16 19:17:08.846</t>
  </si>
  <si>
    <t>2025-09-16 19:17:17.126</t>
  </si>
  <si>
    <t>2025-09-16 19:17:23.483</t>
  </si>
  <si>
    <t>2025-09-16 19:17:26.441</t>
  </si>
  <si>
    <t>P47</t>
  </si>
  <si>
    <t>2025-09-16 19:19:25.973</t>
  </si>
  <si>
    <t>2025-09-16 19:19:40.400</t>
  </si>
  <si>
    <t>2025-09-16 19:19:50.093</t>
  </si>
  <si>
    <t>2025-09-16 19:19:50.206</t>
  </si>
  <si>
    <t>2025-09-16 19:19:50.336</t>
  </si>
  <si>
    <t>2025-09-16 19:19:50.434</t>
  </si>
  <si>
    <t>2025-09-16 19:19:50.595</t>
  </si>
  <si>
    <t>2025-09-16 19:19:50.773</t>
  </si>
  <si>
    <t>2025-09-16 19:19:50.981</t>
  </si>
  <si>
    <t>2025-09-16 19:19:51.060</t>
  </si>
  <si>
    <t>2025-09-16 19:19:51.169</t>
  </si>
  <si>
    <t>2025-09-16 19:19:51.253</t>
  </si>
  <si>
    <t>2025-09-16 19:19:51.328</t>
  </si>
  <si>
    <t>2025-09-16 19:19:51.401</t>
  </si>
  <si>
    <t>2025-09-16 19:19:51.479</t>
  </si>
  <si>
    <t>{'taskId': '8', 'assignedTo': 'Human', 'sliderValue': 5}</t>
  </si>
  <si>
    <t>2025-09-16 19:19:51.568</t>
  </si>
  <si>
    <t>{'taskId': '8', 'assignedTo': 'Human', 'sliderValue': 4}</t>
  </si>
  <si>
    <t>2025-09-16 19:19:51.639</t>
  </si>
  <si>
    <t>{'taskId': '8', 'assignedTo': 'Human', 'sliderValue': 3}</t>
  </si>
  <si>
    <t>2025-09-16 19:19:51.696</t>
  </si>
  <si>
    <t>{'taskId': '8', 'assignedTo': 'Human', 'sliderValue': 2}</t>
  </si>
  <si>
    <t>2025-09-16 19:19:51.767</t>
  </si>
  <si>
    <t>2025-09-16 19:19:51.850</t>
  </si>
  <si>
    <t>2025-09-16 19:19:51.925</t>
  </si>
  <si>
    <t>2025-09-16 19:19:52.003</t>
  </si>
  <si>
    <t>2025-09-16 19:19:52.081</t>
  </si>
  <si>
    <t>2025-09-16 19:19:52.163</t>
  </si>
  <si>
    <t>2025-09-16 19:19:52.247</t>
  </si>
  <si>
    <t>2025-09-16 19:19:52.332</t>
  </si>
  <si>
    <t>2025-09-16 19:19:52.405</t>
  </si>
  <si>
    <t>2025-09-16 19:19:52.510</t>
  </si>
  <si>
    <t>2025-09-16 19:19:52.593</t>
  </si>
  <si>
    <t>2025-09-16 19:19:52.723</t>
  </si>
  <si>
    <t>2025-09-16 19:19:52.896</t>
  </si>
  <si>
    <t>2025-09-16 19:19:53.055</t>
  </si>
  <si>
    <t>2025-09-16 19:19:53.161</t>
  </si>
  <si>
    <t>2025-09-16 19:20:04.990</t>
  </si>
  <si>
    <t>2025-09-16 19:20:08.178</t>
  </si>
  <si>
    <t>2025-09-16 19:20:09.528</t>
  </si>
  <si>
    <t>2025-09-16 19:20:10.810</t>
  </si>
  <si>
    <t>2025-09-16 19:20:12.270</t>
  </si>
  <si>
    <t>2025-09-16 19:20:13.830</t>
  </si>
  <si>
    <t>2025-09-16 19:20:21.323</t>
  </si>
  <si>
    <t>2025-09-16 19:20:22.288</t>
  </si>
  <si>
    <t>2025-09-16 19:20:25.139</t>
  </si>
  <si>
    <t>2025-09-16 19:20:27.768</t>
  </si>
  <si>
    <t>2025-09-16 19:21:09.156</t>
  </si>
  <si>
    <t>2025-09-16 19:21:11.250</t>
  </si>
  <si>
    <t>2025-09-16 19:21:18.455</t>
  </si>
  <si>
    <t>2025-09-16 19:22:01.034</t>
  </si>
  <si>
    <t>2025-09-16 19:22:16.483</t>
  </si>
  <si>
    <t>2025-09-16 19:22:21.208</t>
  </si>
  <si>
    <t>2025-09-16 19:22:26.253</t>
  </si>
  <si>
    <t>2025-09-16 19:22:33.475</t>
  </si>
  <si>
    <t>2025-09-16 19:22:46.363</t>
  </si>
  <si>
    <t>2025-09-16 19:22:48.931</t>
  </si>
  <si>
    <t>2025-09-16 19:22:51.564</t>
  </si>
  <si>
    <t>2025-09-16 19:23:03.656</t>
  </si>
  <si>
    <t>2025-09-16 19:23:06.015</t>
  </si>
  <si>
    <t>2025-09-16 19:23:06.741</t>
  </si>
  <si>
    <t>2025-09-16 19:23:07.762</t>
  </si>
  <si>
    <t>2025-09-16 19:23:09.376</t>
  </si>
  <si>
    <t>2025-09-16 19:23:11.685</t>
  </si>
  <si>
    <t>2025-09-16 19:23:16.068</t>
  </si>
  <si>
    <t>2025-09-16 19:23:19.893</t>
  </si>
  <si>
    <t>2025-09-16 19:23:31.078</t>
  </si>
  <si>
    <t>2025-09-16 19:23:36.187</t>
  </si>
  <si>
    <t>2025-09-16 19:23:38.195</t>
  </si>
  <si>
    <t>2025-09-16 19:23:40.345</t>
  </si>
  <si>
    <t>2025-09-16 19:23:47.917</t>
  </si>
  <si>
    <t>2025-09-16 19:23:48.358</t>
  </si>
  <si>
    <t>2025-09-16 19:23:49.378</t>
  </si>
  <si>
    <t>2025-09-16 19:23:55.842</t>
  </si>
  <si>
    <t>2025-09-16 19:24:00.484</t>
  </si>
  <si>
    <t>2025-09-16 19:24:04.235</t>
  </si>
  <si>
    <t>2025-09-16 19:24:05.239</t>
  </si>
  <si>
    <t>2025-09-16 19:24:12.064</t>
  </si>
  <si>
    <t>2025-09-16 19:24:12.703</t>
  </si>
  <si>
    <t>2025-09-16 19:24:16.937</t>
  </si>
  <si>
    <t>P48</t>
  </si>
  <si>
    <t>2025-09-16 19:24:24.748</t>
  </si>
  <si>
    <t>2025-09-16 19:24:24.947</t>
  </si>
  <si>
    <t>{'previousAllocations': [{'name': 'Hospital_base', 'assignedTo': 'Robot', 'sliderValue': 9}, {'name': 'Hospital_big_top', 'assignedTo': 'Robot', 'sliderValue': 9}, {'name': 'Hospital_small_top', 'assignedTo': 'Robot', 'sliderValue': 9}, {'name': 'Hospital_screws', 'assignedTo': 'Human', 'sliderValue': 0}, {'name': 'Bridge_triangle_roof', 'assignedTo': 'Robot', 'sliderValue': 10}, {'name': 'Bridge_flat_roof', 'assignedTo': 'Robot', 'sliderValue': 10}, {'name': 'Bridge rod placement', 'assignedTo': 'Human', 'sliderValue': 0}, {'name': 'Dovetail_buttom', 'assignedTo': 'Robot', 'sliderValue': 10}, {'name': 'Dovetail_top', 'assignedTo': 'Robot', 'sliderValue': 10}, {'name': 'Wheel_holder', 'assignedTo': 'Human', 'sliderValue': 0}, {'name': 'Wheel_holder_screws', 'assignedTo': 'Human', 'sliderValue': 0}, {'name': 'Wheel', 'assignedTo': 'Human', 'sliderValue': 0}, {'name': 'Wheel_screw', 'assignedTo': 'Human', 'sliderValue': 0}, {'name': 'Triangle', 'assignedTo': 'Robot', 'sliderValue': 10}, {'name': 'Snap_buttom', 'assignedTo': 'Human', 'sliderValue': 0}, {'name': 'Snap_middle', 'assignedTo': 'Human', 'sliderValue': 0}, {'name': 'Snap_top', 'assignedTo': 'Human', 'sliderValue': 0}, {'name': 'Museum', 'assignedTo': 'Human', 'sliderValue': 0}, {'name': 'Inspection', 'assignedTo': 'Human', 'sliderValue': 0}]}</t>
  </si>
  <si>
    <t>2025-09-16 19:24:25.453</t>
  </si>
  <si>
    <t>2025-09-16 19:25:18.955</t>
  </si>
  <si>
    <t>2025-09-16 19:25:35.145</t>
  </si>
  <si>
    <t>2025-09-16 19:25:39.091</t>
  </si>
  <si>
    <t>2025-09-16 19:25:43.418</t>
  </si>
  <si>
    <t>{'question': '56 ÷ 7 = ?', 'answer': '9'}</t>
  </si>
  <si>
    <t>2025-09-16 19:25:48.774</t>
  </si>
  <si>
    <t>2025-09-16 19:25:52.847</t>
  </si>
  <si>
    <t>2025-09-16 19:26:08.876</t>
  </si>
  <si>
    <t>2025-09-16 19:26:11.962</t>
  </si>
  <si>
    <t>2025-09-16 19:26:13.583</t>
  </si>
  <si>
    <t>2025-09-16 19:26:31.057</t>
  </si>
  <si>
    <t>2025-09-16 19:26:33.717</t>
  </si>
  <si>
    <t>2025-09-16 19:26:39.228</t>
  </si>
  <si>
    <t>2025-09-16 19:26:49.467</t>
  </si>
  <si>
    <t>2025-09-16 19:26:55.292</t>
  </si>
  <si>
    <t>2025-09-16 19:26:57.247</t>
  </si>
  <si>
    <t>2025-09-16 19:26:58.028</t>
  </si>
  <si>
    <t>2025-09-16 19:26:58.783</t>
  </si>
  <si>
    <t>2025-09-16 19:26:59.368</t>
  </si>
  <si>
    <t>2025-09-16 19:27:04.966</t>
  </si>
  <si>
    <t>2025-09-16 19:27:08.245</t>
  </si>
  <si>
    <t>2025-09-16 19:27:10.907</t>
  </si>
  <si>
    <t>2025-09-16 19:27:20.444</t>
  </si>
  <si>
    <t>2025-09-16 19:27:21.472</t>
  </si>
  <si>
    <t>2025-09-16 19:27:22.069</t>
  </si>
  <si>
    <t>2025-09-16 19:27:23.256</t>
  </si>
  <si>
    <t>2025-09-16 19:27:28.376</t>
  </si>
  <si>
    <t>2025-09-16 19:27:32.511</t>
  </si>
  <si>
    <t>2025-09-16 19:27:34.004</t>
  </si>
  <si>
    <t>2025-09-16 19:27:37.350</t>
  </si>
  <si>
    <t>2025-09-16 19:27:38.743</t>
  </si>
  <si>
    <t>2025-09-16 19:27:44.537</t>
  </si>
  <si>
    <t>P5</t>
  </si>
  <si>
    <t>2025-09-17 14:36:30.063</t>
  </si>
  <si>
    <t>2025-09-17 14:36:30.562</t>
  </si>
  <si>
    <t>2025-09-17 14:36:55.569</t>
  </si>
  <si>
    <t>2025-09-17 14:36:58.080</t>
  </si>
  <si>
    <t>2025-09-17 14:36:58.187</t>
  </si>
  <si>
    <t>2025-09-17 14:37:23.085</t>
  </si>
  <si>
    <t>2025-09-17 14:37:25.808</t>
  </si>
  <si>
    <t>2025-09-17 14:37:25.904</t>
  </si>
  <si>
    <t>2025-09-17 14:37:32.150</t>
  </si>
  <si>
    <t>2025-09-17 14:37:36.245</t>
  </si>
  <si>
    <t>2025-09-17 14:37:55.612</t>
  </si>
  <si>
    <t>2025-09-17 14:37:56.661</t>
  </si>
  <si>
    <t>2025-09-17 14:37:57.434</t>
  </si>
  <si>
    <t>2025-09-17 14:38:00.951</t>
  </si>
  <si>
    <t>2025-09-17 14:38:04.298</t>
  </si>
  <si>
    <t>2025-09-17 14:38:10.799</t>
  </si>
  <si>
    <t>2025-09-17 14:38:14.871</t>
  </si>
  <si>
    <t>2025-09-17 14:38:15.797</t>
  </si>
  <si>
    <t>2025-09-17 14:38:20.805</t>
  </si>
  <si>
    <t>2025-09-17 14:38:29.002</t>
  </si>
  <si>
    <t>2025-09-17 14:38:29.664</t>
  </si>
  <si>
    <t>2025-09-17 14:38:43.825</t>
  </si>
  <si>
    <t>2025-09-17 14:38:45.735</t>
  </si>
  <si>
    <t>2025-09-17 14:38:47.566</t>
  </si>
  <si>
    <t>2025-09-17 14:39:00.321</t>
  </si>
  <si>
    <t>2025-09-17 14:39:06.597</t>
  </si>
  <si>
    <t>2025-09-17 14:39:15.952</t>
  </si>
  <si>
    <t>2025-09-17 14:39:20.468</t>
  </si>
  <si>
    <t>2025-09-17 14:39:30.821</t>
  </si>
  <si>
    <t>2025-09-17 14:39:32.056</t>
  </si>
  <si>
    <t>2025-09-17 14:39:36.491</t>
  </si>
  <si>
    <t>2025-09-17 14:39:38.445</t>
  </si>
  <si>
    <t>2025-09-17 14:39:47.183</t>
  </si>
  <si>
    <t>2025-09-17 14:39:52.196</t>
  </si>
  <si>
    <t>2025-09-17 14:40:04.939</t>
  </si>
  <si>
    <t>2025-09-17 14:40:05.163</t>
  </si>
  <si>
    <t>2025-09-17 14:40:21.741</t>
  </si>
  <si>
    <t>2025-09-17 14:40:22.705</t>
  </si>
  <si>
    <t>2025-09-17 14:40:25.297</t>
  </si>
  <si>
    <t>2025-09-17 14:40:35.538</t>
  </si>
  <si>
    <t>2025-09-17 14:40:39.713</t>
  </si>
  <si>
    <t>2025-09-17 14:40:46.224</t>
  </si>
  <si>
    <t>2025-09-17 14:40:54.578</t>
  </si>
  <si>
    <t>2025-09-17 14:40:55.323</t>
  </si>
  <si>
    <t>2025-09-17 14:40:55.670</t>
  </si>
  <si>
    <t>2025-09-17 14:41:11.181</t>
  </si>
  <si>
    <t>2025-09-17 14:41:31.326</t>
  </si>
  <si>
    <t>2025-09-17 14:41:43.258</t>
  </si>
  <si>
    <t>2025-09-17 14:41:46.417</t>
  </si>
  <si>
    <t>2025-09-17 14:41:53.764</t>
  </si>
  <si>
    <t>2025-09-17 14:41:57.802</t>
  </si>
  <si>
    <t>2025-09-17 14:41:58.978</t>
  </si>
  <si>
    <t>2025-09-17 14:42:03.400</t>
  </si>
  <si>
    <t>2025-09-17 14:42:10.741</t>
  </si>
  <si>
    <t>2025-09-17 14:42:15.087</t>
  </si>
  <si>
    <t>2025-09-17 14:42:16.441</t>
  </si>
  <si>
    <t>P6</t>
  </si>
  <si>
    <t>2025-09-17 14:42:28.666</t>
  </si>
  <si>
    <t>2025-09-17 14:42:28.853</t>
  </si>
  <si>
    <t>{'previousAllocations': [{'name': 'Hospital_base', 'assignedTo': 'Robot', 'sliderValue': 8}, {'name': 'Hospital_big_top', 'assignedTo': 'Robot', 'sliderValue': 9}, {'name': 'Hospital_small_top', 'assignedTo': 'Robot', 'sliderValue': 9}, {'name': 'Hospital_screws', 'assignedTo': 'Human', 'sliderValue': 0}, {'name': 'Bridge_triangle_roof', 'assignedTo': 'Robot', 'sliderValue': 10}, {'name': 'Bridge_flat_roof', 'assignedTo': 'Robot', 'sliderValue': 9}, {'name': 'Bridge rod placement', 'assignedTo': 'Human', 'sliderValue': 0}, {'name': 'Dovetail_buttom', 'assignedTo': 'Human', 'sliderValue': 2}, {'name': 'Dovetail_top', 'assignedTo': 'Human', 'sliderValue': 2}, {'name': 'Wheel_holder', 'assignedTo': 'Robot', 'sliderValue': 8}, {'name': 'Wheel_holder_screws', 'assignedTo': 'Human', 'sliderValue': 0}, {'name': 'Wheel', 'assignedTo': 'Human', 'sliderValue': 0}, {'name': 'Wheel_screw', 'assignedTo': 'Human', 'sliderValue': 0}, {'name': 'Triangle', 'assignedTo': 'Human', 'sliderValue': 1}, {'name': 'Snap_buttom', 'assignedTo': 'Robot', 'sliderValue': 9}, {'name': 'Snap_middle', 'assignedTo': 'Human', 'sliderValue': 0}, {'name': 'Snap_top', 'assignedTo': 'Human', 'sliderValue': 0}, {'name': 'Museum', 'assignedTo': 'Human', 'sliderValue': 0}, {'name': 'Inspection', 'assignedTo': 'Human', 'sliderValue': 0}]}</t>
  </si>
  <si>
    <t>2025-09-17 14:42:43.104</t>
  </si>
  <si>
    <t>2025-09-17 14:42:45.541</t>
  </si>
  <si>
    <t>2025-09-17 14:42:52.424</t>
  </si>
  <si>
    <t>2025-09-17 14:42:54.204</t>
  </si>
  <si>
    <t>2025-09-17 14:42:54.311</t>
  </si>
  <si>
    <t>2025-09-17 14:42:54.424</t>
  </si>
  <si>
    <t>2025-09-17 14:42:54.535</t>
  </si>
  <si>
    <t>2025-09-17 14:42:54.606</t>
  </si>
  <si>
    <t>2025-09-17 14:42:56.071</t>
  </si>
  <si>
    <t>2025-09-17 14:42:56.185</t>
  </si>
  <si>
    <t>2025-09-17 14:42:56.259</t>
  </si>
  <si>
    <t>2025-09-17 14:43:05.434</t>
  </si>
  <si>
    <t>2025-09-17 14:43:28.283</t>
  </si>
  <si>
    <t>2025-09-17 14:43:48.106</t>
  </si>
  <si>
    <t>2025-09-17 14:43:48.438</t>
  </si>
  <si>
    <t>2025-09-17 14:43:55.392</t>
  </si>
  <si>
    <t>2025-09-17 14:44:07.285</t>
  </si>
  <si>
    <t>2025-09-17 14:44:15.514</t>
  </si>
  <si>
    <t>2025-09-17 14:44:19.797</t>
  </si>
  <si>
    <t>2025-09-17 14:44:25.908</t>
  </si>
  <si>
    <t>2025-09-17 14:44:29.431</t>
  </si>
  <si>
    <t>2025-09-17 14:44:39.911</t>
  </si>
  <si>
    <t>2025-09-17 14:44:40.728</t>
  </si>
  <si>
    <t>2025-09-17 14:44:49.099</t>
  </si>
  <si>
    <t>2025-09-17 14:44:56.316</t>
  </si>
  <si>
    <t>2025-09-17 14:45:00.719</t>
  </si>
  <si>
    <t>2025-09-17 14:45:06.105</t>
  </si>
  <si>
    <t>2025-09-17 14:45:09.224</t>
  </si>
  <si>
    <t>2025-09-17 14:45:11.893</t>
  </si>
  <si>
    <t>2025-09-17 14:45:15.922</t>
  </si>
  <si>
    <t>2025-09-17 14:45:28.147</t>
  </si>
  <si>
    <t>2025-09-17 14:45:34.811</t>
  </si>
  <si>
    <t>2025-09-17 14:45:36.032</t>
  </si>
  <si>
    <t>2025-09-17 14:45:44.490</t>
  </si>
  <si>
    <t>2025-09-17 14:45:45.180</t>
  </si>
  <si>
    <t>2025-09-17 14:45:52.339</t>
  </si>
  <si>
    <t>2025-09-17 14:46:00.332</t>
  </si>
  <si>
    <t>2025-09-17 14:46:00.762</t>
  </si>
  <si>
    <t>2025-09-17 14:46:04.610</t>
  </si>
  <si>
    <t>2025-09-17 14:46:17.424</t>
  </si>
  <si>
    <t>2025-09-17 14:46:21.336</t>
  </si>
  <si>
    <t>2025-09-17 14:46:23.360</t>
  </si>
  <si>
    <t>2025-09-17 14:46:24.545</t>
  </si>
  <si>
    <t>2025-09-17 14:46:25.748</t>
  </si>
  <si>
    <t>P7</t>
  </si>
  <si>
    <t>2025-09-17 14:49:25.260</t>
  </si>
  <si>
    <t>2025-09-17 14:49:25.760</t>
  </si>
  <si>
    <t>2025-09-17 14:49:46.348</t>
  </si>
  <si>
    <t>2025-09-17 14:49:46.455</t>
  </si>
  <si>
    <t>2025-09-17 14:49:46.557</t>
  </si>
  <si>
    <t>2025-09-17 14:49:51.300</t>
  </si>
  <si>
    <t>2025-09-17 14:49:57.136</t>
  </si>
  <si>
    <t>2025-09-17 14:49:58.588</t>
  </si>
  <si>
    <t>2025-09-17 14:49:59.472</t>
  </si>
  <si>
    <t>2025-09-17 14:50:02.488</t>
  </si>
  <si>
    <t>2025-09-17 14:50:04.243</t>
  </si>
  <si>
    <t>2025-09-17 14:50:19.582</t>
  </si>
  <si>
    <t>2025-09-17 14:50:21.526</t>
  </si>
  <si>
    <t>2025-09-17 14:50:25.549</t>
  </si>
  <si>
    <t>2025-09-17 14:50:32.458</t>
  </si>
  <si>
    <t>2025-09-17 14:50:46.224</t>
  </si>
  <si>
    <t>2025-09-17 14:50:48.045</t>
  </si>
  <si>
    <t>2025-09-17 14:50:55.919</t>
  </si>
  <si>
    <t>2025-09-17 14:50:57.691</t>
  </si>
  <si>
    <t>2025-09-17 14:51:24.120</t>
  </si>
  <si>
    <t>2025-09-17 14:51:27.132</t>
  </si>
  <si>
    <t>2025-09-17 14:51:39.677</t>
  </si>
  <si>
    <t>2025-09-17 14:51:56.031</t>
  </si>
  <si>
    <t>2025-09-17 14:51:56.721</t>
  </si>
  <si>
    <t>2025-09-17 14:52:06.373</t>
  </si>
  <si>
    <t>2025-09-17 14:52:08.243</t>
  </si>
  <si>
    <t>2025-09-17 14:52:15.303</t>
  </si>
  <si>
    <t>2025-09-17 14:52:22.890</t>
  </si>
  <si>
    <t>2025-09-17 14:52:33.078</t>
  </si>
  <si>
    <t>2025-09-17 14:52:40.621</t>
  </si>
  <si>
    <t>2025-09-17 14:52:42.436</t>
  </si>
  <si>
    <t>2025-09-17 14:52:48.606</t>
  </si>
  <si>
    <t>2025-09-17 14:52:49.786</t>
  </si>
  <si>
    <t>2025-09-17 14:52:54.879</t>
  </si>
  <si>
    <t>2025-09-17 14:52:59.408</t>
  </si>
  <si>
    <t>2025-09-17 14:53:04.171</t>
  </si>
  <si>
    <t>2025-09-17 14:53:08.062</t>
  </si>
  <si>
    <t>2025-09-17 14:53:18.740</t>
  </si>
  <si>
    <t>2025-09-17 14:53:21.135</t>
  </si>
  <si>
    <t>2025-09-17 14:53:41.679</t>
  </si>
  <si>
    <t>2025-09-17 14:53:41.881</t>
  </si>
  <si>
    <t>{'previousAllocations': [{'name': 'Hospital_base', 'assignedTo': 'Robot', 'sliderValue': 10}, {'name': 'Hospital_big_top', 'assignedTo': 'Human', 'sliderValue': 1}, {'name': 'Hospital_small_top', 'assignedTo': 'Human', 'sliderValue': 1}, {'name': 'Hospital_screws', 'assignedTo': 'Human', 'sliderValue': 0}, {'name': 'Bridge_triangle_roof', 'assignedTo': 'Robot', 'sliderValue': 9}, {'name': 'Bridge_flat_roof', 'assignedTo': 'Robot', 'sliderValue': 9}, {'name': 'Bridge rod placement', 'assignedTo': 'Human', 'sliderValue': 0}, {'name': 'Dovetail_buttom', 'assignedTo': 'Robot', 'sliderValue': 8}, {'name': 'Dovetail_top', 'assignedTo': 'Human', 'sliderValue': 2}, {'name': 'Wheel_holder', 'assignedTo': 'Robot', 'sliderValue': 9}, {'name': 'Wheel_holder_screws', 'assignedTo': 'Human', 'sliderValue': 0}, {'name': 'Wheel', 'assignedTo': 'Human', 'sliderValue': 0}, {'name': 'Wheel_screw', 'assignedTo': 'Human', 'sliderValue': 0}, {'name': 'Triangle', 'assignedTo': 'Robot', 'sliderValue': 8}, {'name': 'Snap_buttom', 'assignedTo': 'Robot', 'sliderValue': 9}, {'name': 'Snap_middle', 'assignedTo': 'Human', 'sliderValue': 0}, {'name': 'Snap_top', 'assignedTo': 'Human', 'sliderValue': 0}, {'name': 'Museum', 'assignedTo': 'Human', 'sliderValue': 0}, {'name': 'Inspection', 'assignedTo': 'Human', 'sliderValue': 0}]}</t>
  </si>
  <si>
    <t>2025-09-17 14:53:56.338</t>
  </si>
  <si>
    <t>2025-09-17 14:54:12.044</t>
  </si>
  <si>
    <t>2025-09-17 14:54:33.802</t>
  </si>
  <si>
    <t>2025-09-17 14:54:41.697</t>
  </si>
  <si>
    <t>2025-09-17 14:54:49.635</t>
  </si>
  <si>
    <t>2025-09-17 14:54:53.603</t>
  </si>
  <si>
    <t>2025-09-17 14:54:55.519</t>
  </si>
  <si>
    <t>2025-09-17 14:55:01.660</t>
  </si>
  <si>
    <t>2025-09-17 14:55:09.148</t>
  </si>
  <si>
    <t>2025-09-17 14:55:16.671</t>
  </si>
  <si>
    <t>2025-09-17 14:55:24.697</t>
  </si>
  <si>
    <t>2025-09-17 14:55:28.610</t>
  </si>
  <si>
    <t>2025-09-17 14:55:41.017</t>
  </si>
  <si>
    <t>2025-09-17 14:55:43.808</t>
  </si>
  <si>
    <t>2025-09-17 14:55:55.846</t>
  </si>
  <si>
    <t>2025-09-17 14:56:08.340</t>
  </si>
  <si>
    <t>2025-09-17 14:56:11.395</t>
  </si>
  <si>
    <t>2025-09-17 14:56:23.152</t>
  </si>
  <si>
    <t>2025-09-17 14:56:25.965</t>
  </si>
  <si>
    <t>2025-09-17 14:56:32.205</t>
  </si>
  <si>
    <t>2025-09-17 14:56:34.450</t>
  </si>
  <si>
    <t>2025-09-17 14:56:35.651</t>
  </si>
  <si>
    <t>2025-09-17 17:33:18.799</t>
  </si>
  <si>
    <t>2025-09-17 17:33:19.312</t>
  </si>
  <si>
    <t>2025-09-17 17:34:08.218</t>
  </si>
  <si>
    <t>2025-09-17 17:34:10.822</t>
  </si>
  <si>
    <t>2025-09-17 17:34:11.885</t>
  </si>
  <si>
    <t>2025-09-17 17:34:12.807</t>
  </si>
  <si>
    <t>2025-09-17 17:34:13.289</t>
  </si>
  <si>
    <t>2025-09-17 17:34:14.542</t>
  </si>
  <si>
    <t>2025-09-17 17:34:15.094</t>
  </si>
  <si>
    <t>2025-09-17 17:34:15.635</t>
  </si>
  <si>
    <t>2025-09-17 17:34:16.572</t>
  </si>
  <si>
    <t>2025-09-17 17:34:17.450</t>
  </si>
  <si>
    <t>2025-09-17 17:34:25.440</t>
  </si>
  <si>
    <t>2025-09-17 17:34:32.469</t>
  </si>
  <si>
    <t>2025-09-17 17:34:50.221</t>
  </si>
  <si>
    <t>2025-09-17 17:35:03.575</t>
  </si>
  <si>
    <t>2025-09-17 17:35:05.775</t>
  </si>
  <si>
    <t>2025-09-17 17:35:15.508</t>
  </si>
  <si>
    <t>2025-09-17 17:35:27.172</t>
  </si>
  <si>
    <t>2025-09-17 17:35:28.787</t>
  </si>
  <si>
    <t>2025-09-17 17:35:44.151</t>
  </si>
  <si>
    <t>2025-09-17 17:35:46.110</t>
  </si>
  <si>
    <t>2025-09-17 17:35:50.683</t>
  </si>
  <si>
    <t>2025-09-17 17:35:59.723</t>
  </si>
  <si>
    <t>2025-09-17 17:36:16.803</t>
  </si>
  <si>
    <t>2025-09-17 17:36:32.433</t>
  </si>
  <si>
    <t>2025-09-17 17:36:47.351</t>
  </si>
  <si>
    <t>2025-09-17 17:37:03.709</t>
  </si>
  <si>
    <t>2025-09-17 17:37:11.703</t>
  </si>
  <si>
    <t>2025-09-17 17:37:22.209</t>
  </si>
  <si>
    <t>2025-09-17 17:37:39.949</t>
  </si>
  <si>
    <t>2025-09-17 17:37:41.536</t>
  </si>
  <si>
    <t>2025-09-17 17:37:43.232</t>
  </si>
  <si>
    <t>2025-09-17 17:37:52.292</t>
  </si>
  <si>
    <t>2025-09-17 17:37:52.510</t>
  </si>
  <si>
    <t>2025-09-17 17:38:06.788</t>
  </si>
  <si>
    <t>2025-09-17 17:38:19.194</t>
  </si>
  <si>
    <t>2025-09-17 17:38:21.443</t>
  </si>
  <si>
    <t>2025-09-17 17:38:39.071</t>
  </si>
  <si>
    <t>2025-09-17 17:38:58.289</t>
  </si>
  <si>
    <t>2025-09-17 17:39:16.857</t>
  </si>
  <si>
    <t>2025-09-17 17:39:23.966</t>
  </si>
  <si>
    <t>2025-09-17 17:39:32.451</t>
  </si>
  <si>
    <t>2025-09-17 17:39:48.038</t>
  </si>
  <si>
    <t>2025-09-17 17:39:50.041</t>
  </si>
  <si>
    <t>2025-09-17 17:40:04.266</t>
  </si>
  <si>
    <t>2025-09-17 17:40:22.189</t>
  </si>
  <si>
    <t>2025-09-17 17:40:37.010</t>
  </si>
  <si>
    <t>2025-09-17 17:40:54.005</t>
  </si>
  <si>
    <t>2025-09-17 17:40:55.375</t>
  </si>
  <si>
    <t>2025-09-17 17:41:00.774</t>
  </si>
  <si>
    <t>2025-09-17 17:41:09.557</t>
  </si>
  <si>
    <t>2025-09-17 17:41:18.368</t>
  </si>
  <si>
    <t>2025-09-17 17:41:26.452</t>
  </si>
  <si>
    <t>2025-09-17 17:41:30.168</t>
  </si>
  <si>
    <t>2025-09-17 17:41:30.661</t>
  </si>
  <si>
    <t>2025-09-17 17:41:31.386</t>
  </si>
  <si>
    <t>2025-09-17 17:43:20.976</t>
  </si>
  <si>
    <t>2025-09-17 17:43:21.480</t>
  </si>
  <si>
    <t>2025-09-17 17:43:45.718</t>
  </si>
  <si>
    <t>2025-09-17 17:43:47.061</t>
  </si>
  <si>
    <t>2025-09-17 17:43:48.022</t>
  </si>
  <si>
    <t>2025-09-17 17:43:48.616</t>
  </si>
  <si>
    <t>2025-09-17 17:43:49.328</t>
  </si>
  <si>
    <t>2025-09-17 17:43:50.091</t>
  </si>
  <si>
    <t>2025-09-17 17:43:50.787</t>
  </si>
  <si>
    <t>2025-09-17 17:43:51.344</t>
  </si>
  <si>
    <t>2025-09-17 17:43:52.655</t>
  </si>
  <si>
    <t>2025-09-17 17:43:53.212</t>
  </si>
  <si>
    <t>2025-09-17 17:43:53.760</t>
  </si>
  <si>
    <t>2025-09-17 17:44:06.628</t>
  </si>
  <si>
    <t>2025-09-17 17:44:24.320</t>
  </si>
  <si>
    <t>2025-09-17 17:44:26.850</t>
  </si>
  <si>
    <t>2025-09-17 17:44:35.742</t>
  </si>
  <si>
    <t>{'question': '88 - 45 + 12 = ?', 'answer': '53'}</t>
  </si>
  <si>
    <t>2025-09-17 17:44:39.880</t>
  </si>
  <si>
    <t>2025-09-17 17:44:44.046</t>
  </si>
  <si>
    <t>2025-09-17 17:44:54.165</t>
  </si>
  <si>
    <t>2025-09-17 17:44:55.393</t>
  </si>
  <si>
    <t>2025-09-17 17:44:58.595</t>
  </si>
  <si>
    <t>2025-09-17 17:45:04.209</t>
  </si>
  <si>
    <t>2025-09-17 17:45:12.100</t>
  </si>
  <si>
    <t>2025-09-17 17:45:13.130</t>
  </si>
  <si>
    <t>2025-09-17 17:45:18.021</t>
  </si>
  <si>
    <t>2025-09-17 17:45:25.055</t>
  </si>
  <si>
    <t>2025-09-17 17:45:30.041</t>
  </si>
  <si>
    <t>2025-09-17 17:45:32.236</t>
  </si>
  <si>
    <t>2025-09-17 17:45:35.760</t>
  </si>
  <si>
    <t>2025-09-17 17:45:38.280</t>
  </si>
  <si>
    <t>2025-09-17 17:45:51.412</t>
  </si>
  <si>
    <t>2025-09-17 17:45:55.892</t>
  </si>
  <si>
    <t>2025-09-17 17:46:00.438</t>
  </si>
  <si>
    <t>2025-09-17 17:46:09.899</t>
  </si>
  <si>
    <t>2025-09-17 17:46:20.574</t>
  </si>
  <si>
    <t>2025-09-17 17:46:27.606</t>
  </si>
  <si>
    <t>2025-09-17 17:46:29.194</t>
  </si>
  <si>
    <t>2025-09-17 17:46:36.887</t>
  </si>
  <si>
    <t>2025-09-17 17:46:43.090</t>
  </si>
  <si>
    <t>2025-09-17 17:46:49.315</t>
  </si>
  <si>
    <t>2025-09-17 17:46:53.743</t>
  </si>
  <si>
    <t>2025-09-17 17:46:58.643</t>
  </si>
  <si>
    <t>2025-09-17 17:47:13.869</t>
  </si>
  <si>
    <t>2025-09-17 17:47:14.978</t>
  </si>
  <si>
    <t>2025-09-17 17:47:20.917</t>
  </si>
  <si>
    <t>2025-09-17 17:47:22.819</t>
  </si>
  <si>
    <t>2025-09-17 17:47:23.517</t>
  </si>
  <si>
    <t>2025-09-17 17:47:32.700</t>
  </si>
  <si>
    <t>2025-09-17 17:47:33.013</t>
  </si>
  <si>
    <t>2025-09-17 17:47:47.357</t>
  </si>
  <si>
    <t>2025-09-17 17:48:05.612</t>
  </si>
  <si>
    <t>2025-09-17 17:48:20.373</t>
  </si>
  <si>
    <t>2025-09-17 17:48:25.727</t>
  </si>
  <si>
    <t>2025-09-17 17:48:32.201</t>
  </si>
  <si>
    <t>{'question': '15 + 74 - 3 = ?', 'answer': '96'}</t>
  </si>
  <si>
    <t>2025-09-17 17:48:35.838</t>
  </si>
  <si>
    <t>2025-09-17 17:48:37.674</t>
  </si>
  <si>
    <t>2025-09-17 17:48:52.102</t>
  </si>
  <si>
    <t>2025-09-17 17:48:53.234</t>
  </si>
  <si>
    <t>2025-09-17 17:48:56.018</t>
  </si>
  <si>
    <t>2025-09-17 17:48:56.859</t>
  </si>
  <si>
    <t>Previous Button Pressed</t>
  </si>
  <si>
    <t>2025-09-17 17:48:57.784</t>
  </si>
  <si>
    <t>2025-09-17 17:49:06.168</t>
  </si>
  <si>
    <t>2025-09-17 17:49:09.905</t>
  </si>
  <si>
    <t>2025-09-17 17:49:13.581</t>
  </si>
  <si>
    <t>2025-09-17 17:49:26.281</t>
  </si>
  <si>
    <t>2025-09-17 17:49:26.905</t>
  </si>
  <si>
    <t>2025-09-17 17:49:31.480</t>
  </si>
  <si>
    <t>2025-09-17 17:49:34.530</t>
  </si>
  <si>
    <t>2025-09-17 17:49:36.586</t>
  </si>
  <si>
    <t>2025-09-17 17:49:42.451</t>
  </si>
  <si>
    <t>2025-09-17 17:49:48.259</t>
  </si>
  <si>
    <t>2025-09-17 17:49:51.600</t>
  </si>
  <si>
    <t>2025-09-17 17:49:56.433</t>
  </si>
  <si>
    <t>2025-09-17 17:50:03.743</t>
  </si>
  <si>
    <t>2025-09-17 17:50:16.535</t>
  </si>
  <si>
    <t>2025-09-17 17:50:20.012</t>
  </si>
  <si>
    <t>2025-09-17 17:50:22.790</t>
  </si>
  <si>
    <t>2025-09-17 17:50:27.232</t>
  </si>
  <si>
    <t>2025-09-17 17:50:39.230</t>
  </si>
  <si>
    <t>2025-09-17 17:50:42.889</t>
  </si>
  <si>
    <t>2025-09-17 17:50:47.742</t>
  </si>
  <si>
    <t>2025-09-17 17:50:58.368</t>
  </si>
  <si>
    <t>2025-09-17 17:51:07.874</t>
  </si>
  <si>
    <t>2025-09-17 17:51:13.476</t>
  </si>
  <si>
    <t>2025-09-17 17:51:17.044</t>
  </si>
  <si>
    <t>2025-09-17 17:51:19.991</t>
  </si>
  <si>
    <t>2025-09-17 17:51:20.448</t>
  </si>
  <si>
    <t>2025-09-18 13:29:51.558</t>
  </si>
  <si>
    <t>2025-09-18 13:29:52.065</t>
  </si>
  <si>
    <t>2025-09-18 13:31:09.707</t>
  </si>
  <si>
    <t>2025-09-18 13:31:10.180</t>
  </si>
  <si>
    <t>2025-09-18 13:31:10.863</t>
  </si>
  <si>
    <t>2025-09-18 13:31:11.569</t>
  </si>
  <si>
    <t>2025-09-18 13:31:12.070</t>
  </si>
  <si>
    <t>2025-09-18 13:31:13.300</t>
  </si>
  <si>
    <t>2025-09-18 13:31:14.358</t>
  </si>
  <si>
    <t>2025-09-18 13:31:15.196</t>
  </si>
  <si>
    <t>2025-09-18 13:31:16.379</t>
  </si>
  <si>
    <t>2025-09-18 13:31:17.665</t>
  </si>
  <si>
    <t>2025-09-18 13:31:18.458</t>
  </si>
  <si>
    <t>2025-09-18 13:31:22.991</t>
  </si>
  <si>
    <t>2025-09-18 13:31:38.501</t>
  </si>
  <si>
    <t>2025-09-18 13:31:43.204</t>
  </si>
  <si>
    <t>2025-09-18 13:31:48.622</t>
  </si>
  <si>
    <t>2025-09-18 13:31:54.046</t>
  </si>
  <si>
    <t>2025-09-18 13:32:08.742</t>
  </si>
  <si>
    <t>2025-09-18 13:32:10.402</t>
  </si>
  <si>
    <t>2025-09-18 13:32:15.327</t>
  </si>
  <si>
    <t>2025-09-18 13:32:25.952</t>
  </si>
  <si>
    <t>2025-09-18 13:32:35.456</t>
  </si>
  <si>
    <t>2025-09-18 13:32:42.815</t>
  </si>
  <si>
    <t>2025-09-18 13:32:43.610</t>
  </si>
  <si>
    <t>2025-09-18 13:32:47.015</t>
  </si>
  <si>
    <t>2025-09-18 13:33:01.353</t>
  </si>
  <si>
    <t>2025-09-18 13:33:02.931</t>
  </si>
  <si>
    <t>2025-09-18 13:33:09.953</t>
  </si>
  <si>
    <t>2025-09-18 13:33:19.879</t>
  </si>
  <si>
    <t>2025-09-18 13:33:26.768</t>
  </si>
  <si>
    <t>2025-09-18 13:33:27.228</t>
  </si>
  <si>
    <t>2025-09-18 13:33:30.079</t>
  </si>
  <si>
    <t>2025-09-18 13:33:36.787</t>
  </si>
  <si>
    <t>2025-09-18 13:33:37.626</t>
  </si>
  <si>
    <t>2025-09-18 13:33:52.302</t>
  </si>
  <si>
    <t>2025-09-18 13:33:53.170</t>
  </si>
  <si>
    <t>2025-09-18 13:33:56.926</t>
  </si>
  <si>
    <t>2025-09-18 13:34:03.813</t>
  </si>
  <si>
    <t>2025-09-18 13:34:04.716</t>
  </si>
  <si>
    <t>2025-09-18 13:34:10.069</t>
  </si>
  <si>
    <t>2025-09-18 13:34:14.593</t>
  </si>
  <si>
    <t>2025-09-18 13:34:15.462</t>
  </si>
  <si>
    <t>2025-09-18 13:34:23.931</t>
  </si>
  <si>
    <t>2025-09-18 13:34:31.410</t>
  </si>
  <si>
    <t>2025-09-18 13:34:37.023</t>
  </si>
  <si>
    <t>2025-09-18 13:34:37.913</t>
  </si>
  <si>
    <t>2025-09-18 13:34:49.242</t>
  </si>
  <si>
    <t>2025-09-18 13:34:49.402</t>
  </si>
  <si>
    <t>{'previousAllocations': [{'name': 'Hospital_base', 'assignedTo': 'Robot', 'sliderValue': 10}, {'name': 'Hospital_big_top', 'assignedTo': 'Robot', 'sliderValue': 10}, {'name': 'Hospital_small_top', 'assignedTo': 'Robot', 'sliderValue': 10}, {'name': 'Hospital_screws', 'assignedTo': 'Human', 'sliderValue': 0}, {'name': 'Bridge_triangle_roof', 'assignedTo': 'Robot', 'sliderValue': 10}, {'name': 'Bridge_flat_roof', 'assignedTo': 'Robot', 'sliderValue': 10}, {'name': 'Bridge rod placement', 'assignedTo': 'Human', 'sliderValue': 0}, {'name': 'Dovetail_buttom', 'assignedTo': 'Robot', 'sliderValue': 10}, {'name': 'Dovetail_top', 'assignedTo': 'Robot', 'sliderValue': 9}, {'name': 'Wheel_holder', 'assignedTo': 'Robot', 'sliderValue': 10}, {'name': 'Wheel_holder_screws', 'assignedTo': 'Human', 'sliderValue': 0}, {'name': 'Wheel', 'assignedTo': 'Human', 'sliderValue': 0}, {'name': 'Wheel_screw', 'assignedTo': 'Human', 'sliderValue': 0}, {'name': 'Triangle', 'assignedTo': 'Robot', 'sliderValue': 10}, {'name': 'Snap_buttom', 'assignedTo': 'Robot', 'sliderValue': 10}, {'name': 'Snap_middle', 'assignedTo': 'Human', 'sliderValue': 0}, {'name': 'Snap_top', 'assignedTo': 'Human', 'sliderValue': 0}, {'name': 'Museum', 'assignedTo': 'Robot', 'sliderValue': 10}, {'name': 'Inspection', 'assignedTo': 'Human', 'sliderValue': 0}]}</t>
  </si>
  <si>
    <t>2025-09-18 13:34:49.920</t>
  </si>
  <si>
    <t>2025-09-18 13:35:10.105</t>
  </si>
  <si>
    <t>2025-09-18 13:35:24.824</t>
  </si>
  <si>
    <t>2025-09-18 13:35:30.238</t>
  </si>
  <si>
    <t>2025-09-18 13:35:38.390</t>
  </si>
  <si>
    <t>2025-09-18 13:35:44.004</t>
  </si>
  <si>
    <t>2025-09-18 13:35:50.505</t>
  </si>
  <si>
    <t>2025-09-18 13:35:58.489</t>
  </si>
  <si>
    <t>2025-09-18 13:35:58.554</t>
  </si>
  <si>
    <t>2025-09-18 13:36:03.144</t>
  </si>
  <si>
    <t>2025-09-18 13:36:06.313</t>
  </si>
  <si>
    <t>2025-09-18 13:36:21.646</t>
  </si>
  <si>
    <t>2025-09-18 13:36:26.451</t>
  </si>
  <si>
    <t>2025-09-18 13:36:37.154</t>
  </si>
  <si>
    <t>2025-09-18 13:36:40.594</t>
  </si>
  <si>
    <t>{'question': '12 × 12 = ?', 'answer': '142'}</t>
  </si>
  <si>
    <t>2025-09-18 13:36:51.030</t>
  </si>
  <si>
    <t>2025-09-18 13:36:52.650</t>
  </si>
  <si>
    <t>2025-09-18 13:36:55.582</t>
  </si>
  <si>
    <t>2025-09-18 13:37:08.824</t>
  </si>
  <si>
    <t>2025-09-18 13:37:11.146</t>
  </si>
  <si>
    <t>2025-09-18 13:37:26.573</t>
  </si>
  <si>
    <t>2025-09-18 13:37:30.783</t>
  </si>
  <si>
    <t>2025-09-18 13:37:35.327</t>
  </si>
  <si>
    <t>2025-09-18 13:37:43.495</t>
  </si>
  <si>
    <t>2025-09-18 13:37:44.068</t>
  </si>
  <si>
    <t>2025-09-18 13:37:50.882</t>
  </si>
  <si>
    <t>2025-09-18 13:37:56.801</t>
  </si>
  <si>
    <t>2025-09-18 13:37:59.059</t>
  </si>
  <si>
    <t>2025-09-18 13:38:01.763</t>
  </si>
  <si>
    <t>2025-09-18 13:38:07.882</t>
  </si>
  <si>
    <t>2025-09-18 13:38:16.922</t>
  </si>
  <si>
    <t>2025-09-18 13:38:20.350</t>
  </si>
  <si>
    <t>2025-09-18 13:38:20.883</t>
  </si>
  <si>
    <t>2025-09-18 13:38:21.884</t>
  </si>
  <si>
    <t>2025-09-18 13:40:25.357</t>
  </si>
  <si>
    <t>2025-09-18 13:40:25.864</t>
  </si>
  <si>
    <t>2025-09-18 13:41:28.042</t>
  </si>
  <si>
    <t>2025-09-18 13:41:28.113</t>
  </si>
  <si>
    <t>2025-09-18 13:41:28.182</t>
  </si>
  <si>
    <t>2025-09-18 13:41:28.245</t>
  </si>
  <si>
    <t>2025-09-18 13:41:28.300</t>
  </si>
  <si>
    <t>2025-09-18 13:41:28.366</t>
  </si>
  <si>
    <t>2025-09-18 13:41:28.422</t>
  </si>
  <si>
    <t>2025-09-18 13:41:28.479</t>
  </si>
  <si>
    <t>2025-09-18 13:41:29.339</t>
  </si>
  <si>
    <t>2025-09-18 13:41:29.857</t>
  </si>
  <si>
    <t>2025-09-18 13:41:30.421</t>
  </si>
  <si>
    <t>2025-09-18 13:41:31.374</t>
  </si>
  <si>
    <t>2025-09-18 13:41:32.443</t>
  </si>
  <si>
    <t>2025-09-18 13:41:33.066</t>
  </si>
  <si>
    <t>2025-09-18 13:41:34.044</t>
  </si>
  <si>
    <t>2025-09-18 13:41:34.815</t>
  </si>
  <si>
    <t>2025-09-18 13:41:36.216</t>
  </si>
  <si>
    <t>2025-09-18 13:41:36.951</t>
  </si>
  <si>
    <t>2025-09-18 13:41:37.584</t>
  </si>
  <si>
    <t>2025-09-18 13:41:40.688</t>
  </si>
  <si>
    <t>2025-09-18 13:41:56.204</t>
  </si>
  <si>
    <t>2025-09-18 13:42:10.954</t>
  </si>
  <si>
    <t>2025-09-18 13:42:27.246</t>
  </si>
  <si>
    <t>2025-09-18 13:42:44.938</t>
  </si>
  <si>
    <t>2025-09-18 13:42:47.196</t>
  </si>
  <si>
    <t>2025-09-18 13:42:58.334</t>
  </si>
  <si>
    <t>2025-09-18 13:43:00.636</t>
  </si>
  <si>
    <t>2025-09-18 13:43:03.318</t>
  </si>
  <si>
    <t>2025-09-18 13:43:14.033</t>
  </si>
  <si>
    <t>2025-09-18 13:43:20.999</t>
  </si>
  <si>
    <t>2025-09-18 13:43:25.702</t>
  </si>
  <si>
    <t>2025-09-18 13:43:36.518</t>
  </si>
  <si>
    <t>2025-09-18 13:43:39.248</t>
  </si>
  <si>
    <t>2025-09-18 13:43:50.246</t>
  </si>
  <si>
    <t>2025-09-18 13:43:52.040</t>
  </si>
  <si>
    <t>2025-09-18 13:44:09.730</t>
  </si>
  <si>
    <t>2025-09-18 13:44:26.680</t>
  </si>
  <si>
    <t>2025-09-18 13:44:48.109</t>
  </si>
  <si>
    <t>2025-09-18 13:44:50.651</t>
  </si>
  <si>
    <t>2025-09-18 13:45:02.500</t>
  </si>
  <si>
    <t>2025-09-18 13:45:02.632</t>
  </si>
  <si>
    <t>2025-09-18 13:45:17.116</t>
  </si>
  <si>
    <t>2025-09-18 13:45:17.172</t>
  </si>
  <si>
    <t>2025-09-18 13:45:17.229</t>
  </si>
  <si>
    <t>2025-09-18 13:45:17.289</t>
  </si>
  <si>
    <t>2025-09-18 13:45:17.357</t>
  </si>
  <si>
    <t>2025-09-18 13:45:17.409</t>
  </si>
  <si>
    <t>2025-09-18 13:45:17.468</t>
  </si>
  <si>
    <t>2025-09-18 13:45:17.522</t>
  </si>
  <si>
    <t>2025-09-18 13:45:17.572</t>
  </si>
  <si>
    <t>2025-09-18 13:45:17.638</t>
  </si>
  <si>
    <t>2025-09-18 13:45:17.699</t>
  </si>
  <si>
    <t>2025-09-18 13:45:17.781</t>
  </si>
  <si>
    <t>2025-09-18 13:45:17.866</t>
  </si>
  <si>
    <t>2025-09-18 13:45:17.934</t>
  </si>
  <si>
    <t>2025-09-18 13:45:18.018</t>
  </si>
  <si>
    <t>2025-09-18 13:45:18.769</t>
  </si>
  <si>
    <t>2025-09-18 13:45:20.382</t>
  </si>
  <si>
    <t>2025-09-18 13:45:22.148</t>
  </si>
  <si>
    <t>2025-09-18 13:45:44.393</t>
  </si>
  <si>
    <t>2025-09-18 13:46:35.179</t>
  </si>
  <si>
    <t>2025-09-18 13:46:54.987</t>
  </si>
  <si>
    <t>2025-09-18 13:47:14.123</t>
  </si>
  <si>
    <t>2025-09-18 13:47:32.576</t>
  </si>
  <si>
    <t>2025-09-18 13:47:47.318</t>
  </si>
  <si>
    <t>2025-09-18 13:47:48.768</t>
  </si>
  <si>
    <t>2025-09-18 13:48:02.822</t>
  </si>
  <si>
    <t>2025-09-18 13:48:05.087</t>
  </si>
  <si>
    <t>2025-09-18 13:48:06.394</t>
  </si>
  <si>
    <t>2025-09-18 13:48:18.358</t>
  </si>
  <si>
    <t>2025-09-18 13:48:23.644</t>
  </si>
  <si>
    <t>2025-09-18 13:48:31.062</t>
  </si>
  <si>
    <t>2025-09-18 13:48:33.804</t>
  </si>
  <si>
    <t>2025-09-18 13:48:36.063</t>
  </si>
  <si>
    <t>2025-09-18 13:48:41.142</t>
  </si>
  <si>
    <t>2025-09-18 13:48:47.638</t>
  </si>
  <si>
    <t>2025-09-18 13:48:50.000</t>
  </si>
  <si>
    <t>2025-09-18 13:48:53.022</t>
  </si>
  <si>
    <t>2025-09-18 13:49:07.772</t>
  </si>
  <si>
    <t>2025-09-18 13:49:10.325</t>
  </si>
  <si>
    <t>TA Time (s)</t>
  </si>
  <si>
    <t>Assembly time (s)</t>
  </si>
  <si>
    <t>14:49:11</t>
  </si>
  <si>
    <t>14:51:02</t>
  </si>
  <si>
    <t>14:53:10</t>
  </si>
  <si>
    <t>14:53:17</t>
  </si>
  <si>
    <t>14:53:40</t>
  </si>
  <si>
    <t>14:55:50</t>
  </si>
  <si>
    <t>15:32:35</t>
  </si>
  <si>
    <t>15:38:06</t>
  </si>
  <si>
    <t>15:40:46</t>
  </si>
  <si>
    <t>15:40:53</t>
  </si>
  <si>
    <t>15:42:09</t>
  </si>
  <si>
    <t>15:45:00</t>
  </si>
  <si>
    <t>12:09:41</t>
  </si>
  <si>
    <t>12:10:45</t>
  </si>
  <si>
    <t>12:13:42</t>
  </si>
  <si>
    <t>12:13:51</t>
  </si>
  <si>
    <t>12:14:14</t>
  </si>
  <si>
    <t>12:17:10</t>
  </si>
  <si>
    <t>10:51:08</t>
  </si>
  <si>
    <t>10:52:22</t>
  </si>
  <si>
    <t>10:58:21</t>
  </si>
  <si>
    <t>10:58:27</t>
  </si>
  <si>
    <t>10:59:19</t>
  </si>
  <si>
    <t>11:03:01</t>
  </si>
  <si>
    <t>11:47:32</t>
  </si>
  <si>
    <t>11:49:50</t>
  </si>
  <si>
    <t>11:52:21</t>
  </si>
  <si>
    <t>11:52:46</t>
  </si>
  <si>
    <t>11:53:58</t>
  </si>
  <si>
    <t>11:56:28</t>
  </si>
  <si>
    <t>13:53:04</t>
  </si>
  <si>
    <t>13:54:15</t>
  </si>
  <si>
    <t>13:56:58</t>
  </si>
  <si>
    <t>13:57:09</t>
  </si>
  <si>
    <t>13:58:02</t>
  </si>
  <si>
    <t>14:00:19</t>
  </si>
  <si>
    <t>14:43:35</t>
  </si>
  <si>
    <t>14:45:12</t>
  </si>
  <si>
    <t>14:48:20</t>
  </si>
  <si>
    <t>14:48:28</t>
  </si>
  <si>
    <t>14:49:10</t>
  </si>
  <si>
    <t>14:52:16</t>
  </si>
  <si>
    <t>15:54:26</t>
  </si>
  <si>
    <t>15:55:38</t>
  </si>
  <si>
    <t>15:57:47</t>
  </si>
  <si>
    <t>15:57:53</t>
  </si>
  <si>
    <t>15:58:48</t>
  </si>
  <si>
    <t>16:00:43</t>
  </si>
  <si>
    <t>16:02:35</t>
  </si>
  <si>
    <t>16:03:41</t>
  </si>
  <si>
    <t>16:09:24</t>
  </si>
  <si>
    <t>16:09:36</t>
  </si>
  <si>
    <t>16:11:21</t>
  </si>
  <si>
    <t>16:16:46</t>
  </si>
  <si>
    <t>17:12:35</t>
  </si>
  <si>
    <t>17:14:31</t>
  </si>
  <si>
    <t>17:17:03</t>
  </si>
  <si>
    <t>17:17:12</t>
  </si>
  <si>
    <t>17:17:33</t>
  </si>
  <si>
    <t>17:20:06</t>
  </si>
  <si>
    <t>16:54:29</t>
  </si>
  <si>
    <t>17:02:33</t>
  </si>
  <si>
    <t>17:06:13</t>
  </si>
  <si>
    <t>17:06:19</t>
  </si>
  <si>
    <t>17:06:45</t>
  </si>
  <si>
    <t>17:10:18</t>
  </si>
  <si>
    <t>17:56:56</t>
  </si>
  <si>
    <t>18:07:09</t>
  </si>
  <si>
    <t>18:10:19</t>
  </si>
  <si>
    <t>18:10:27</t>
  </si>
  <si>
    <t>18:12:19</t>
  </si>
  <si>
    <t>18:14:52</t>
  </si>
  <si>
    <t>18:17:36</t>
  </si>
  <si>
    <t>18:20:47</t>
  </si>
  <si>
    <t>18:23:46</t>
  </si>
  <si>
    <t>18:23:52</t>
  </si>
  <si>
    <t>18:25:04</t>
  </si>
  <si>
    <t>18:28:32</t>
  </si>
  <si>
    <t>14:13:14</t>
  </si>
  <si>
    <t>14:18:55</t>
  </si>
  <si>
    <t>14:21:05</t>
  </si>
  <si>
    <t>14:21:13</t>
  </si>
  <si>
    <t>14:22:19</t>
  </si>
  <si>
    <t>14:24:19</t>
  </si>
  <si>
    <t>13:56:37</t>
  </si>
  <si>
    <t>14:05:23</t>
  </si>
  <si>
    <t>14:08:33</t>
  </si>
  <si>
    <t>14:08:42</t>
  </si>
  <si>
    <t>14:10:20</t>
  </si>
  <si>
    <t>14:13:06</t>
  </si>
  <si>
    <t>16:31:42</t>
  </si>
  <si>
    <t>16:39:03</t>
  </si>
  <si>
    <t>16:42:11</t>
  </si>
  <si>
    <t>16:42:16</t>
  </si>
  <si>
    <t>16:42:45</t>
  </si>
  <si>
    <t>16:45:53</t>
  </si>
  <si>
    <t>16:46:34</t>
  </si>
  <si>
    <t>16:50:01</t>
  </si>
  <si>
    <t>16:52:28</t>
  </si>
  <si>
    <t>16:52:32</t>
  </si>
  <si>
    <t>16:53:45</t>
  </si>
  <si>
    <t>16:55:47</t>
  </si>
  <si>
    <t>18:00:23</t>
  </si>
  <si>
    <t>18:04:52</t>
  </si>
  <si>
    <t>18:08:20</t>
  </si>
  <si>
    <t>18:08:27</t>
  </si>
  <si>
    <t>18:09:59</t>
  </si>
  <si>
    <t>18:12:30</t>
  </si>
  <si>
    <t>17:42:49</t>
  </si>
  <si>
    <t>17:49:06</t>
  </si>
  <si>
    <t>17:51:31</t>
  </si>
  <si>
    <t>17:51:39</t>
  </si>
  <si>
    <t>17:54:40</t>
  </si>
  <si>
    <t>17:57:02</t>
  </si>
  <si>
    <t>09:51:33</t>
  </si>
  <si>
    <t>09:52:54</t>
  </si>
  <si>
    <t>09:55:14</t>
  </si>
  <si>
    <t>09:55:24</t>
  </si>
  <si>
    <t>09:56:08</t>
  </si>
  <si>
    <t>09:58:20</t>
  </si>
  <si>
    <t>09:34:24</t>
  </si>
  <si>
    <t>09:39:51</t>
  </si>
  <si>
    <t>09:44:00</t>
  </si>
  <si>
    <t>09:44:06</t>
  </si>
  <si>
    <t>09:45:32</t>
  </si>
  <si>
    <t>09:48:16</t>
  </si>
  <si>
    <t>10:37:01</t>
  </si>
  <si>
    <t>10:44:52</t>
  </si>
  <si>
    <t>10:48:17</t>
  </si>
  <si>
    <t>10:48:22</t>
  </si>
  <si>
    <t>10:49:14</t>
  </si>
  <si>
    <t>10:52:30</t>
  </si>
  <si>
    <t>10:54:43</t>
  </si>
  <si>
    <t>10:55:57</t>
  </si>
  <si>
    <t>10:59:25</t>
  </si>
  <si>
    <t>10:59:33</t>
  </si>
  <si>
    <t>11:01:05</t>
  </si>
  <si>
    <t>11:05:29</t>
  </si>
  <si>
    <t>12:00:10</t>
  </si>
  <si>
    <t>12:03:48</t>
  </si>
  <si>
    <t>12:06:44</t>
  </si>
  <si>
    <t>12:07:20</t>
  </si>
  <si>
    <t>12:10:14</t>
  </si>
  <si>
    <t>11:46:27</t>
  </si>
  <si>
    <t>11:52:52</t>
  </si>
  <si>
    <t>11:55:47</t>
  </si>
  <si>
    <t>11:56:01</t>
  </si>
  <si>
    <t>11:56:22</t>
  </si>
  <si>
    <t>12:00:03</t>
  </si>
  <si>
    <t>13:41:06</t>
  </si>
  <si>
    <t>13:56:43</t>
  </si>
  <si>
    <t>14:00:04</t>
  </si>
  <si>
    <t>14:00:10</t>
  </si>
  <si>
    <t>14:01:26</t>
  </si>
  <si>
    <t>14:04:54</t>
  </si>
  <si>
    <t>14:07:37</t>
  </si>
  <si>
    <t>14:08:43</t>
  </si>
  <si>
    <t>14:12:02</t>
  </si>
  <si>
    <t>14:12:07</t>
  </si>
  <si>
    <t>14:12:31</t>
  </si>
  <si>
    <t>14:15:54</t>
  </si>
  <si>
    <t>15:19:01</t>
  </si>
  <si>
    <t>15:21:57</t>
  </si>
  <si>
    <t>15:24:57</t>
  </si>
  <si>
    <t>15:25:04</t>
  </si>
  <si>
    <t>15:25:26</t>
  </si>
  <si>
    <t>15:28:36</t>
  </si>
  <si>
    <t>15:03:18</t>
  </si>
  <si>
    <t>15:09:05</t>
  </si>
  <si>
    <t>15:13:35</t>
  </si>
  <si>
    <t>15:13:41</t>
  </si>
  <si>
    <t>15:14:03</t>
  </si>
  <si>
    <t>15:18:54</t>
  </si>
  <si>
    <t>16:00:42</t>
  </si>
  <si>
    <t>16:06:58</t>
  </si>
  <si>
    <t>16:10:03</t>
  </si>
  <si>
    <t>16:10:07</t>
  </si>
  <si>
    <t>16:11:35</t>
  </si>
  <si>
    <t>16:14:05</t>
  </si>
  <si>
    <t>16:16:06</t>
  </si>
  <si>
    <t>16:17:59</t>
  </si>
  <si>
    <t>16:20:26</t>
  </si>
  <si>
    <t>16:20:32</t>
  </si>
  <si>
    <t>16:21:46</t>
  </si>
  <si>
    <t>16:24:19</t>
  </si>
  <si>
    <t>17:28:22</t>
  </si>
  <si>
    <t>17:29:07</t>
  </si>
  <si>
    <t>17:31:51</t>
  </si>
  <si>
    <t>17:31:57</t>
  </si>
  <si>
    <t>17:32:16</t>
  </si>
  <si>
    <t>17:34:37</t>
  </si>
  <si>
    <t>17:16:38</t>
  </si>
  <si>
    <t>17:18:31</t>
  </si>
  <si>
    <t>17:22:16</t>
  </si>
  <si>
    <t>17:22:20</t>
  </si>
  <si>
    <t>17:23:05</t>
  </si>
  <si>
    <t>17:26:10</t>
  </si>
  <si>
    <t>11:43:33</t>
  </si>
  <si>
    <t>11:51:26</t>
  </si>
  <si>
    <t>11:54:02</t>
  </si>
  <si>
    <t>11:54:08</t>
  </si>
  <si>
    <t>11:55:05</t>
  </si>
  <si>
    <t>11:57:24</t>
  </si>
  <si>
    <t>12:01:11</t>
  </si>
  <si>
    <t>12:04:27</t>
  </si>
  <si>
    <t>12:04:33</t>
  </si>
  <si>
    <t>12:05:51</t>
  </si>
  <si>
    <t>12:09:27</t>
  </si>
  <si>
    <t>13:53:11</t>
  </si>
  <si>
    <t>13:56:49</t>
  </si>
  <si>
    <t>13:58:34</t>
  </si>
  <si>
    <t>13:58:39</t>
  </si>
  <si>
    <t>13:59:15</t>
  </si>
  <si>
    <t>14:01:10</t>
  </si>
  <si>
    <t>13:39:16</t>
  </si>
  <si>
    <t>13:46:39</t>
  </si>
  <si>
    <t>13:49:22</t>
  </si>
  <si>
    <t>13:49:26</t>
  </si>
  <si>
    <t>13:50:20</t>
  </si>
  <si>
    <t>13:53:03</t>
  </si>
  <si>
    <t>11:28:38</t>
  </si>
  <si>
    <t>11:35:19</t>
  </si>
  <si>
    <t>11:37:48</t>
  </si>
  <si>
    <t>11:37:54</t>
  </si>
  <si>
    <t>11:38:47</t>
  </si>
  <si>
    <t>11:40:18</t>
  </si>
  <si>
    <t>11:42:11</t>
  </si>
  <si>
    <t>11:44:10</t>
  </si>
  <si>
    <t>11:46:25</t>
  </si>
  <si>
    <t>11:46:38</t>
  </si>
  <si>
    <t>11:47:18</t>
  </si>
  <si>
    <t>11:49:23</t>
  </si>
  <si>
    <t>13:44:27</t>
  </si>
  <si>
    <t>13:47:13</t>
  </si>
  <si>
    <t>13:50:07</t>
  </si>
  <si>
    <t>13:50:13</t>
  </si>
  <si>
    <t>13:52:03</t>
  </si>
  <si>
    <t>13:54:45</t>
  </si>
  <si>
    <t>13:31:01</t>
  </si>
  <si>
    <t>13:36:57</t>
  </si>
  <si>
    <t>13:40:09</t>
  </si>
  <si>
    <t>13:40:13</t>
  </si>
  <si>
    <t>13:40:35</t>
  </si>
  <si>
    <t>13:44:23</t>
  </si>
  <si>
    <t>14:56:11</t>
  </si>
  <si>
    <t>14:58:33</t>
  </si>
  <si>
    <t>15:02:16</t>
  </si>
  <si>
    <t>15:02:22</t>
  </si>
  <si>
    <t>15:03:43</t>
  </si>
  <si>
    <t>15:06:27</t>
  </si>
  <si>
    <t>15:09:35</t>
  </si>
  <si>
    <t>15:11:08</t>
  </si>
  <si>
    <t>15:14:04</t>
  </si>
  <si>
    <t>15:14:11</t>
  </si>
  <si>
    <t>15:14:39</t>
  </si>
  <si>
    <t>15:17:54</t>
  </si>
  <si>
    <t>17:54:54</t>
  </si>
  <si>
    <t>17:56:12</t>
  </si>
  <si>
    <t>17:58:47</t>
  </si>
  <si>
    <t>17:58:54</t>
  </si>
  <si>
    <t>17:59:43</t>
  </si>
  <si>
    <t>18:02:19</t>
  </si>
  <si>
    <t>17:37:35</t>
  </si>
  <si>
    <t>17:44:45</t>
  </si>
  <si>
    <t>17:47:39</t>
  </si>
  <si>
    <t>17:47:47</t>
  </si>
  <si>
    <t>17:48:29</t>
  </si>
  <si>
    <t>17:52:32</t>
  </si>
  <si>
    <t>19:04:11</t>
  </si>
  <si>
    <t>19:10:54</t>
  </si>
  <si>
    <t>19:13:30</t>
  </si>
  <si>
    <t>19:13:34</t>
  </si>
  <si>
    <t>19:15:04</t>
  </si>
  <si>
    <t>19:17:26</t>
  </si>
  <si>
    <t>19:19:21</t>
  </si>
  <si>
    <t>19:22:01</t>
  </si>
  <si>
    <t>19:24:16</t>
  </si>
  <si>
    <t>19:24:21</t>
  </si>
  <si>
    <t>19:25:18</t>
  </si>
  <si>
    <t>19:27:44</t>
  </si>
  <si>
    <t>14:48:59</t>
  </si>
  <si>
    <t>14:51:24</t>
  </si>
  <si>
    <t>14:53:18</t>
  </si>
  <si>
    <t>14:53:36</t>
  </si>
  <si>
    <t>14:54:33</t>
  </si>
  <si>
    <t>14:56:35</t>
  </si>
  <si>
    <t>14:30:40</t>
  </si>
  <si>
    <t>14:39:00</t>
  </si>
  <si>
    <t>14:42:16</t>
  </si>
  <si>
    <t>14:42:24</t>
  </si>
  <si>
    <t>14:43:28</t>
  </si>
  <si>
    <t>14:46:25</t>
  </si>
  <si>
    <t>17:28:14</t>
  </si>
  <si>
    <t>17:34:32</t>
  </si>
  <si>
    <t>17:37:43</t>
  </si>
  <si>
    <t>17:37:48</t>
  </si>
  <si>
    <t>17:38:19</t>
  </si>
  <si>
    <t>17:41:31</t>
  </si>
  <si>
    <t>17:43:15</t>
  </si>
  <si>
    <t>17:44:06</t>
  </si>
  <si>
    <t>17:47:23</t>
  </si>
  <si>
    <t>17:47:28</t>
  </si>
  <si>
    <t>17:48:05</t>
  </si>
  <si>
    <t>17:51:20</t>
  </si>
  <si>
    <t>13:40:19</t>
  </si>
  <si>
    <t>13:41:40</t>
  </si>
  <si>
    <t>13:44:50</t>
  </si>
  <si>
    <t>13:44:59</t>
  </si>
  <si>
    <t>13:46:35</t>
  </si>
  <si>
    <t>13:49:10</t>
  </si>
  <si>
    <t>13:24:22</t>
  </si>
  <si>
    <t>13:31:22</t>
  </si>
  <si>
    <t>13:34:37</t>
  </si>
  <si>
    <t>13:34:43</t>
  </si>
  <si>
    <t>13:35:10</t>
  </si>
  <si>
    <t>13:38:21</t>
  </si>
  <si>
    <t>10:42:56</t>
  </si>
  <si>
    <t>10:44:58</t>
  </si>
  <si>
    <t>10:47:33</t>
  </si>
  <si>
    <t>10:47:41</t>
  </si>
  <si>
    <t>10:48:42</t>
  </si>
  <si>
    <t>10:51:39</t>
  </si>
  <si>
    <t>10:54:52</t>
  </si>
  <si>
    <t>10:56:06</t>
  </si>
  <si>
    <t>10:58:38</t>
  </si>
  <si>
    <t>10:58:46</t>
  </si>
  <si>
    <t>10:59:13</t>
  </si>
  <si>
    <t>11:02:22</t>
  </si>
  <si>
    <t>15:00:26</t>
  </si>
  <si>
    <t>15:03:12</t>
  </si>
  <si>
    <t>15:06:20</t>
  </si>
  <si>
    <t>15:06:41</t>
  </si>
  <si>
    <t>15:07:09</t>
  </si>
  <si>
    <t>15:10:25</t>
  </si>
  <si>
    <t>14:50:19</t>
  </si>
  <si>
    <t>14:51:33</t>
  </si>
  <si>
    <t>14:54:27</t>
  </si>
  <si>
    <t>14:54:36</t>
  </si>
  <si>
    <t>14:55:27</t>
  </si>
  <si>
    <t>14:58:45</t>
  </si>
  <si>
    <t>Assembly time with question</t>
  </si>
  <si>
    <t>Number of QY</t>
  </si>
  <si>
    <t>Number of QO</t>
  </si>
  <si>
    <t>Time_QY</t>
  </si>
  <si>
    <t>Time_QO</t>
  </si>
  <si>
    <t>N_Q</t>
  </si>
  <si>
    <t>Time_Q</t>
  </si>
  <si>
    <t>Number of mistakes/collisions</t>
  </si>
  <si>
    <t>Self assesment_Mean</t>
  </si>
  <si>
    <t>Self Assesment_sum</t>
  </si>
  <si>
    <t>Assembly time_No question</t>
  </si>
  <si>
    <t>Robot N_task_No question</t>
  </si>
  <si>
    <t>Assembly time_ question</t>
  </si>
  <si>
    <t>Robot N_task_ question</t>
  </si>
  <si>
    <t>Mental_NQ</t>
  </si>
  <si>
    <t>Mental_Q</t>
  </si>
  <si>
    <t>Physical_NQ</t>
  </si>
  <si>
    <t>Physical_Q</t>
  </si>
  <si>
    <t>Temporal_NQ</t>
  </si>
  <si>
    <t>Temporal_Q</t>
  </si>
  <si>
    <t>Performance_NQ</t>
  </si>
  <si>
    <t>Performance_Q</t>
  </si>
  <si>
    <t>Effort_NQ</t>
  </si>
  <si>
    <t>Effort_Q</t>
  </si>
  <si>
    <t>Frustration_NQ</t>
  </si>
  <si>
    <t>Frustration_Q</t>
  </si>
  <si>
    <t>Satisfaction_NQ</t>
  </si>
  <si>
    <t>Satisfaction_Q</t>
  </si>
  <si>
    <t>Fairness_NQ</t>
  </si>
  <si>
    <t>Fairness_Q</t>
  </si>
  <si>
    <t>Efficency_NQ</t>
  </si>
  <si>
    <t>Efficency_Q</t>
  </si>
  <si>
    <t>TA_Satis_NQ</t>
  </si>
  <si>
    <t>TA_Satis_Q</t>
  </si>
  <si>
    <t>Willingness_NQ</t>
  </si>
  <si>
    <t>Willingness_Q</t>
  </si>
  <si>
    <t>TA_Difficulty_NQ</t>
  </si>
  <si>
    <t>TA_Difficulty_Q</t>
  </si>
  <si>
    <t>Number of wrong answers</t>
  </si>
  <si>
    <t>TA Time_NQ</t>
  </si>
  <si>
    <t>TA Time_q</t>
  </si>
  <si>
    <t>Self_Sum</t>
  </si>
  <si>
    <t>Robot_sum</t>
  </si>
  <si>
    <t>Mental</t>
  </si>
  <si>
    <t>Mental_q</t>
  </si>
  <si>
    <t>Physical</t>
  </si>
  <si>
    <t>Physical_q</t>
  </si>
  <si>
    <t>Temporal</t>
  </si>
  <si>
    <t>Temporal2</t>
  </si>
  <si>
    <t xml:space="preserve">successful </t>
  </si>
  <si>
    <t>successful 2</t>
  </si>
  <si>
    <t>Effort</t>
  </si>
  <si>
    <t>Effort2</t>
  </si>
  <si>
    <r>
      <rPr>
        <b/>
        <sz val="10"/>
        <color theme="1"/>
        <rFont val="Arial"/>
        <family val="2"/>
      </rPr>
      <t>Frustration</t>
    </r>
    <r>
      <rPr>
        <sz val="10"/>
        <color theme="1"/>
        <rFont val="Arial"/>
        <family val="2"/>
      </rPr>
      <t xml:space="preserve">  </t>
    </r>
  </si>
  <si>
    <t>Frustration  2</t>
  </si>
  <si>
    <t>Satisfaction</t>
  </si>
  <si>
    <t>Satisfaction2</t>
  </si>
  <si>
    <t>Fairness</t>
  </si>
  <si>
    <t>Fairness2</t>
  </si>
  <si>
    <t>CATEGORY:</t>
  </si>
  <si>
    <t>in the second experiment, without Q got chilled</t>
  </si>
  <si>
    <t>Performed pretty good in both, check the TA for task steps</t>
  </si>
  <si>
    <t>normal</t>
  </si>
  <si>
    <t>lack of skill with questions, in physical mode, performed good</t>
  </si>
  <si>
    <t>Average, Check if he kept same TA in both</t>
  </si>
  <si>
    <t>very normal</t>
  </si>
  <si>
    <t>with question mode, gave less tasks to the robot</t>
  </si>
  <si>
    <t>safety and ability as reason</t>
  </si>
  <si>
    <t>gave all task to robot</t>
  </si>
  <si>
    <t>gave all task to robot and knows it</t>
  </si>
  <si>
    <t>with question mode, gave less tasks to the robot but perfomed better</t>
  </si>
  <si>
    <t>randomly assigned</t>
  </si>
  <si>
    <t>gave few tasks to robot but perfomed well</t>
  </si>
  <si>
    <t>check for ta if it's the same</t>
  </si>
  <si>
    <t>for second experiment with Q performed better</t>
  </si>
  <si>
    <t>gave all to the robot, perfomed bad</t>
  </si>
  <si>
    <t>in second experiment with Q, gave less to robot and performed normal</t>
  </si>
  <si>
    <t>in second experiment with Q, gave less to robot and performed better</t>
  </si>
  <si>
    <t>in second experiment without Q got chilled</t>
  </si>
  <si>
    <t>Gave all the tasks to the robot</t>
  </si>
  <si>
    <t>Gave same amount of tasks to the robot in both scenarios</t>
  </si>
  <si>
    <t>didn’t aim for optimization but performed normal</t>
  </si>
  <si>
    <t>gave few tasks to robot but performed good</t>
  </si>
  <si>
    <t>lack of skill in mental load, but good in physical</t>
  </si>
  <si>
    <t>P19,P21</t>
  </si>
  <si>
    <t>P22,P26</t>
  </si>
  <si>
    <t>P13, P17, P31</t>
  </si>
  <si>
    <t>P25, P33</t>
  </si>
  <si>
    <t>P23, P24,P35</t>
  </si>
  <si>
    <t>many</t>
  </si>
  <si>
    <t>Efficency</t>
  </si>
  <si>
    <r>
      <t xml:space="preserve"> </t>
    </r>
    <r>
      <rPr>
        <b/>
        <sz val="10"/>
        <color theme="1"/>
        <rFont val="Arial"/>
        <family val="2"/>
      </rPr>
      <t>TA_satis</t>
    </r>
  </si>
  <si>
    <t>Willingness</t>
  </si>
  <si>
    <t>TA_diffi</t>
  </si>
  <si>
    <t>Efficency2</t>
  </si>
  <si>
    <t xml:space="preserve"> TA_satis2</t>
  </si>
  <si>
    <t>Willingness2</t>
  </si>
  <si>
    <t>TA_diffi2</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</si>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</sst>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14" x14ac:knownFonts="1">
    <font>
      <sz val="11"/>
      <color theme="1"/>
      <name val="Calibri"/>
      <family val="2"/>
      <scheme val="minor"/>
    </font>
    <font>
      <sz val="11"/>
      <color theme="0"/>
      <name val="Calibri"/>
      <family val="2"/>
      <scheme val="minor"/>
    </font>
    <font>
      <sz val="10"/>
      <color theme="1"/>
      <name val="Calibri"/>
      <scheme val="minor"/>
    </font>
    <font>
      <sz val="10"/>
      <color theme="1"/>
      <name val="Calibri"/>
      <family val="2"/>
      <scheme val="minor"/>
    </font>
    <font>
      <sz val="8"/>
      <name val="Calibri"/>
      <family val="2"/>
      <scheme val="minor"/>
    </font>
    <font>
      <b/>
      <sz val="16"/>
      <color theme="1"/>
      <name val="Calibri"/>
      <family val="2"/>
      <scheme val="minor"/>
    </font>
    <font>
      <b/>
      <sz val="10"/>
      <color theme="1"/>
      <name val="Arial"/>
      <family val="2"/>
    </font>
    <font>
      <sz val="10"/>
      <color theme="1"/>
      <name val="Arial"/>
      <family val="2"/>
    </font>
    <font>
      <b/>
      <sz val="14"/>
      <color theme="0"/>
      <name val="Calibri"/>
      <family val="2"/>
      <scheme val="minor"/>
    </font>
    <font>
      <b/>
      <sz val="16"/>
      <color theme="0"/>
      <name val="Calibri"/>
      <family val="2"/>
      <scheme val="minor"/>
    </font>
    <font>
      <sz val="12"/>
      <color theme="0"/>
      <name val="Calibri"/>
      <family val="2"/>
      <scheme val="minor"/>
    </font>
    <font>
      <b/>
      <sz val="14"/>
      <color theme="1"/>
      <name val="Calibri"/>
      <family val="2"/>
      <scheme val="minor"/>
    </font>
    <font>
      <b/>
      <sz val="18"/>
      <color theme="1"/>
      <name val="Calibri"/>
      <family val="2"/>
      <scheme val="minor"/>
    </font>
    <font>
      <b/>
      <sz val="12"/>
      <color theme="0"/>
      <name val="Calibri"/>
      <family val="2"/>
      <scheme val="minor"/>
    </font>
  </fonts>
  <fills count="41">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7C5BB"/>
        <bgColor indexed="64"/>
      </patternFill>
    </fill>
    <fill>
      <patternFill patternType="solid">
        <fgColor theme="8" tint="0.59999389629810485"/>
        <bgColor indexed="64"/>
      </patternFill>
    </fill>
    <fill>
      <patternFill patternType="solid">
        <fgColor rgb="FFBDD0FB"/>
        <bgColor indexed="64"/>
      </patternFill>
    </fill>
    <fill>
      <patternFill patternType="solid">
        <fgColor rgb="FF8D97F7"/>
        <bgColor indexed="64"/>
      </patternFill>
    </fill>
    <fill>
      <patternFill patternType="solid">
        <fgColor theme="4" tint="-0.499984740745262"/>
        <bgColor indexed="64"/>
      </patternFill>
    </fill>
    <fill>
      <patternFill patternType="solid">
        <fgColor theme="8" tint="-0.249977111117893"/>
        <bgColor indexed="64"/>
      </patternFill>
    </fill>
    <fill>
      <patternFill patternType="solid">
        <fgColor rgb="FFFFFF99"/>
        <bgColor indexed="64"/>
      </patternFill>
    </fill>
    <fill>
      <patternFill patternType="solid">
        <fgColor theme="9" tint="0.39997558519241921"/>
        <bgColor indexed="64"/>
      </patternFill>
    </fill>
    <fill>
      <patternFill patternType="solid">
        <fgColor rgb="FFF7F46C"/>
        <bgColor indexed="64"/>
      </patternFill>
    </fill>
    <fill>
      <patternFill patternType="solid">
        <fgColor theme="9"/>
        <bgColor indexed="64"/>
      </patternFill>
    </fill>
    <fill>
      <patternFill patternType="solid">
        <fgColor theme="5" tint="0.59999389629810485"/>
        <bgColor indexed="64"/>
      </patternFill>
    </fill>
    <fill>
      <patternFill patternType="solid">
        <fgColor theme="5"/>
        <bgColor indexed="64"/>
      </patternFill>
    </fill>
    <fill>
      <patternFill patternType="solid">
        <fgColor rgb="FFFFFFCC"/>
        <bgColor indexed="64"/>
      </patternFill>
    </fill>
    <fill>
      <patternFill patternType="solid">
        <fgColor rgb="FFFFFF00"/>
        <bgColor indexed="64"/>
      </patternFill>
    </fill>
    <fill>
      <patternFill patternType="solid">
        <fgColor rgb="FFF6F496"/>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rgb="FFFFC000"/>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rgb="FFFACEE2"/>
        <bgColor indexed="64"/>
      </patternFill>
    </fill>
    <fill>
      <patternFill patternType="solid">
        <fgColor rgb="FFE5DAFA"/>
        <bgColor indexed="64"/>
      </patternFill>
    </fill>
    <fill>
      <patternFill patternType="solid">
        <fgColor rgb="FFE9C5E1"/>
        <bgColor indexed="64"/>
      </patternFill>
    </fill>
    <fill>
      <patternFill patternType="solid">
        <fgColor theme="9" tint="-0.499984740745262"/>
        <bgColor indexed="64"/>
      </patternFill>
    </fill>
    <fill>
      <patternFill patternType="solid">
        <fgColor theme="9" tint="-0.249977111117893"/>
        <bgColor indexed="64"/>
      </patternFill>
    </fill>
    <fill>
      <patternFill patternType="solid">
        <fgColor rgb="FF92D050"/>
        <bgColor indexed="64"/>
      </patternFill>
    </fill>
    <fill>
      <patternFill patternType="solid">
        <fgColor theme="5" tint="-0.249977111117893"/>
        <bgColor indexed="64"/>
      </patternFill>
    </fill>
    <fill>
      <patternFill patternType="solid">
        <fgColor theme="7"/>
        <bgColor indexed="64"/>
      </patternFill>
    </fill>
    <fill>
      <patternFill patternType="solid">
        <fgColor theme="2" tint="-9.9978637043366805E-2"/>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rgb="FF442F65"/>
      </bottom>
      <diagonal/>
    </border>
    <border>
      <left style="thin">
        <color rgb="FF442F65"/>
      </left>
      <right style="thin">
        <color rgb="FF5B3F86"/>
      </right>
      <top style="thin">
        <color rgb="FF442F65"/>
      </top>
      <bottom style="medium">
        <color indexed="64"/>
      </bottom>
      <diagonal/>
    </border>
    <border>
      <left style="thin">
        <color rgb="FF5B3F86"/>
      </left>
      <right style="thin">
        <color rgb="FF5B3F86"/>
      </right>
      <top style="thin">
        <color rgb="FF442F65"/>
      </top>
      <bottom style="medium">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ck">
        <color indexed="64"/>
      </right>
      <top style="medium">
        <color indexed="64"/>
      </top>
      <bottom style="thin">
        <color indexed="64"/>
      </bottom>
      <diagonal/>
    </border>
    <border>
      <left/>
      <right style="thin">
        <color indexed="64"/>
      </right>
      <top/>
      <bottom style="thin">
        <color indexed="64"/>
      </bottom>
      <diagonal/>
    </border>
    <border>
      <left style="thin">
        <color rgb="FF5B3F86"/>
      </left>
      <right style="thin">
        <color rgb="FF442F65"/>
      </right>
      <top style="thin">
        <color rgb="FF442F65"/>
      </top>
      <bottom style="thick">
        <color indexed="64"/>
      </bottom>
      <diagonal/>
    </border>
    <border>
      <left style="thin">
        <color rgb="FF5B3F86"/>
      </left>
      <right style="thin">
        <color rgb="FF5B3F86"/>
      </right>
      <top style="thin">
        <color rgb="FF442F65"/>
      </top>
      <bottom style="thick">
        <color indexed="64"/>
      </bottom>
      <diagonal/>
    </border>
    <border>
      <left style="thin">
        <color rgb="FF442F65"/>
      </left>
      <right style="thin">
        <color rgb="FF5B3F86"/>
      </right>
      <top style="thin">
        <color rgb="FF442F65"/>
      </top>
      <bottom style="thick">
        <color indexed="64"/>
      </bottom>
      <diagonal/>
    </border>
    <border>
      <left style="thin">
        <color indexed="64"/>
      </left>
      <right style="thin">
        <color indexed="64"/>
      </right>
      <top/>
      <bottom/>
      <diagonal/>
    </border>
    <border>
      <left style="thin">
        <color rgb="FF5B3F86"/>
      </left>
      <right/>
      <top style="thin">
        <color rgb="FF442F65"/>
      </top>
      <bottom style="thick">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rgb="FF5B3F86"/>
      </right>
      <top style="thin">
        <color rgb="FF442F65"/>
      </top>
      <bottom style="thick">
        <color indexed="64"/>
      </bottom>
      <diagonal/>
    </border>
    <border>
      <left style="medium">
        <color indexed="64"/>
      </left>
      <right style="thin">
        <color rgb="FF5B3F86"/>
      </right>
      <top style="medium">
        <color indexed="64"/>
      </top>
      <bottom style="thick">
        <color indexed="64"/>
      </bottom>
      <diagonal/>
    </border>
    <border>
      <left style="thin">
        <color rgb="FF5B3F86"/>
      </left>
      <right style="medium">
        <color indexed="64"/>
      </right>
      <top style="medium">
        <color indexed="64"/>
      </top>
      <bottom style="thick">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73">
    <xf numFmtId="0" fontId="0" fillId="0" borderId="0" xfId="0"/>
    <xf numFmtId="0" fontId="0" fillId="2" borderId="0" xfId="0" applyFill="1" applyAlignment="1">
      <alignment horizontal="center" vertical="top" wrapText="1"/>
    </xf>
    <xf numFmtId="0" fontId="3" fillId="0" borderId="1" xfId="0" applyFont="1" applyBorder="1" applyAlignment="1">
      <alignment horizontal="left" vertical="center"/>
    </xf>
    <xf numFmtId="164" fontId="2" fillId="6" borderId="1" xfId="0" applyNumberFormat="1" applyFont="1" applyFill="1" applyBorder="1" applyAlignment="1">
      <alignment horizontal="center" vertical="center"/>
    </xf>
    <xf numFmtId="0" fontId="2" fillId="6" borderId="1" xfId="0" applyFont="1" applyFill="1" applyBorder="1" applyAlignment="1">
      <alignment horizontal="center" vertical="center"/>
    </xf>
    <xf numFmtId="0" fontId="3" fillId="6" borderId="2" xfId="0" applyFont="1" applyFill="1" applyBorder="1" applyAlignment="1">
      <alignment horizontal="left" vertical="center"/>
    </xf>
    <xf numFmtId="0" fontId="3" fillId="6" borderId="2" xfId="0" applyFont="1" applyFill="1" applyBorder="1" applyAlignment="1">
      <alignment horizontal="center" vertical="center"/>
    </xf>
    <xf numFmtId="0" fontId="3" fillId="6" borderId="1" xfId="0" applyFont="1" applyFill="1" applyBorder="1" applyAlignment="1">
      <alignment horizontal="left" vertical="center"/>
    </xf>
    <xf numFmtId="0" fontId="3" fillId="6" borderId="1" xfId="0" applyFont="1" applyFill="1" applyBorder="1" applyAlignment="1">
      <alignment horizontal="center" vertical="center"/>
    </xf>
    <xf numFmtId="164" fontId="2" fillId="4" borderId="1" xfId="0" applyNumberFormat="1" applyFont="1" applyFill="1" applyBorder="1" applyAlignment="1">
      <alignment horizontal="center" vertical="center"/>
    </xf>
    <xf numFmtId="0" fontId="2" fillId="4" borderId="1" xfId="0" applyFont="1" applyFill="1" applyBorder="1" applyAlignment="1">
      <alignment horizontal="center" vertical="center"/>
    </xf>
    <xf numFmtId="0" fontId="3" fillId="4" borderId="1" xfId="0" applyFont="1" applyFill="1" applyBorder="1" applyAlignment="1">
      <alignment horizontal="left" vertical="center"/>
    </xf>
    <xf numFmtId="0" fontId="3" fillId="4" borderId="1" xfId="0" applyFont="1" applyFill="1" applyBorder="1" applyAlignment="1">
      <alignment horizontal="center" vertical="center"/>
    </xf>
    <xf numFmtId="0" fontId="3" fillId="4" borderId="3" xfId="0" applyFont="1" applyFill="1" applyBorder="1" applyAlignment="1">
      <alignment horizontal="left" vertical="center"/>
    </xf>
    <xf numFmtId="0" fontId="3" fillId="4" borderId="3" xfId="0" applyFont="1" applyFill="1" applyBorder="1" applyAlignment="1">
      <alignment horizontal="center" vertical="center"/>
    </xf>
    <xf numFmtId="164" fontId="2" fillId="6" borderId="2" xfId="0" applyNumberFormat="1" applyFont="1" applyFill="1" applyBorder="1" applyAlignment="1">
      <alignment horizontal="center" vertical="center"/>
    </xf>
    <xf numFmtId="0" fontId="2" fillId="6" borderId="2" xfId="0" applyFont="1" applyFill="1" applyBorder="1" applyAlignment="1">
      <alignment horizontal="center" vertical="center"/>
    </xf>
    <xf numFmtId="0" fontId="2" fillId="2" borderId="5" xfId="0" applyFont="1" applyFill="1" applyBorder="1" applyAlignment="1">
      <alignment horizontal="center" vertical="top" wrapText="1"/>
    </xf>
    <xf numFmtId="0" fontId="2" fillId="5" borderId="6" xfId="0" applyFont="1" applyFill="1" applyBorder="1" applyAlignment="1">
      <alignment horizontal="center" vertical="top" wrapText="1"/>
    </xf>
    <xf numFmtId="0" fontId="3" fillId="5" borderId="6" xfId="0" applyFont="1" applyFill="1" applyBorder="1" applyAlignment="1">
      <alignment horizontal="center" vertical="top" wrapText="1"/>
    </xf>
    <xf numFmtId="0" fontId="3" fillId="4" borderId="8"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7" xfId="0" applyFont="1" applyFill="1" applyBorder="1" applyAlignment="1">
      <alignment horizontal="center" vertical="center"/>
    </xf>
    <xf numFmtId="0" fontId="3" fillId="4" borderId="7" xfId="0" applyFont="1" applyFill="1" applyBorder="1" applyAlignment="1">
      <alignment horizontal="center" vertical="center"/>
    </xf>
    <xf numFmtId="0" fontId="3" fillId="6" borderId="10" xfId="0" applyFont="1" applyFill="1" applyBorder="1" applyAlignment="1">
      <alignment horizontal="center" vertical="center"/>
    </xf>
    <xf numFmtId="0" fontId="2" fillId="6" borderId="8" xfId="0" applyFont="1" applyFill="1" applyBorder="1" applyAlignment="1">
      <alignment horizontal="center" vertical="center"/>
    </xf>
    <xf numFmtId="0" fontId="3" fillId="6" borderId="8" xfId="0" applyFont="1" applyFill="1" applyBorder="1" applyAlignment="1">
      <alignment horizontal="center" vertical="center"/>
    </xf>
    <xf numFmtId="0" fontId="2" fillId="6" borderId="9" xfId="0" applyFont="1" applyFill="1" applyBorder="1" applyAlignment="1">
      <alignment horizontal="center" vertical="center"/>
    </xf>
    <xf numFmtId="0" fontId="2" fillId="6" borderId="7" xfId="0" applyFont="1" applyFill="1" applyBorder="1" applyAlignment="1">
      <alignment horizontal="center" vertical="center"/>
    </xf>
    <xf numFmtId="0" fontId="2" fillId="5" borderId="12" xfId="0" applyFont="1" applyFill="1" applyBorder="1" applyAlignment="1">
      <alignment horizontal="center" vertical="top" wrapText="1"/>
    </xf>
    <xf numFmtId="0" fontId="2" fillId="5" borderId="11" xfId="0" applyFont="1" applyFill="1" applyBorder="1" applyAlignment="1">
      <alignment horizontal="center" vertical="top" wrapText="1"/>
    </xf>
    <xf numFmtId="0" fontId="2" fillId="3" borderId="13" xfId="0" applyFont="1" applyFill="1" applyBorder="1" applyAlignment="1">
      <alignment horizontal="center" vertical="top" wrapText="1"/>
    </xf>
    <xf numFmtId="0" fontId="2" fillId="3" borderId="12" xfId="0" applyFont="1" applyFill="1" applyBorder="1" applyAlignment="1">
      <alignment horizontal="center" vertical="top" wrapText="1"/>
    </xf>
    <xf numFmtId="0" fontId="2" fillId="7" borderId="12" xfId="0" applyFont="1" applyFill="1" applyBorder="1" applyAlignment="1">
      <alignment horizontal="center" vertical="top" wrapText="1"/>
    </xf>
    <xf numFmtId="0" fontId="3" fillId="2" borderId="12" xfId="0" applyFont="1" applyFill="1" applyBorder="1" applyAlignment="1">
      <alignment horizontal="center" vertical="top" wrapText="1"/>
    </xf>
    <xf numFmtId="0" fontId="3" fillId="8" borderId="12" xfId="0" applyFont="1" applyFill="1" applyBorder="1" applyAlignment="1">
      <alignment horizontal="center" vertical="top" wrapText="1"/>
    </xf>
    <xf numFmtId="0" fontId="3" fillId="8" borderId="11" xfId="0" applyFont="1" applyFill="1" applyBorder="1" applyAlignment="1">
      <alignment horizontal="center" vertical="top" wrapText="1"/>
    </xf>
    <xf numFmtId="0" fontId="3" fillId="9" borderId="12" xfId="0" applyFont="1" applyFill="1" applyBorder="1" applyAlignment="1">
      <alignment horizontal="center" vertical="top" wrapText="1"/>
    </xf>
    <xf numFmtId="0" fontId="3" fillId="9" borderId="11" xfId="0" applyFont="1" applyFill="1" applyBorder="1" applyAlignment="1">
      <alignment horizontal="center" vertical="top" wrapText="1"/>
    </xf>
    <xf numFmtId="0" fontId="3" fillId="5" borderId="12" xfId="0" applyFont="1" applyFill="1" applyBorder="1" applyAlignment="1">
      <alignment horizontal="center" vertical="top" wrapText="1"/>
    </xf>
    <xf numFmtId="0" fontId="3" fillId="5" borderId="11" xfId="0" applyFont="1" applyFill="1" applyBorder="1" applyAlignment="1">
      <alignment horizontal="center" vertical="top" wrapText="1"/>
    </xf>
    <xf numFmtId="0" fontId="2" fillId="4" borderId="3" xfId="0" applyFont="1" applyFill="1" applyBorder="1" applyAlignment="1">
      <alignment horizontal="center" vertical="center"/>
    </xf>
    <xf numFmtId="0" fontId="8" fillId="10" borderId="12" xfId="0" applyFont="1" applyFill="1" applyBorder="1" applyAlignment="1">
      <alignment horizontal="center" vertical="top" wrapText="1"/>
    </xf>
    <xf numFmtId="0" fontId="9" fillId="10" borderId="12" xfId="0" applyFont="1" applyFill="1" applyBorder="1" applyAlignment="1">
      <alignment horizontal="center" vertical="top" wrapText="1"/>
    </xf>
    <xf numFmtId="0" fontId="10" fillId="10" borderId="0" xfId="0" applyFont="1" applyFill="1"/>
    <xf numFmtId="0" fontId="5" fillId="0" borderId="4" xfId="0" applyFont="1" applyBorder="1"/>
    <xf numFmtId="0" fontId="0" fillId="0" borderId="4" xfId="0" applyBorder="1"/>
    <xf numFmtId="0" fontId="10" fillId="0" borderId="0" xfId="0" applyFont="1"/>
    <xf numFmtId="0" fontId="1" fillId="11" borderId="0" xfId="0" applyFont="1" applyFill="1"/>
    <xf numFmtId="164" fontId="3" fillId="6" borderId="2" xfId="0" applyNumberFormat="1" applyFont="1" applyFill="1" applyBorder="1" applyAlignment="1">
      <alignment horizontal="center" vertical="center"/>
    </xf>
    <xf numFmtId="0" fontId="3" fillId="6" borderId="9" xfId="0" applyFont="1" applyFill="1" applyBorder="1" applyAlignment="1">
      <alignment horizontal="center" vertical="center"/>
    </xf>
    <xf numFmtId="164" fontId="3" fillId="6" borderId="1" xfId="0" applyNumberFormat="1" applyFont="1" applyFill="1" applyBorder="1" applyAlignment="1">
      <alignment horizontal="center" vertical="center"/>
    </xf>
    <xf numFmtId="0" fontId="3" fillId="6" borderId="7" xfId="0" applyFont="1" applyFill="1" applyBorder="1" applyAlignment="1">
      <alignment horizontal="center" vertical="center"/>
    </xf>
    <xf numFmtId="164" fontId="3" fillId="4" borderId="1" xfId="0" applyNumberFormat="1" applyFont="1" applyFill="1" applyBorder="1" applyAlignment="1">
      <alignment horizontal="center" vertical="center"/>
    </xf>
    <xf numFmtId="0" fontId="3" fillId="2" borderId="5" xfId="0" applyFont="1" applyFill="1" applyBorder="1" applyAlignment="1">
      <alignment horizontal="center" vertical="top" wrapText="1"/>
    </xf>
    <xf numFmtId="0" fontId="0" fillId="12" borderId="0" xfId="0" applyFill="1"/>
    <xf numFmtId="0" fontId="0" fillId="13" borderId="0" xfId="0" applyFill="1"/>
    <xf numFmtId="0" fontId="0" fillId="14" borderId="0" xfId="0" applyFill="1"/>
    <xf numFmtId="0" fontId="0" fillId="15" borderId="0" xfId="0" applyFill="1"/>
    <xf numFmtId="0" fontId="0" fillId="16" borderId="0" xfId="0" applyFill="1"/>
    <xf numFmtId="0" fontId="0" fillId="17" borderId="0" xfId="0" applyFill="1"/>
    <xf numFmtId="0" fontId="11" fillId="0" borderId="0" xfId="0" applyFont="1" applyAlignment="1">
      <alignment wrapText="1"/>
    </xf>
    <xf numFmtId="0" fontId="0" fillId="18" borderId="0" xfId="0" applyFill="1"/>
    <xf numFmtId="0" fontId="0" fillId="19" borderId="0" xfId="0" applyFill="1"/>
    <xf numFmtId="0" fontId="0" fillId="20" borderId="0" xfId="0" applyFill="1"/>
    <xf numFmtId="0" fontId="0" fillId="21" borderId="0" xfId="0" applyFill="1"/>
    <xf numFmtId="0" fontId="0" fillId="22" borderId="0" xfId="0" applyFill="1"/>
    <xf numFmtId="0" fontId="0" fillId="23" borderId="0" xfId="0" applyFill="1"/>
    <xf numFmtId="0" fontId="12" fillId="0" borderId="0" xfId="0" applyFont="1"/>
    <xf numFmtId="0" fontId="5" fillId="0" borderId="0" xfId="0" applyFont="1"/>
    <xf numFmtId="0" fontId="0" fillId="0" borderId="0" xfId="0" applyAlignment="1">
      <alignment horizontal="center" vertical="center"/>
    </xf>
    <xf numFmtId="0" fontId="0" fillId="17" borderId="0" xfId="0" applyFill="1" applyAlignment="1">
      <alignment horizontal="center" vertical="center"/>
    </xf>
    <xf numFmtId="0" fontId="0" fillId="16" borderId="0" xfId="0" applyFill="1" applyAlignment="1">
      <alignment horizontal="center" vertical="center"/>
    </xf>
    <xf numFmtId="0" fontId="0" fillId="5" borderId="0" xfId="0" applyFill="1" applyAlignment="1">
      <alignment horizontal="center" vertical="center"/>
    </xf>
    <xf numFmtId="0" fontId="0" fillId="24" borderId="0" xfId="0" applyFill="1" applyAlignment="1">
      <alignment horizontal="center" vertical="center"/>
    </xf>
    <xf numFmtId="0" fontId="0" fillId="0" borderId="0" xfId="0" applyAlignment="1">
      <alignment horizontal="center" vertical="center" wrapText="1"/>
    </xf>
    <xf numFmtId="0" fontId="0" fillId="25" borderId="0" xfId="0" applyFill="1"/>
    <xf numFmtId="0" fontId="0" fillId="0" borderId="0" xfId="0" applyAlignment="1">
      <alignment horizontal="center"/>
    </xf>
    <xf numFmtId="0" fontId="3" fillId="2" borderId="5"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3" fillId="4" borderId="2" xfId="0" applyFont="1" applyFill="1" applyBorder="1" applyAlignment="1">
      <alignment horizontal="center" vertical="center"/>
    </xf>
    <xf numFmtId="0" fontId="3" fillId="4" borderId="14" xfId="0" applyFont="1" applyFill="1" applyBorder="1" applyAlignment="1">
      <alignment horizontal="center" vertical="center"/>
    </xf>
    <xf numFmtId="0" fontId="0" fillId="9" borderId="0" xfId="0" applyFill="1"/>
    <xf numFmtId="0" fontId="13" fillId="9" borderId="12" xfId="0" applyFont="1" applyFill="1" applyBorder="1" applyAlignment="1">
      <alignment horizontal="center" vertical="center" wrapText="1"/>
    </xf>
    <xf numFmtId="0" fontId="13" fillId="26" borderId="12" xfId="0" applyFont="1" applyFill="1" applyBorder="1" applyAlignment="1">
      <alignment horizontal="center" vertical="center" wrapText="1"/>
    </xf>
    <xf numFmtId="0" fontId="3" fillId="27" borderId="12" xfId="0" applyFont="1" applyFill="1" applyBorder="1" applyAlignment="1">
      <alignment horizontal="center" vertical="center" wrapText="1"/>
    </xf>
    <xf numFmtId="0" fontId="3" fillId="16" borderId="12" xfId="0" applyFont="1" applyFill="1" applyBorder="1" applyAlignment="1">
      <alignment horizontal="center" vertical="center" wrapText="1"/>
    </xf>
    <xf numFmtId="0" fontId="3" fillId="5" borderId="12" xfId="0" applyFont="1" applyFill="1" applyBorder="1" applyAlignment="1">
      <alignment horizontal="center" vertical="center" wrapText="1"/>
    </xf>
    <xf numFmtId="0" fontId="3" fillId="22" borderId="12" xfId="0" applyFont="1" applyFill="1" applyBorder="1" applyAlignment="1">
      <alignment horizontal="center" vertical="center" wrapText="1"/>
    </xf>
    <xf numFmtId="0" fontId="3" fillId="3" borderId="12" xfId="0" applyFont="1" applyFill="1" applyBorder="1" applyAlignment="1">
      <alignment horizontal="center" vertical="center" wrapText="1"/>
    </xf>
    <xf numFmtId="0" fontId="3" fillId="28" borderId="12" xfId="0" applyFont="1" applyFill="1" applyBorder="1" applyAlignment="1">
      <alignment horizontal="center" vertical="center" wrapText="1"/>
    </xf>
    <xf numFmtId="0" fontId="3" fillId="29" borderId="12" xfId="0" applyFont="1" applyFill="1" applyBorder="1" applyAlignment="1">
      <alignment horizontal="center" vertical="center" wrapText="1"/>
    </xf>
    <xf numFmtId="0" fontId="3" fillId="7" borderId="12" xfId="0" applyFont="1" applyFill="1" applyBorder="1" applyAlignment="1">
      <alignment horizontal="center" vertical="center" wrapText="1"/>
    </xf>
    <xf numFmtId="0" fontId="3" fillId="30" borderId="12" xfId="0" applyFont="1" applyFill="1" applyBorder="1" applyAlignment="1">
      <alignment horizontal="center" vertical="center" wrapText="1"/>
    </xf>
    <xf numFmtId="0" fontId="3" fillId="31" borderId="12" xfId="0" applyFont="1" applyFill="1" applyBorder="1" applyAlignment="1">
      <alignment horizontal="center" vertical="center" wrapText="1"/>
    </xf>
    <xf numFmtId="0" fontId="0" fillId="27" borderId="0" xfId="0" applyFill="1" applyAlignment="1">
      <alignment horizontal="center" vertical="center"/>
    </xf>
    <xf numFmtId="0" fontId="0" fillId="22" borderId="0" xfId="0" applyFill="1" applyAlignment="1">
      <alignment horizontal="center" vertical="center"/>
    </xf>
    <xf numFmtId="0" fontId="0" fillId="3" borderId="0" xfId="0" applyFill="1" applyAlignment="1">
      <alignment horizontal="center" vertical="center"/>
    </xf>
    <xf numFmtId="0" fontId="0" fillId="28" borderId="0" xfId="0" applyFill="1" applyAlignment="1">
      <alignment horizontal="center" vertical="center"/>
    </xf>
    <xf numFmtId="0" fontId="0" fillId="29" borderId="0" xfId="0" applyFill="1" applyAlignment="1">
      <alignment horizontal="center" vertical="center"/>
    </xf>
    <xf numFmtId="0" fontId="0" fillId="7" borderId="0" xfId="0" applyFill="1" applyAlignment="1">
      <alignment horizontal="center" vertical="center"/>
    </xf>
    <xf numFmtId="0" fontId="0" fillId="30" borderId="0" xfId="0" applyFill="1" applyAlignment="1">
      <alignment horizontal="center" vertical="center"/>
    </xf>
    <xf numFmtId="0" fontId="0" fillId="31" borderId="0" xfId="0" applyFill="1" applyAlignment="1">
      <alignment horizontal="center" vertical="center"/>
    </xf>
    <xf numFmtId="0" fontId="3" fillId="32" borderId="0" xfId="0" applyFont="1" applyFill="1" applyAlignment="1">
      <alignment horizontal="center" vertical="center"/>
    </xf>
    <xf numFmtId="0" fontId="3" fillId="33" borderId="0" xfId="0" applyFont="1" applyFill="1" applyAlignment="1">
      <alignment horizontal="center" vertical="center"/>
    </xf>
    <xf numFmtId="0" fontId="3" fillId="33" borderId="12" xfId="0" applyFont="1" applyFill="1" applyBorder="1" applyAlignment="1">
      <alignment horizontal="center" vertical="center" wrapText="1"/>
    </xf>
    <xf numFmtId="0" fontId="3" fillId="34" borderId="12" xfId="0" applyFont="1" applyFill="1" applyBorder="1" applyAlignment="1">
      <alignment horizontal="center" vertical="center" wrapText="1"/>
    </xf>
    <xf numFmtId="0" fontId="5" fillId="0" borderId="4" xfId="0" applyFont="1" applyBorder="1" applyAlignment="1">
      <alignment horizontal="center"/>
    </xf>
    <xf numFmtId="0" fontId="2" fillId="17" borderId="7" xfId="0" applyFont="1" applyFill="1" applyBorder="1" applyAlignment="1">
      <alignment horizontal="center" vertical="center"/>
    </xf>
    <xf numFmtId="0" fontId="3" fillId="17" borderId="1" xfId="0" applyFont="1" applyFill="1" applyBorder="1" applyAlignment="1">
      <alignment horizontal="left" vertical="center"/>
    </xf>
    <xf numFmtId="0" fontId="3" fillId="17" borderId="7" xfId="0" applyFont="1" applyFill="1" applyBorder="1" applyAlignment="1">
      <alignment horizontal="center" vertical="center"/>
    </xf>
    <xf numFmtId="0" fontId="5" fillId="0" borderId="4" xfId="0" applyFont="1" applyBorder="1" applyAlignment="1">
      <alignment horizontal="center"/>
    </xf>
    <xf numFmtId="0" fontId="2" fillId="17" borderId="1" xfId="0" applyFont="1" applyFill="1" applyBorder="1" applyAlignment="1">
      <alignment horizontal="center" vertical="center"/>
    </xf>
    <xf numFmtId="0" fontId="3" fillId="17" borderId="2" xfId="0" applyFont="1" applyFill="1" applyBorder="1" applyAlignment="1">
      <alignment horizontal="center" vertical="center"/>
    </xf>
    <xf numFmtId="0" fontId="2" fillId="35" borderId="7" xfId="0" applyFont="1" applyFill="1" applyBorder="1" applyAlignment="1">
      <alignment horizontal="center" vertical="center"/>
    </xf>
    <xf numFmtId="0" fontId="2" fillId="36" borderId="1" xfId="0" applyFont="1" applyFill="1" applyBorder="1" applyAlignment="1">
      <alignment horizontal="center" vertical="center"/>
    </xf>
    <xf numFmtId="0" fontId="3" fillId="37" borderId="2" xfId="0" applyFont="1" applyFill="1" applyBorder="1" applyAlignment="1">
      <alignment horizontal="center" vertical="center"/>
    </xf>
    <xf numFmtId="0" fontId="2" fillId="37" borderId="7" xfId="0" applyFont="1" applyFill="1" applyBorder="1" applyAlignment="1">
      <alignment horizontal="center" vertical="center"/>
    </xf>
    <xf numFmtId="0" fontId="3" fillId="38" borderId="2" xfId="0" applyFont="1" applyFill="1" applyBorder="1" applyAlignment="1">
      <alignment horizontal="center" vertical="center"/>
    </xf>
    <xf numFmtId="0" fontId="2" fillId="38" borderId="7" xfId="0" applyFont="1" applyFill="1" applyBorder="1" applyAlignment="1">
      <alignment horizontal="center" vertical="center"/>
    </xf>
    <xf numFmtId="0" fontId="3" fillId="38" borderId="7" xfId="0" applyFont="1" applyFill="1" applyBorder="1" applyAlignment="1">
      <alignment horizontal="center" vertical="center"/>
    </xf>
    <xf numFmtId="0" fontId="13" fillId="26" borderId="15" xfId="0" applyFont="1" applyFill="1" applyBorder="1" applyAlignment="1">
      <alignment horizontal="center" vertical="center" wrapText="1"/>
    </xf>
    <xf numFmtId="0" fontId="3" fillId="4" borderId="16" xfId="0" applyFont="1" applyFill="1" applyBorder="1" applyAlignment="1">
      <alignment horizontal="center" vertical="center"/>
    </xf>
    <xf numFmtId="0" fontId="3" fillId="4" borderId="17" xfId="0" applyFont="1" applyFill="1" applyBorder="1" applyAlignment="1">
      <alignment horizontal="center" vertical="center"/>
    </xf>
    <xf numFmtId="0" fontId="3" fillId="34" borderId="19" xfId="0" applyFont="1" applyFill="1" applyBorder="1" applyAlignment="1">
      <alignment horizontal="center" vertical="center" wrapText="1"/>
    </xf>
    <xf numFmtId="0" fontId="3" fillId="33" borderId="20" xfId="0" applyFont="1" applyFill="1" applyBorder="1" applyAlignment="1">
      <alignment horizontal="center" vertical="center" wrapText="1"/>
    </xf>
    <xf numFmtId="0" fontId="3" fillId="21" borderId="21" xfId="0" applyFont="1" applyFill="1" applyBorder="1" applyAlignment="1">
      <alignment horizontal="center" vertical="center"/>
    </xf>
    <xf numFmtId="0" fontId="3" fillId="33" borderId="22" xfId="0" applyFont="1" applyFill="1" applyBorder="1" applyAlignment="1">
      <alignment horizontal="center" vertical="center"/>
    </xf>
    <xf numFmtId="0" fontId="3" fillId="32" borderId="21" xfId="0" applyFont="1" applyFill="1" applyBorder="1" applyAlignment="1">
      <alignment horizontal="center" vertical="center"/>
    </xf>
    <xf numFmtId="0" fontId="3" fillId="21" borderId="22" xfId="0" applyFont="1" applyFill="1" applyBorder="1" applyAlignment="1">
      <alignment horizontal="center" vertical="center"/>
    </xf>
    <xf numFmtId="0" fontId="3" fillId="32" borderId="23" xfId="0" applyFont="1" applyFill="1" applyBorder="1" applyAlignment="1">
      <alignment horizontal="center" vertical="center"/>
    </xf>
    <xf numFmtId="0" fontId="3" fillId="21" borderId="24" xfId="0" applyFont="1" applyFill="1" applyBorder="1" applyAlignment="1">
      <alignment horizontal="center" vertical="center"/>
    </xf>
    <xf numFmtId="0" fontId="3" fillId="27" borderId="19" xfId="0" applyFont="1" applyFill="1" applyBorder="1" applyAlignment="1">
      <alignment horizontal="center" vertical="center" wrapText="1"/>
    </xf>
    <xf numFmtId="0" fontId="3" fillId="16" borderId="20" xfId="0" applyFont="1" applyFill="1" applyBorder="1" applyAlignment="1">
      <alignment horizontal="center" vertical="center" wrapText="1"/>
    </xf>
    <xf numFmtId="0" fontId="0" fillId="27" borderId="21" xfId="0" applyFill="1" applyBorder="1" applyAlignment="1">
      <alignment horizontal="center" vertical="center"/>
    </xf>
    <xf numFmtId="0" fontId="0" fillId="21" borderId="22" xfId="0" applyFill="1" applyBorder="1" applyAlignment="1">
      <alignment horizontal="center" vertical="center"/>
    </xf>
    <xf numFmtId="0" fontId="0" fillId="21" borderId="21" xfId="0" applyFill="1" applyBorder="1" applyAlignment="1">
      <alignment horizontal="center" vertical="center"/>
    </xf>
    <xf numFmtId="0" fontId="0" fillId="27" borderId="23" xfId="0" applyFill="1" applyBorder="1" applyAlignment="1">
      <alignment horizontal="center" vertical="center"/>
    </xf>
    <xf numFmtId="0" fontId="0" fillId="21" borderId="24" xfId="0" applyFill="1" applyBorder="1" applyAlignment="1">
      <alignment horizontal="center" vertical="center"/>
    </xf>
    <xf numFmtId="0" fontId="3" fillId="3" borderId="18" xfId="0" applyFont="1" applyFill="1" applyBorder="1" applyAlignment="1">
      <alignment horizontal="center" vertical="center" wrapText="1"/>
    </xf>
    <xf numFmtId="0" fontId="3" fillId="5" borderId="19" xfId="0" applyFont="1" applyFill="1" applyBorder="1" applyAlignment="1">
      <alignment horizontal="center" vertical="center" wrapText="1"/>
    </xf>
    <xf numFmtId="0" fontId="3" fillId="22" borderId="20" xfId="0" applyFont="1" applyFill="1" applyBorder="1" applyAlignment="1">
      <alignment horizontal="center" vertical="center" wrapText="1"/>
    </xf>
    <xf numFmtId="0" fontId="0" fillId="5" borderId="21" xfId="0" applyFill="1" applyBorder="1" applyAlignment="1">
      <alignment horizontal="center" vertical="center"/>
    </xf>
    <xf numFmtId="0" fontId="0" fillId="5" borderId="23" xfId="0" applyFill="1" applyBorder="1" applyAlignment="1">
      <alignment horizontal="center" vertical="center"/>
    </xf>
    <xf numFmtId="0" fontId="3" fillId="15" borderId="2" xfId="0" applyFont="1" applyFill="1" applyBorder="1" applyAlignment="1">
      <alignment horizontal="center" vertical="center"/>
    </xf>
    <xf numFmtId="0" fontId="3" fillId="37" borderId="7" xfId="0" applyFont="1" applyFill="1" applyBorder="1" applyAlignment="1">
      <alignment horizontal="center" vertical="center"/>
    </xf>
    <xf numFmtId="0" fontId="5" fillId="0" borderId="4" xfId="0" applyFont="1" applyBorder="1" applyAlignment="1"/>
    <xf numFmtId="0" fontId="0" fillId="4" borderId="0" xfId="0" applyFill="1"/>
    <xf numFmtId="0" fontId="2" fillId="39" borderId="7" xfId="0" applyFont="1" applyFill="1" applyBorder="1" applyAlignment="1">
      <alignment horizontal="center" vertical="center"/>
    </xf>
    <xf numFmtId="0" fontId="3" fillId="38" borderId="1" xfId="0" applyFont="1" applyFill="1" applyBorder="1" applyAlignment="1">
      <alignment horizontal="left" vertical="center"/>
    </xf>
    <xf numFmtId="0" fontId="2" fillId="37" borderId="1" xfId="0" applyFont="1" applyFill="1" applyBorder="1" applyAlignment="1">
      <alignment horizontal="center" vertical="center"/>
    </xf>
    <xf numFmtId="0" fontId="2" fillId="26" borderId="7" xfId="0" applyFont="1" applyFill="1" applyBorder="1" applyAlignment="1">
      <alignment horizontal="center" vertical="center"/>
    </xf>
    <xf numFmtId="0" fontId="2" fillId="13" borderId="7" xfId="0" applyFont="1" applyFill="1" applyBorder="1" applyAlignment="1">
      <alignment horizontal="center" vertical="center"/>
    </xf>
    <xf numFmtId="0" fontId="2" fillId="5" borderId="7" xfId="0" applyFont="1" applyFill="1" applyBorder="1" applyAlignment="1">
      <alignment horizontal="center" vertical="center"/>
    </xf>
    <xf numFmtId="0" fontId="2" fillId="31" borderId="7" xfId="0" applyFont="1" applyFill="1" applyBorder="1" applyAlignment="1">
      <alignment horizontal="center" vertical="center"/>
    </xf>
    <xf numFmtId="0" fontId="2" fillId="23" borderId="7" xfId="0" applyFont="1" applyFill="1" applyBorder="1" applyAlignment="1">
      <alignment horizontal="center" vertical="center"/>
    </xf>
    <xf numFmtId="0" fontId="2" fillId="40" borderId="7" xfId="0" applyFont="1" applyFill="1" applyBorder="1" applyAlignment="1">
      <alignment horizontal="center" vertical="center"/>
    </xf>
    <xf numFmtId="0" fontId="2" fillId="2" borderId="5" xfId="0" applyFont="1" applyFill="1" applyBorder="1" applyAlignment="1">
      <alignment horizontal="center" vertical="center" wrapText="1"/>
    </xf>
    <xf numFmtId="0" fontId="2" fillId="5" borderId="6" xfId="0" applyFont="1" applyFill="1" applyBorder="1" applyAlignment="1">
      <alignment horizontal="center" vertical="center" wrapText="1"/>
    </xf>
    <xf numFmtId="0" fontId="9" fillId="10" borderId="12" xfId="0" applyFont="1" applyFill="1" applyBorder="1" applyAlignment="1">
      <alignment horizontal="center" vertical="center" wrapText="1"/>
    </xf>
    <xf numFmtId="0" fontId="8" fillId="10" borderId="12"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6" fillId="8" borderId="12" xfId="0" applyFont="1" applyFill="1" applyBorder="1" applyAlignment="1">
      <alignment horizontal="center" vertical="center" wrapText="1"/>
    </xf>
    <xf numFmtId="0" fontId="7" fillId="8" borderId="12" xfId="0" applyFont="1" applyFill="1" applyBorder="1" applyAlignment="1">
      <alignment horizontal="center" vertical="center" wrapText="1"/>
    </xf>
    <xf numFmtId="0" fontId="3" fillId="5" borderId="11" xfId="0" applyFont="1" applyFill="1" applyBorder="1" applyAlignment="1">
      <alignment horizontal="center" vertical="center" wrapText="1"/>
    </xf>
    <xf numFmtId="0" fontId="0" fillId="2" borderId="0" xfId="0" applyFill="1" applyAlignment="1">
      <alignment horizontal="center" vertical="center" wrapText="1"/>
    </xf>
    <xf numFmtId="0" fontId="3" fillId="28" borderId="7" xfId="0" applyFont="1" applyFill="1" applyBorder="1" applyAlignment="1">
      <alignment horizontal="center" vertical="center"/>
    </xf>
    <xf numFmtId="0" fontId="0" fillId="39" borderId="0" xfId="0" applyFill="1" applyAlignment="1">
      <alignment horizontal="center"/>
    </xf>
    <xf numFmtId="0" fontId="3" fillId="23" borderId="7" xfId="0" applyFont="1" applyFill="1" applyBorder="1" applyAlignment="1">
      <alignment horizontal="center" vertical="center"/>
    </xf>
    <xf numFmtId="0" fontId="3" fillId="31" borderId="7" xfId="0" applyFont="1" applyFill="1" applyBorder="1" applyAlignment="1">
      <alignment horizontal="center" vertical="center"/>
    </xf>
    <xf numFmtId="0" fontId="3" fillId="5" borderId="7" xfId="0" applyFont="1" applyFill="1" applyBorder="1" applyAlignment="1">
      <alignment horizontal="center" vertical="center"/>
    </xf>
    <xf numFmtId="0" fontId="3" fillId="13" borderId="7" xfId="0" applyFont="1" applyFill="1" applyBorder="1" applyAlignment="1">
      <alignment horizontal="center" vertical="center"/>
    </xf>
    <xf numFmtId="0" fontId="0" fillId="0" borderId="0" xfId="0" applyFill="1"/>
  </cellXfs>
  <cellStyles count="1">
    <cellStyle name="Normal" xfId="0" builtinId="0"/>
  </cellStyles>
  <dxfs count="264">
    <dxf>
      <font>
        <b val="0"/>
        <i val="0"/>
        <strike val="0"/>
        <condense val="0"/>
        <extend val="0"/>
        <outline val="0"/>
        <shadow val="0"/>
        <u val="none"/>
        <vertAlign val="baseline"/>
        <sz val="10"/>
        <color theme="1"/>
        <name val="Calibri"/>
        <family val="2"/>
        <scheme val="minor"/>
      </font>
      <numFmt numFmtId="0" formatCode="General"/>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bottom style="thin">
          <color indexed="64"/>
        </bottom>
      </border>
    </dxf>
    <dxf>
      <font>
        <b val="0"/>
        <i val="0"/>
        <strike val="0"/>
        <condense val="0"/>
        <extend val="0"/>
        <outline val="0"/>
        <shadow val="0"/>
        <u val="none"/>
        <vertAlign val="baseline"/>
        <sz val="10"/>
        <color theme="1"/>
        <name val="Calibri"/>
        <scheme val="minor"/>
      </font>
      <numFmt numFmtId="0" formatCode="General"/>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scheme val="minor"/>
      </font>
      <numFmt numFmtId="0" formatCode="General"/>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scheme val="minor"/>
      </font>
      <numFmt numFmtId="0" formatCode="General"/>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scheme val="minor"/>
      </font>
      <numFmt numFmtId="0" formatCode="General"/>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scheme val="minor"/>
      </font>
      <numFmt numFmtId="0" formatCode="General"/>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scheme val="minor"/>
      </font>
      <numFmt numFmtId="0" formatCode="General"/>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scheme val="minor"/>
      </font>
      <numFmt numFmtId="0" formatCode="General"/>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0"/>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0"/>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0"/>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0"/>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0"/>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0"/>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0"/>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0"/>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0"/>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0"/>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fill>
        <patternFill patternType="solid">
          <fgColor indexed="64"/>
          <bgColor rgb="FFF7C5BB"/>
        </patternFill>
      </fill>
      <alignment horizontal="center"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0" formatCode="General"/>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0"/>
        <color theme="1"/>
        <name val="Calibri"/>
        <scheme val="minor"/>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dxf>
    <dxf>
      <fill>
        <patternFill patternType="solid">
          <fgColor indexed="64"/>
          <bgColor theme="0"/>
        </patternFill>
      </fill>
      <alignment horizontal="center" vertical="center" textRotation="0" wrapText="1" indent="0" justifyLastLine="0" shrinkToFit="0" readingOrder="0"/>
    </dxf>
    <dxf>
      <fill>
        <patternFill patternType="solid">
          <fgColor indexed="64"/>
          <bgColor theme="0"/>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scheme val="minor"/>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numFmt numFmtId="0" formatCode="General"/>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0"/>
        <color theme="1"/>
        <name val="Calibri"/>
        <scheme val="minor"/>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fill>
        <patternFill patternType="solid">
          <fgColor indexed="64"/>
          <bgColor rgb="FFF7C5BB"/>
        </patternFill>
      </fill>
      <alignment horizontal="center" vertical="center" textRotation="0" wrapText="0" indent="0" justifyLastLine="0" shrinkToFit="0" readingOrder="0"/>
      <border diagonalUp="0" diagonalDown="0">
        <left style="thin">
          <color indexed="64"/>
        </left>
        <right style="thin">
          <color indexed="64"/>
        </right>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z val="10"/>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0"/>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0"/>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0"/>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0"/>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0"/>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0"/>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0"/>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0"/>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0"/>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z val="10"/>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0"/>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0"/>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0"/>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0"/>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0"/>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0"/>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0"/>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0"/>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0"/>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numFmt numFmtId="0" formatCode="General"/>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dxf>
    <dxf>
      <fill>
        <patternFill patternType="solid">
          <fgColor indexed="64"/>
          <bgColor theme="0"/>
        </patternFill>
      </fill>
      <alignment horizontal="center" vertical="top" textRotation="0" wrapText="1" indent="0" justifyLastLine="0" shrinkToFit="0" readingOrder="0"/>
    </dxf>
    <dxf>
      <font>
        <sz val="10"/>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0"/>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0"/>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0"/>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0"/>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0"/>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0"/>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0"/>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0"/>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0"/>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numFmt numFmtId="0" formatCode="General"/>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0"/>
        <color theme="1"/>
        <name val="Calibri"/>
        <family val="2"/>
        <scheme val="minor"/>
      </font>
      <fill>
        <patternFill patternType="solid">
          <fgColor indexed="64"/>
          <bgColor rgb="FFE5DAFA"/>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rgb="FFFACEE2"/>
        </patternFill>
      </fill>
      <alignment horizontal="center" vertical="center" textRotation="0" wrapText="0" indent="0" justifyLastLine="0" shrinkToFit="0" readingOrder="0"/>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numFmt numFmtId="0" formatCode="General"/>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numFmt numFmtId="0" formatCode="General"/>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scheme val="minor"/>
      </font>
      <numFmt numFmtId="0" formatCode="General"/>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scheme val="minor"/>
      </font>
      <numFmt numFmtId="0" formatCode="General"/>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scheme val="minor"/>
      </font>
      <numFmt numFmtId="0" formatCode="General"/>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scheme val="minor"/>
      </font>
      <numFmt numFmtId="0" formatCode="General"/>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scheme val="minor"/>
      </font>
      <numFmt numFmtId="0" formatCode="General"/>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scheme val="minor"/>
      </font>
      <numFmt numFmtId="0" formatCode="General"/>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dxf>
    <dxf>
      <fill>
        <patternFill patternType="solid">
          <fgColor indexed="64"/>
          <bgColor theme="0"/>
        </patternFill>
      </fill>
      <alignment horizontal="center" vertical="top" textRotation="0" wrapText="1"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defaultTableStyle="TableStyleMedium2" defaultPivotStyle="PivotStyleLight16">
    <tableStyle name="Form Responses 1-style" pivot="0" count="3" xr9:uid="{423515FE-9DC6-4358-804E-5D5668C16F07}">
      <tableStyleElement type="headerRow" dxfId="263"/>
      <tableStyleElement type="firstRowStripe" dxfId="262"/>
      <tableStyleElement type="secondRowStripe" dxfId="261"/>
    </tableStyle>
  </tableStyles>
  <colors>
    <mruColors>
      <color rgb="FFE9C5E1"/>
      <color rgb="FFE5DAFA"/>
      <color rgb="FFFACEE2"/>
      <color rgb="FF8D97F7"/>
      <color rgb="FFF6F496"/>
      <color rgb="FFF7C5BB"/>
      <color rgb="FFBDD0FB"/>
      <color rgb="FFDEB3FF"/>
      <color rgb="FFBFE9EF"/>
      <color rgb="FF81E7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NASA TLx: with/Without</a:t>
            </a:r>
            <a:r>
              <a:rPr lang="en-US" baseline="0"/>
              <a:t> Question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T"/>
        </a:p>
      </c:txPr>
    </c:title>
    <c:autoTitleDeleted val="0"/>
    <c:plotArea>
      <c:layout/>
      <c:barChart>
        <c:barDir val="bar"/>
        <c:grouping val="clustered"/>
        <c:varyColors val="0"/>
        <c:ser>
          <c:idx val="0"/>
          <c:order val="0"/>
          <c:spPr>
            <a:solidFill>
              <a:schemeClr val="accent1"/>
            </a:solidFill>
            <a:ln>
              <a:noFill/>
            </a:ln>
            <a:effectLst/>
          </c:spPr>
          <c:invertIfNegative val="0"/>
          <c:val>
            <c:numRef>
              <c:f>questionnair!$AU$36:$BF$36</c:f>
              <c:numCache>
                <c:formatCode>General</c:formatCode>
                <c:ptCount val="12"/>
                <c:pt idx="0">
                  <c:v>2.925925925925926</c:v>
                </c:pt>
                <c:pt idx="1">
                  <c:v>3.7037037037037037</c:v>
                </c:pt>
                <c:pt idx="2">
                  <c:v>4.1481481481481479</c:v>
                </c:pt>
                <c:pt idx="3">
                  <c:v>9.0370370370370363</c:v>
                </c:pt>
                <c:pt idx="4">
                  <c:v>4.2962962962962967</c:v>
                </c:pt>
                <c:pt idx="5">
                  <c:v>2.4814814814814814</c:v>
                </c:pt>
                <c:pt idx="6">
                  <c:v>8.7037037037037042</c:v>
                </c:pt>
                <c:pt idx="7">
                  <c:v>8.2592592592592595</c:v>
                </c:pt>
                <c:pt idx="8">
                  <c:v>8.1851851851851851</c:v>
                </c:pt>
                <c:pt idx="9">
                  <c:v>8</c:v>
                </c:pt>
                <c:pt idx="10">
                  <c:v>9.1481481481481488</c:v>
                </c:pt>
                <c:pt idx="11">
                  <c:v>4.7777777777777777</c:v>
                </c:pt>
              </c:numCache>
            </c:numRef>
          </c:val>
          <c:extLst>
            <c:ext xmlns:c16="http://schemas.microsoft.com/office/drawing/2014/chart" uri="{C3380CC4-5D6E-409C-BE32-E72D297353CC}">
              <c16:uniqueId val="{00000000-91C4-4B16-8846-8FB175451119}"/>
            </c:ext>
          </c:extLst>
        </c:ser>
        <c:ser>
          <c:idx val="1"/>
          <c:order val="1"/>
          <c:spPr>
            <a:solidFill>
              <a:schemeClr val="accent2"/>
            </a:solidFill>
            <a:ln>
              <a:noFill/>
            </a:ln>
            <a:effectLst/>
          </c:spPr>
          <c:invertIfNegative val="0"/>
          <c:val>
            <c:numRef>
              <c:f>questionnair!$AU$39:$BF$39</c:f>
              <c:numCache>
                <c:formatCode>General</c:formatCode>
                <c:ptCount val="12"/>
                <c:pt idx="0">
                  <c:v>5.8518518518518521</c:v>
                </c:pt>
                <c:pt idx="1">
                  <c:v>3.8518518518518516</c:v>
                </c:pt>
                <c:pt idx="2">
                  <c:v>5.9259259259259256</c:v>
                </c:pt>
                <c:pt idx="3">
                  <c:v>8.8148148148148149</c:v>
                </c:pt>
                <c:pt idx="4">
                  <c:v>6</c:v>
                </c:pt>
                <c:pt idx="5">
                  <c:v>3.4074074074074074</c:v>
                </c:pt>
                <c:pt idx="6">
                  <c:v>8.6296296296296298</c:v>
                </c:pt>
                <c:pt idx="7">
                  <c:v>8.2962962962962958</c:v>
                </c:pt>
                <c:pt idx="8">
                  <c:v>7.8518518518518521</c:v>
                </c:pt>
                <c:pt idx="9">
                  <c:v>7.9629629629629628</c:v>
                </c:pt>
                <c:pt idx="10">
                  <c:v>9.1851851851851851</c:v>
                </c:pt>
                <c:pt idx="11">
                  <c:v>5.3703703703703702</c:v>
                </c:pt>
              </c:numCache>
            </c:numRef>
          </c:val>
          <c:extLst>
            <c:ext xmlns:c16="http://schemas.microsoft.com/office/drawing/2014/chart" uri="{C3380CC4-5D6E-409C-BE32-E72D297353CC}">
              <c16:uniqueId val="{00000001-91C4-4B16-8846-8FB175451119}"/>
            </c:ext>
          </c:extLst>
        </c:ser>
        <c:dLbls>
          <c:showLegendKey val="0"/>
          <c:showVal val="0"/>
          <c:showCatName val="0"/>
          <c:showSerName val="0"/>
          <c:showPercent val="0"/>
          <c:showBubbleSize val="0"/>
        </c:dLbls>
        <c:gapWidth val="182"/>
        <c:axId val="1604965472"/>
        <c:axId val="1604966432"/>
      </c:barChart>
      <c:catAx>
        <c:axId val="1604965472"/>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crossAx val="1604966432"/>
        <c:crosses val="autoZero"/>
        <c:auto val="1"/>
        <c:lblAlgn val="ctr"/>
        <c:lblOffset val="100"/>
        <c:noMultiLvlLbl val="0"/>
      </c:catAx>
      <c:valAx>
        <c:axId val="1604966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crossAx val="1604965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T"/>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GSE</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a:rPr>
            <a:t>GSE</a:t>
          </a:r>
        </a:p>
      </cx:txPr>
    </cx:title>
    <cx:plotArea>
      <cx:plotAreaRegion>
        <cx:series layoutId="boxWhisker" uniqueId="{E96F3FC3-F9C9-4650-AA64-8AE2F2D3E405}">
          <cx:dataId val="0"/>
          <cx:layoutPr>
            <cx:visibility meanLine="0"/>
            <cx:statistics quartileMethod="exclusive"/>
          </cx:layoutPr>
        </cx:series>
      </cx:plotAreaRegion>
      <cx:axis id="0">
        <cx:catScaling gapWidth="3.72000003"/>
        <cx:majorGridlines/>
        <cx:tickLabels/>
      </cx:axis>
      <cx:axis id="1">
        <cx:valScaling min="20"/>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rich>
          <a:bodyPr spcFirstLastPara="1" vertOverflow="ellipsis" horzOverflow="overflow" wrap="square" lIns="0" tIns="0" rIns="0" bIns="0" anchor="ctr" anchorCtr="1"/>
          <a:lstStyle/>
          <a:p>
            <a:pPr algn="ctr" rtl="0">
              <a:defRPr/>
            </a:pPr>
            <a:r>
              <a:rPr lang="hu-HU"/>
              <a:t>GAToRS</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boxWhisker" uniqueId="{9501F78A-4C82-435B-918F-9D0AE62EF84C}">
          <cx:dataId val="0"/>
          <cx:layoutPr>
            <cx:visibility meanLine="0" meanMarker="1" nonoutliers="0" outliers="1"/>
            <cx:statistics quartileMethod="exclusive"/>
          </cx:layoutPr>
        </cx:series>
      </cx:plotAreaRegion>
      <cx:axis id="0">
        <cx:catScaling gapWidth="1"/>
        <cx:tickLabels/>
      </cx:axis>
      <cx:axis id="1">
        <cx:valScaling min="50"/>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data id="1">
      <cx:numDim type="val">
        <cx:f>_xlchart.v1.5</cx:f>
      </cx:numDim>
    </cx:data>
    <cx:data id="2">
      <cx:numDim type="val">
        <cx:f>_xlchart.v1.7</cx:f>
      </cx:numDim>
    </cx:data>
    <cx:data id="3">
      <cx:numDim type="val">
        <cx:f>_xlchart.v1.9</cx:f>
      </cx:numDim>
    </cx:data>
  </cx:chartData>
  <cx:chart>
    <cx:title pos="t" align="ctr" overlay="0"/>
    <cx:plotArea>
      <cx:plotAreaRegion>
        <cx:series layoutId="boxWhisker" uniqueId="{AC3406B8-847F-44AC-916A-BC0F3094B90B}">
          <cx:tx>
            <cx:txData>
              <cx:f>_xlchart.v1.2</cx:f>
              <cx:v>Personal positive</cx:v>
            </cx:txData>
          </cx:tx>
          <cx:dataId val="0"/>
          <cx:layoutPr>
            <cx:visibility meanLine="0" meanMarker="1" nonoutliers="0" outliers="1"/>
            <cx:statistics quartileMethod="exclusive"/>
          </cx:layoutPr>
        </cx:series>
        <cx:series layoutId="boxWhisker" uniqueId="{74365A9D-CD56-47D0-AABF-470FAD24B5C1}">
          <cx:tx>
            <cx:txData>
              <cx:f>_xlchart.v1.4</cx:f>
              <cx:v>Personal negative</cx:v>
            </cx:txData>
          </cx:tx>
          <cx:dataId val="1"/>
          <cx:layoutPr>
            <cx:visibility meanLine="0" meanMarker="1" nonoutliers="0" outliers="1"/>
            <cx:statistics quartileMethod="exclusive"/>
          </cx:layoutPr>
        </cx:series>
        <cx:series layoutId="boxWhisker" uniqueId="{B330025D-5936-4DA3-BBB1-0193A97E629E}">
          <cx:tx>
            <cx:txData>
              <cx:f>_xlchart.v1.6</cx:f>
              <cx:v>Social Posiitve</cx:v>
            </cx:txData>
          </cx:tx>
          <cx:dataId val="2"/>
          <cx:layoutPr>
            <cx:visibility meanLine="0" meanMarker="1" nonoutliers="0" outliers="1"/>
            <cx:statistics quartileMethod="exclusive"/>
          </cx:layoutPr>
        </cx:series>
        <cx:series layoutId="boxWhisker" uniqueId="{53AAE699-C9D8-4E7E-A65F-CE79AF568E86}">
          <cx:tx>
            <cx:txData>
              <cx:f>_xlchart.v1.8</cx:f>
              <cx:v>Social negative</cx:v>
            </cx:txData>
          </cx:tx>
          <cx:dataId val="3"/>
          <cx:layoutPr>
            <cx:visibility meanLine="0" meanMarker="1" nonoutliers="0" outliers="1"/>
            <cx:statistics quartileMethod="exclusive"/>
          </cx:layoutPr>
        </cx:series>
      </cx:plotAreaRegion>
      <cx:axis id="0">
        <cx:catScaling gapWidth="1"/>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microsoft.com/office/2014/relationships/chartEx" Target="../charts/chartEx2.xml"/><Relationship Id="rId1" Type="http://schemas.microsoft.com/office/2014/relationships/chartEx" Target="../charts/chartEx1.xml"/><Relationship Id="rId4"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16</xdr:col>
      <xdr:colOff>60960</xdr:colOff>
      <xdr:row>37</xdr:row>
      <xdr:rowOff>175260</xdr:rowOff>
    </xdr:from>
    <xdr:to>
      <xdr:col>17</xdr:col>
      <xdr:colOff>640080</xdr:colOff>
      <xdr:row>49</xdr:row>
      <xdr:rowOff>167640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630B8E95-CE8E-C97C-BA38-1E8967219D0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8105120" y="8564880"/>
              <a:ext cx="1714500" cy="2186940"/>
            </a:xfrm>
            <a:prstGeom prst="rect">
              <a:avLst/>
            </a:prstGeom>
            <a:solidFill>
              <a:prstClr val="white"/>
            </a:solidFill>
            <a:ln w="1">
              <a:solidFill>
                <a:prstClr val="green"/>
              </a:solidFill>
            </a:ln>
          </xdr:spPr>
          <xdr:txBody>
            <a:bodyPr vertOverflow="clip" horzOverflow="clip"/>
            <a:lstStyle/>
            <a:p>
              <a:r>
                <a:rPr lang="en-AT"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37</xdr:col>
      <xdr:colOff>125730</xdr:colOff>
      <xdr:row>39</xdr:row>
      <xdr:rowOff>91440</xdr:rowOff>
    </xdr:from>
    <xdr:to>
      <xdr:col>42</xdr:col>
      <xdr:colOff>651510</xdr:colOff>
      <xdr:row>54</xdr:row>
      <xdr:rowOff>91440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EBFF0597-C2CD-53C4-A8D5-2938D2790F1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2820590" y="8846820"/>
              <a:ext cx="5494020" cy="2743200"/>
            </a:xfrm>
            <a:prstGeom prst="rect">
              <a:avLst/>
            </a:prstGeom>
            <a:solidFill>
              <a:prstClr val="white"/>
            </a:solidFill>
            <a:ln w="1">
              <a:solidFill>
                <a:prstClr val="green"/>
              </a:solidFill>
            </a:ln>
          </xdr:spPr>
          <xdr:txBody>
            <a:bodyPr vertOverflow="clip" horzOverflow="clip"/>
            <a:lstStyle/>
            <a:p>
              <a:r>
                <a:rPr lang="en-AT"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51</xdr:col>
      <xdr:colOff>530679</xdr:colOff>
      <xdr:row>41</xdr:row>
      <xdr:rowOff>28031</xdr:rowOff>
    </xdr:from>
    <xdr:to>
      <xdr:col>56</xdr:col>
      <xdr:colOff>801733</xdr:colOff>
      <xdr:row>56</xdr:row>
      <xdr:rowOff>28031</xdr:rowOff>
    </xdr:to>
    <xdr:graphicFrame macro="">
      <xdr:nvGraphicFramePr>
        <xdr:cNvPr id="5" name="Chart 4">
          <a:extLst>
            <a:ext uri="{FF2B5EF4-FFF2-40B4-BE49-F238E27FC236}">
              <a16:creationId xmlns:a16="http://schemas.microsoft.com/office/drawing/2014/main" id="{8A021C55-1C84-493D-49BB-531C517D51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33</xdr:col>
      <xdr:colOff>523873</xdr:colOff>
      <xdr:row>34</xdr:row>
      <xdr:rowOff>151592</xdr:rowOff>
    </xdr:from>
    <xdr:to>
      <xdr:col>36</xdr:col>
      <xdr:colOff>790301</xdr:colOff>
      <xdr:row>50</xdr:row>
      <xdr:rowOff>11983</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40C76AC-1925-B054-77F8-41EA7C797AA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7198933" y="7962092"/>
              <a:ext cx="4564108" cy="2816951"/>
            </a:xfrm>
            <a:prstGeom prst="rect">
              <a:avLst/>
            </a:prstGeom>
            <a:solidFill>
              <a:prstClr val="white"/>
            </a:solidFill>
            <a:ln w="1">
              <a:solidFill>
                <a:prstClr val="green"/>
              </a:solidFill>
            </a:ln>
          </xdr:spPr>
          <xdr:txBody>
            <a:bodyPr vertOverflow="clip" horzOverflow="clip"/>
            <a:lstStyle/>
            <a:p>
              <a:r>
                <a:rPr lang="en-AT" sz="1100"/>
                <a:t>This chart isn't available in your version of Excel.
Editing this shape or saving this workbook into a different file format will permanently break the chart.</a:t>
              </a:r>
            </a:p>
          </xdr:txBody>
        </xdr:sp>
      </mc:Fallback>
    </mc:AlternateContent>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71F8911-0AAF-4122-9B76-3B03C6F5D3D0}" name="Form_Responses245" displayName="Form_Responses245" ref="A2:AP18" headerRowDxfId="51" dataDxfId="50">
  <tableColumns count="42">
    <tableColumn id="1" xr3:uid="{294F5017-7666-4CDA-B71C-BD9421D6B6CF}" name="Timestamp" dataDxfId="49"/>
    <tableColumn id="2" xr3:uid="{0ACF2EC1-0D61-4D91-9E10-47D2D6CFE2D2}" name="Participant ID:" dataDxfId="48"/>
    <tableColumn id="79" xr3:uid="{1BFDD09D-B3E2-4A27-AA69-EADBC8B7421E}" name="Self_Sum" dataDxfId="47">
      <calculatedColumnFormula>SUM(Form_Responses2[[#This Row],[1- I can always manage to solve difficult problems if I try hard enough.]:[10- I can usually handle whatever comes my way.]])</calculatedColumnFormula>
    </tableColumn>
    <tableColumn id="81" xr3:uid="{B4459252-EA08-408E-B13E-22D566269079}" name="Robot_sum" dataDxfId="46">
      <calculatedColumnFormula>60+SUM(Form_Responses2[[#This Row],[11- Robots are necessary because they can do jobs that are too hard or too dangerous for people ]:[15- Robots are a good thing for society, because they help people]])-SUM(Form_Responses2[[#This Row],[16- Robots may make us even lazier ]:[20- Unregulated use of robotics can lead to societal upheavals]])</calculatedColumnFormula>
    </tableColumn>
    <tableColumn id="35" xr3:uid="{C3897D39-76D9-4970-ADC4-558358082577}" name="Assembly time" dataDxfId="45">
      <calculatedColumnFormula>TA_NQY!F3+TA_NQO!F3</calculatedColumnFormula>
    </tableColumn>
    <tableColumn id="91" xr3:uid="{2470CEDA-DCF0-425B-8788-FE0385B66848}" name="Assembly time with question" dataDxfId="44"/>
    <tableColumn id="33" xr3:uid="{18A8DD58-8324-4E2B-8A33-C19722770DD3}" name="Robot N_task" dataDxfId="43">
      <calculatedColumnFormula>TA_NQY!G3+TA_NQO!G3</calculatedColumnFormula>
    </tableColumn>
    <tableColumn id="89" xr3:uid="{D45B3434-40E2-4B15-9B8A-DFDBF3ABC0D4}" name="Robot N_task With question" dataDxfId="42"/>
    <tableColumn id="42" xr3:uid="{665CBB1A-6FD5-4A76-B3F5-3CDABA93846B}" name="Mental" dataDxfId="41"/>
    <tableColumn id="92" xr3:uid="{42A7BC95-72C5-4C13-A1C6-C221BF9D5B7A}" name="Mental_q" dataDxfId="40"/>
    <tableColumn id="43" xr3:uid="{81E446BA-D085-4F3D-A5D3-6B7A750C07FF}" name="Physical" dataDxfId="39"/>
    <tableColumn id="93" xr3:uid="{5B4C983F-9F6C-4B67-AF68-69B74991033C}" name="Physical_q" dataDxfId="38"/>
    <tableColumn id="44" xr3:uid="{F614FC98-5C98-48E4-99C5-C1815D04A23C}" name="Temporal" dataDxfId="37"/>
    <tableColumn id="94" xr3:uid="{33A2F2A5-861E-449E-9B40-69DF8FC2788A}" name="Temporal2" dataDxfId="36"/>
    <tableColumn id="45" xr3:uid="{77402F63-50D7-426F-B1AA-ED56CD6EEDB9}" name="successful " dataDxfId="35"/>
    <tableColumn id="95" xr3:uid="{80CED14C-CC1D-494C-988D-09055CDE02AB}" name="successful 2" dataDxfId="34"/>
    <tableColumn id="46" xr3:uid="{FF2F77D1-55C5-4F16-B66D-5E27A00C59F6}" name="Effort" dataDxfId="33"/>
    <tableColumn id="96" xr3:uid="{4B04C72C-D7FA-4A9A-9AFC-0B593FCDB076}" name="Effort2" dataDxfId="32"/>
    <tableColumn id="47" xr3:uid="{6227ADAA-5DAE-4FEC-B230-9093A783A134}" name="Frustration  " dataDxfId="31"/>
    <tableColumn id="97" xr3:uid="{A65206AE-58A6-42D1-8571-DDC19CD4901F}" name="Frustration  2" dataDxfId="30"/>
    <tableColumn id="48" xr3:uid="{FF6CC665-5CC7-4EAD-8B21-9F1ACC3846AF}" name="Satisfaction" dataDxfId="29"/>
    <tableColumn id="98" xr3:uid="{2D4616DE-19A7-40D3-89E4-968ED5F5943B}" name="Satisfaction2" dataDxfId="28"/>
    <tableColumn id="49" xr3:uid="{342522B6-5DDE-4E6E-B495-D349D986DEB4}" name="Fairness" dataDxfId="27"/>
    <tableColumn id="99" xr3:uid="{BB87E91E-DEEC-4CE7-9843-E24551B21084}" name="Fairness2" dataDxfId="26"/>
    <tableColumn id="50" xr3:uid="{48003DC5-2413-4123-B90A-4668A7DBD9C1}" name="Efficency" dataDxfId="25"/>
    <tableColumn id="100" xr3:uid="{2102F8FD-31F7-4E98-885E-D9AD728F50A5}" name="Efficency2" dataDxfId="24"/>
    <tableColumn id="51" xr3:uid="{01E127A0-0EA7-46E2-93CD-E6CDA310A453}" name=" TA_satis" dataDxfId="23"/>
    <tableColumn id="101" xr3:uid="{CB5C28A3-62AD-488A-A28C-7DD7F1BB58FB}" name=" TA_satis2" dataDxfId="22"/>
    <tableColumn id="52" xr3:uid="{F15F6B3E-4DE8-4737-B59C-B3915B8E3D0F}" name="Willingness" dataDxfId="21"/>
    <tableColumn id="102" xr3:uid="{7A5DA1E1-3C9F-4678-A0B4-AA9DFE4538D4}" name="Willingness2" dataDxfId="20"/>
    <tableColumn id="53" xr3:uid="{E462768B-54F5-43BB-8CD4-78B88E8ECA67}" name="TA_diffi" dataDxfId="19"/>
    <tableColumn id="103" xr3:uid="{D2C3249C-9525-462C-AEC0-616F44466CC0}" name="TA_diffi2" dataDxfId="18"/>
    <tableColumn id="67" xr3:uid="{83221969-BC80-442D-A60A-797BBCFCA15D}" name="1- What factors influenced how you assigned tasks between yourself and the robot? (Select all that apply) " dataDxfId="17"/>
    <tableColumn id="68" xr3:uid="{07EA4BF4-6224-4D78-969A-A30C6AD3C759}" name="2- How did you decide whether to assign a task to yourself or the robot?" dataDxfId="16"/>
    <tableColumn id="69" xr3:uid="{C329809A-1E7E-4312-9DAC-34F0A0668CD0}" name="3-  What were your thoughts about the robot’s capabilities?" dataDxfId="15"/>
    <tableColumn id="70" xr3:uid="{8E5325F7-E63B-4E94-9E65-31A73990274D}" name="4-  Did you feel the robot was better at any tasks than you?" dataDxfId="14"/>
    <tableColumn id="71" xr3:uid="{4D957719-EDBD-43CD-B58E-2E9D22297521}" name="5-  Did the collaboration feel balanced?" dataDxfId="13"/>
    <tableColumn id="72" xr3:uid="{656F1ACD-A5A4-405C-96F9-A9E7A41AA14E}" name="6- Do you think if the robot was more capable you would allocate more tasks to it?" dataDxfId="12"/>
    <tableColumn id="73" xr3:uid="{DF444E4F-8746-4781-9C65-DD6A8C144C01}" name="7-  Did you consider yourself and the robot as a team? Or did you feel you are the lead of it?" dataDxfId="11"/>
    <tableColumn id="74" xr3:uid="{9CBA2A09-CD6D-4AEA-9E3E-6B5FB9207CC2}" name="8-  What qualities of the robot influenced your allocation decisions?" dataDxfId="10"/>
    <tableColumn id="75" xr3:uid="{16E84587-3253-4C86-85C6-87EA8B6ECDF6}" name="9- Did your opinion of the robot change during the task?" dataDxfId="9"/>
    <tableColumn id="76" xr3:uid="{5AD87CE3-D9D7-4E32-AFC4-32A25A79C0F5}" name="10- If you could reallocate the tasks after this experience, what would you change and why?" dataDxfId="8"/>
  </tableColumns>
  <tableStyleInfo name="Form Responses 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823479-07BF-4E33-BF35-ED1ABB108412}" name="Form_Responses2" displayName="Form_Responses2" ref="A2:CF17" headerRowDxfId="173" dataDxfId="172">
  <tableColumns count="84">
    <tableColumn id="1" xr3:uid="{D889BA3B-6B33-4556-BBF1-50993673A83D}" name="Timestamp" dataDxfId="171"/>
    <tableColumn id="2" xr3:uid="{3ED95258-1183-4C63-BE5B-B189A9455B9E}" name="Participant ID:" dataDxfId="170"/>
    <tableColumn id="37" xr3:uid="{898AF007-ED13-46BA-921D-A7AE0B704C02}" name="Gender" dataDxfId="169"/>
    <tableColumn id="39" xr3:uid="{AB16ED20-6B7D-4942-8815-B0788519B5F6}" name="Age" dataDxfId="168"/>
    <tableColumn id="40" xr3:uid="{B7684362-B9BF-4193-BF99-D8B0FAB06B39}" name="Have you ever had any experience cooperating or interacting with a robot before this experiment?" dataDxfId="167"/>
    <tableColumn id="38" xr3:uid="{9F7FB193-9ECB-4EA7-AB82-14601CBD2C96}" name="1- Is the robot’s presence pleasant to you?" dataDxfId="166"/>
    <tableColumn id="3" xr3:uid="{CEA7795E-F365-4085-BB2D-636D2F6585F4}" name="1- I can always manage to solve difficult problems if I try hard enough." dataDxfId="165"/>
    <tableColumn id="4" xr3:uid="{1C4D217C-8003-4110-822C-84E54373181F}" name="2-  If someone opposes me, I can find the means and ways to get what I want." dataDxfId="164"/>
    <tableColumn id="5" xr3:uid="{8538A0F4-265B-4410-BB83-956FD754C15B}" name="3-  It is easy for me to stick to my aims and accomplish my goals." dataDxfId="163"/>
    <tableColumn id="6" xr3:uid="{1EF53CA4-B4FC-4D40-86A6-6A6D59589CAD}" name="4-  I am confident that I could deal efficiently with unexpected events." dataDxfId="162"/>
    <tableColumn id="7" xr3:uid="{8C64040C-5F56-47FF-B004-7F87F9D2B4BC}" name="5- Thanks to my resourcefulness, I know how to handle unforeseen situations." dataDxfId="161"/>
    <tableColumn id="8" xr3:uid="{BB0E8E69-78D8-44C6-A88D-34A53A84D981}" name="6-  I can solve most problems if I invest the necessary effort." dataDxfId="160"/>
    <tableColumn id="9" xr3:uid="{590B47AD-C602-4113-819E-92FECCE90C46}" name="7-  I can remain calm when facing difficulties because I can rely on my coping abilities." dataDxfId="159"/>
    <tableColumn id="10" xr3:uid="{6A0399EA-6F5B-4A5A-9122-12009DB47100}" name="8- When I am confronted with a problem, I can usually find several solutions." dataDxfId="158"/>
    <tableColumn id="11" xr3:uid="{72AE4F38-48E6-49D7-BE16-9CC255806179}" name="9- If I am in trouble, I can usually think of a solution." dataDxfId="157"/>
    <tableColumn id="12" xr3:uid="{6D43DD1D-EFDA-451F-ADF2-D66A402BB93C}" name="10- I can usually handle whatever comes my way." dataDxfId="156"/>
    <tableColumn id="80" xr3:uid="{681A1ABA-030C-459F-836B-2E9A861B5544}" name="Mean" dataDxfId="7">
      <calculatedColumnFormula>Form_Responses[[#This Row],[SUM]]/10</calculatedColumnFormula>
    </tableColumn>
    <tableColumn id="79" xr3:uid="{3F4AB161-3FC4-47D6-8F09-58ADE98369EA}" name="SUM" dataDxfId="6">
      <calculatedColumnFormula>SUM(Form_Responses[[#This Row],[1- I can always manage to solve difficult problems if I try hard enough.]:[10- I can usually handle whatever comes my way.]])</calculatedColumnFormula>
    </tableColumn>
    <tableColumn id="13" xr3:uid="{BC7166F9-29C4-4FB6-B428-A55605C01D4F}" name="1- I can trust persons and organizations related to development of robots " dataDxfId="155"/>
    <tableColumn id="14" xr3:uid="{A399824A-8D3B-4982-8724-47C29A4B1C84}" name="2- Persons and organizations related to development of robots will consider the needs, thoughts and feelings of their users " dataDxfId="154"/>
    <tableColumn id="15" xr3:uid="{25B76698-A85D-4191-A637-F893C2FEE07A}" name="3- I can trust a robot " dataDxfId="153"/>
    <tableColumn id="16" xr3:uid="{D1A57693-6171-4474-AED1-2C68A3245EEE}" name="4- I would feel relaxed talking with a robot" dataDxfId="152"/>
    <tableColumn id="17" xr3:uid="{7966DD11-5D7F-432A-9BDA-A190DECA7B77}" name="5- If robots had emotions, I would be able to be friend with them" dataDxfId="151"/>
    <tableColumn id="18" xr3:uid="{3E7CE627-D26C-4164-8E78-96D6033AF112}" name="6- I would feel uneasy if I was given a job where I had to use robots" dataDxfId="150"/>
    <tableColumn id="19" xr3:uid="{FB969E37-B41F-4680-A2FE-CE914949AE42}" name="7- I fear that a robot would not understand my commands" dataDxfId="149"/>
    <tableColumn id="20" xr3:uid="{39E6955C-BCB1-4309-BBA8-FA2F1538852E}" name="8- Robots scare me " dataDxfId="148"/>
    <tableColumn id="21" xr3:uid="{27D31A22-09C1-4BEC-882F-7260E2B972B7}" name="9- I would feel very nervous just being around a robot " dataDxfId="147"/>
    <tableColumn id="22" xr3:uid="{9B35E69C-F175-41E9-8F61-647E2800B125}" name="10- I don’t want a robot to touch me" dataDxfId="146"/>
    <tableColumn id="23" xr3:uid="{1BFDE634-8D19-419B-837B-15C2F4AA1AA5}" name="11- Robots are necessary because they can do jobs that are too hard or too dangerous for people " dataDxfId="145"/>
    <tableColumn id="24" xr3:uid="{2991D448-C695-4755-90CB-4386B042BA09}" name="12- Robots can make life easier " dataDxfId="144"/>
    <tableColumn id="25" xr3:uid="{E9337ACC-1D04-4912-966B-DF66B9C27F85}" name="13- Assigning routine tasks to robots lets people do more meaningful tasks " dataDxfId="143"/>
    <tableColumn id="26" xr3:uid="{77BF2C0C-BBAE-416F-9A51-0373F8932E5B}" name="14- Dangerous tasks should primarily be given to robots " dataDxfId="142"/>
    <tableColumn id="27" xr3:uid="{D541B1D3-EBB1-44BC-98D8-50E566ADB8AF}" name="15- Robots are a good thing for society, because they help people" dataDxfId="141"/>
    <tableColumn id="28" xr3:uid="{041BDA9D-7D8B-4288-80E1-56F02722DBDE}" name="16- Robots may make us even lazier " dataDxfId="140"/>
    <tableColumn id="29" xr3:uid="{1382298F-57D4-48E7-BDB1-CE9803CB4592}" name="17- Widespread use of robots is going to take away jobs from people " dataDxfId="139"/>
    <tableColumn id="30" xr3:uid="{4CDAC15B-A30C-487C-998F-F87BB5860522}" name="18- I am afraid that robots will encourage less interaction between humans " dataDxfId="138"/>
    <tableColumn id="31" xr3:uid="{D0AB68F2-1E31-41F3-BED3-17F931BE8B44}" name="19- Robotics is one of the areas of technology that needs to be closely monitored " dataDxfId="137"/>
    <tableColumn id="32" xr3:uid="{44525E8A-8135-4A86-BFE2-39A1B2A3F868}" name="20- Unregulated use of robotics can lead to societal upheavals" dataDxfId="136"/>
    <tableColumn id="81" xr3:uid="{D125CBFA-9D39-4762-80BB-D1A7EFB360B3}" name="Sum( reversed negative values)" dataDxfId="5">
      <calculatedColumnFormula>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calculatedColumnFormula>
    </tableColumn>
    <tableColumn id="82" xr3:uid="{6AFFA544-E6BE-41E5-9089-44C0B5F378D8}" name="Personal positive" dataDxfId="4">
      <calculatedColumnFormula>SUM(Form_Responses[[#This Row],[1- I can trust persons and organizations related to development of robots ]:[5- If robots had emotions, I would be able to be friend with them]])</calculatedColumnFormula>
    </tableColumn>
    <tableColumn id="83" xr3:uid="{50C49809-21B7-4E90-893B-AF3B8C474968}" name="Personal negative" dataDxfId="3">
      <calculatedColumnFormula>SUM(Form_Responses[[#This Row],[6- I would feel uneasy if I was given a job where I had to use robots]:[10- I don’t want a robot to touch me]])</calculatedColumnFormula>
    </tableColumn>
    <tableColumn id="84" xr3:uid="{2620E787-1B07-4008-B85F-46ADCCE07A69}" name="Social Posiitve" dataDxfId="2">
      <calculatedColumnFormula>SUM(Form_Responses[[#This Row],[11- Robots are necessary because they can do jobs that are too hard or too dangerous for people ]:[15- Robots are a good thing for society, because they help people]])</calculatedColumnFormula>
    </tableColumn>
    <tableColumn id="78" xr3:uid="{3187C363-562F-4FFB-8079-51CC18C49C27}" name="Social negative" dataDxfId="1">
      <calculatedColumnFormula>SUM(Form_Responses[[#This Row],[16- Robots may make us even lazier ]:[20- Unregulated use of robotics can lead to societal upheavals]])</calculatedColumnFormula>
    </tableColumn>
    <tableColumn id="41" xr3:uid="{4CAA7932-D2AD-4838-8857-BF3EE95BDE26}" name="Please indicate the scenario you just completed: " dataDxfId="97"/>
    <tableColumn id="86" xr3:uid="{24412ED9-0318-4018-BE28-5EB93245FF58}" name="TA Time_NQ" dataDxfId="0">
      <calculatedColumnFormula>TA_NQY!F3+TA_NQO!F3</calculatedColumnFormula>
    </tableColumn>
    <tableColumn id="35" xr3:uid="{BFFB7AAC-39C9-4F2D-A701-D756714B2918}" name="Assembly time" dataDxfId="96">
      <calculatedColumnFormula>TA_NQY!F3+TA_NQO!F3</calculatedColumnFormula>
    </tableColumn>
    <tableColumn id="33" xr3:uid="{849C26F2-1FDE-413E-B609-E6184E820ED5}" name="Robot N_task" dataDxfId="135">
      <calculatedColumnFormula>TA_NQY!G3+TA_NQO!G3</calculatedColumnFormula>
    </tableColumn>
    <tableColumn id="42" xr3:uid="{4E2F1308-5221-4676-B429-765379E192CB}" name="1.)  Mental Demand: How much thinking, deciding, or calculating was required to perform the tasks?" dataDxfId="134"/>
    <tableColumn id="43" xr3:uid="{8DAAD303-0806-46C9-A2AF-0C4667E4A343}" name=" 2.)  Physical Demand: How much physical activity was required to perform the tasks?     " dataDxfId="133"/>
    <tableColumn id="44" xr3:uid="{F7CD212C-062A-4EA6-A86E-653A30AC16CF}" name="3.) Temporal Demand: How hurried or rushed was the pace of the tasks?" dataDxfId="132"/>
    <tableColumn id="45" xr3:uid="{93B9565D-FFB1-44A5-A25D-14FC6C671E47}" name="4.)  Performance: How successful were you in accomplishing what you were asked to do?" dataDxfId="131"/>
    <tableColumn id="46" xr3:uid="{B3620840-BFEA-4C36-BF62-691BEF89B18E}" name="5.) Effort: How hard did you have to work to accomplish and maintain your level of performance?" dataDxfId="130"/>
    <tableColumn id="47" xr3:uid="{1EF960E2-3A2F-421E-BAAD-75C9629CF931}" name="6.) Frustration: How insecure, discouraged, irritated, stressed, and annoyed were you?     " dataDxfId="129"/>
    <tableColumn id="48" xr3:uid="{DEF352FD-64B1-4AD3-A2A0-E7773987A9A8}" name="7.) Satisfaction: How satisfied were you with the outcome of the collaboration." dataDxfId="128"/>
    <tableColumn id="49" xr3:uid="{51FDBCC7-A9CF-44B0-BBF8-1A5C31E78BC4}" name="8.) Fairness: How fair do you think your task allocation was? " dataDxfId="127"/>
    <tableColumn id="50" xr3:uid="{94522760-4262-4443-A9ED-5D5734EFC42A}" name="9.) Efficency: How efficient your task allocation was?" dataDxfId="126"/>
    <tableColumn id="51" xr3:uid="{9A26D92F-E41F-4277-A409-F7CBC539D820}" name="10.) Task Allocation: How satisfied are you with your task allocation?" dataDxfId="125"/>
    <tableColumn id="52" xr3:uid="{C434A27D-698F-4067-B40F-4ADFBE803B5E}" name="11.) Willingness: Are you willing to collaborate with this robot on more important tasks?" dataDxfId="124"/>
    <tableColumn id="53" xr3:uid="{F295FD2B-5137-4901-A401-59058C4354C2}" name="12.)  Decision-Making: How difficult was it to decide which tasks to assign to yourself versus the robot?" dataDxfId="123"/>
    <tableColumn id="54" xr3:uid="{0323CF29-C6B5-4290-819B-645CF2727F1E}" name="Please indicate the scenario you just completed:" dataDxfId="122"/>
    <tableColumn id="36" xr3:uid="{3D3FC4BE-07FD-4F11-9729-5AB32B5CEC1D}" name="Assembly time with question" dataDxfId="121">
      <calculatedColumnFormula>TA_QY!F3+TA_QO!F3</calculatedColumnFormula>
    </tableColumn>
    <tableColumn id="34" xr3:uid="{2142C69D-9ECA-4D46-8565-5D840EFEE956}" name="Robot N_task With question" dataDxfId="120">
      <calculatedColumnFormula>TA_QY!G3+TA_QO!G3</calculatedColumnFormula>
    </tableColumn>
    <tableColumn id="55" xr3:uid="{40932972-6296-4668-865D-90CBC35E8FDE}" name="1.)  Mental Demand: How much thinking, deciding, or calculating was required to perform the tasks?2" dataDxfId="119"/>
    <tableColumn id="56" xr3:uid="{95CC71EB-7842-4B65-9A89-5AB630C270C5}" name=" 2.)  Physical Demand: How much physical activity was required to perform the tasks?     3" dataDxfId="118"/>
    <tableColumn id="57" xr3:uid="{C9FBB856-0128-437C-921E-8C6B6DCB6ED4}" name="3.) Temporal Demand: How hurried or rushed was the pace of the tasks?4" dataDxfId="117"/>
    <tableColumn id="58" xr3:uid="{510EA573-522A-46A1-9F1E-87692C90351D}" name="4.)  Performance: How successful were you in accomplishing what you were asked to do?5" dataDxfId="116"/>
    <tableColumn id="59" xr3:uid="{42F6A4BA-7172-48CE-A01C-A059A20B0468}" name="5.) Effort: How hard did you have to work to accomplish and maintain your level of performance?6" dataDxfId="115"/>
    <tableColumn id="60" xr3:uid="{E56EBFC6-A24F-442A-9CB0-454561CC7845}" name="6.) Frustration: How insecure, discouraged, irritated, stressed, and annoyed were you?     7" dataDxfId="114"/>
    <tableColumn id="61" xr3:uid="{5B1636F4-EE24-477F-AE3A-CB25F3DA4A6A}" name="7.) Satisfaction: How satisfied were you with the outcome of the collaboration.8" dataDxfId="113"/>
    <tableColumn id="62" xr3:uid="{2E9C676B-3741-4CE2-9D1A-022DD9B6C64D}" name="8.) Fairness: How fair do you think your task allocation was? 9" dataDxfId="112"/>
    <tableColumn id="63" xr3:uid="{DD9D89B8-6FEA-40E7-BEBF-2195E7ECC708}" name="9.) Efficiency: How efficient your task allocation was?" dataDxfId="111"/>
    <tableColumn id="64" xr3:uid="{8118DDD7-AB16-4307-B60C-8A46A5557145}" name="10.) Task Allocation: How satisfied are you with your task allocation?10" dataDxfId="110"/>
    <tableColumn id="65" xr3:uid="{3DDC3A80-9352-436F-B428-BB6FA7E0A65D}" name="11.) Willingness: Are you willing to collaborate with this robot on more important tasks?11" dataDxfId="109"/>
    <tableColumn id="66" xr3:uid="{146E5338-7321-4CE7-9E70-77A3BA15E57E}" name="12.)  Decision-Making: How difficult was it to decide which tasks to assign to yourself versus the robot?12" dataDxfId="108"/>
    <tableColumn id="67" xr3:uid="{BBB6E674-5FD4-4962-A462-E11FDFE8E742}" name="1- What factors influenced how you assigned tasks between yourself and the robot? (Select all that apply) " dataDxfId="107"/>
    <tableColumn id="68" xr3:uid="{EE4210E8-D850-48A3-A53A-9ED2BF56A6F0}" name="2- How did you decide whether to assign a task to yourself or the robot?" dataDxfId="106"/>
    <tableColumn id="69" xr3:uid="{C37B0AFE-0D0F-4A7F-96F0-28684A296223}" name="3-  What were your thoughts about the robot’s capabilities?" dataDxfId="105"/>
    <tableColumn id="70" xr3:uid="{07C3E0EB-2A7C-4663-AE8D-CE0FC29CE005}" name="4-  Did you feel the robot was better at any tasks than you?" dataDxfId="104"/>
    <tableColumn id="71" xr3:uid="{6B7E2FBC-3EEA-4561-AF30-05CB5A338DF3}" name="5-  Did the collaboration feel balanced?" dataDxfId="103"/>
    <tableColumn id="72" xr3:uid="{2527A4B6-3DF5-4381-A58C-2146112E4AE5}" name="6- Do you think if the robot was more capable you would allocate more tasks to it?" dataDxfId="102"/>
    <tableColumn id="73" xr3:uid="{6649C401-6367-4B5D-BA37-B8066BAC13DD}" name="7-  Did you consider yourself and the robot as a team? Or did you feel you are the lead of it?" dataDxfId="101"/>
    <tableColumn id="74" xr3:uid="{9438FB91-2AE7-4C0F-BB8A-A37B4CDE4492}" name="8-  What qualities of the robot influenced your allocation decisions?" dataDxfId="100"/>
    <tableColumn id="75" xr3:uid="{F7ECAB94-F7BF-4F1B-86C5-37719B2233C3}" name="9- Did your opinion of the robot change during the task?" dataDxfId="99"/>
    <tableColumn id="76" xr3:uid="{7DFD4AFA-5106-43D0-B716-9231AFED810A}" name="10- If you could reallocate the tasks after this experience, what would you change and why?" dataDxfId="98"/>
  </tableColumns>
  <tableStyleInfo name="Form Responses 1-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C84F6BE-3CBC-4F60-9575-CB94DAC6A96A}" name="Form_Responses24" displayName="Form_Responses24" ref="A2:AP25" headerRowDxfId="52" dataDxfId="95">
  <tableColumns count="42">
    <tableColumn id="1" xr3:uid="{EDEBCB69-54D4-4B38-82AD-DD855D3F929D}" name="Timestamp" dataDxfId="94"/>
    <tableColumn id="2" xr3:uid="{417ECDA9-21C5-4079-982A-C5031515436D}" name="Participant ID:" dataDxfId="61"/>
    <tableColumn id="79" xr3:uid="{B55058A9-EF1E-4916-BF90-C5E11948B399}" name="Self_Sum" dataDxfId="60">
      <calculatedColumnFormula>SUM(Form_Responses2[[#This Row],[1- I can always manage to solve difficult problems if I try hard enough.]:[10- I can usually handle whatever comes my way.]])</calculatedColumnFormula>
    </tableColumn>
    <tableColumn id="81" xr3:uid="{7106C476-3B5E-42FA-B5A1-9B07A80B3AFF}" name="Robot_sum" dataDxfId="58">
      <calculatedColumnFormula>60+SUM(Form_Responses2[[#This Row],[11- Robots are necessary because they can do jobs that are too hard or too dangerous for people ]:[15- Robots are a good thing for society, because they help people]])-SUM(Form_Responses2[[#This Row],[16- Robots may make us even lazier ]:[20- Unregulated use of robotics can lead to societal upheavals]])</calculatedColumnFormula>
    </tableColumn>
    <tableColumn id="35" xr3:uid="{B9ACC14C-554A-4FB4-91C5-E17ECFA518A5}" name="Assembly time" dataDxfId="59">
      <calculatedColumnFormula>TA_NQY!F3+TA_NQO!F3</calculatedColumnFormula>
    </tableColumn>
    <tableColumn id="91" xr3:uid="{F8461EB6-24C7-48C8-A8F2-2EF0F601A652}" name="Assembly time with question" dataDxfId="69"/>
    <tableColumn id="33" xr3:uid="{70488C8C-2139-4BC9-B39F-D2530E1AAFB1}" name="Robot N_task" dataDxfId="70">
      <calculatedColumnFormula>TA_NQY!G3+TA_NQO!G3</calculatedColumnFormula>
    </tableColumn>
    <tableColumn id="89" xr3:uid="{880CF914-269D-4A3F-92B0-9C09CD9BBCC7}" name="Robot N_task With question" dataDxfId="71"/>
    <tableColumn id="42" xr3:uid="{7CC12DE6-19CC-4E33-A0ED-004B8CA1DEBE}" name="Mental" dataDxfId="76"/>
    <tableColumn id="92" xr3:uid="{D51DE1BB-669D-4A80-9E0C-2913FB731B78}" name="Mental_q" dataDxfId="68"/>
    <tableColumn id="43" xr3:uid="{67270195-848F-4093-BF10-E7095696585B}" name="Physical" dataDxfId="75"/>
    <tableColumn id="93" xr3:uid="{8658CE23-D78E-49EF-8549-38F8B806C5A8}" name="Physical_q" dataDxfId="67"/>
    <tableColumn id="44" xr3:uid="{B3801006-84CC-49EC-AC2D-95E8B47851D4}" name="Temporal" dataDxfId="74"/>
    <tableColumn id="94" xr3:uid="{C4EFC2C1-9D8A-439F-8B3B-F371C591BEC8}" name="Temporal2" dataDxfId="66"/>
    <tableColumn id="45" xr3:uid="{2844D3F9-8191-4FFA-B299-9D3FD514D3EC}" name="successful " dataDxfId="73"/>
    <tableColumn id="95" xr3:uid="{0B2DF16E-1C0C-4ED1-B99A-2CA414633099}" name="successful 2" dataDxfId="65"/>
    <tableColumn id="46" xr3:uid="{6E3F6E51-2731-4F2A-8725-10A69BE98F98}" name="Effort" dataDxfId="72"/>
    <tableColumn id="96" xr3:uid="{3BE3CB56-AA01-455F-9637-0A5DFC7CF14B}" name="Effort2" dataDxfId="64"/>
    <tableColumn id="47" xr3:uid="{9F3FB9B6-935A-4B87-8827-86687DF236E5}" name="Frustration  " dataDxfId="93"/>
    <tableColumn id="97" xr3:uid="{848E6248-BC9D-4E4B-8574-E9B11AC8FEA7}" name="Frustration  2" dataDxfId="63"/>
    <tableColumn id="48" xr3:uid="{B92EC5C3-067F-47C4-A712-97A963908BEC}" name="Satisfaction" dataDxfId="92"/>
    <tableColumn id="98" xr3:uid="{A4EDF9A4-8060-4568-AD4D-0A2DF7AAAEFC}" name="Satisfaction2" dataDxfId="62"/>
    <tableColumn id="49" xr3:uid="{88F964CA-73D4-49D9-BD51-A4763732A18B}" name="Fairness" dataDxfId="91"/>
    <tableColumn id="99" xr3:uid="{4C41C442-5B23-4F8F-8ED0-0CBCC02872D3}" name="Fairness2" dataDxfId="57"/>
    <tableColumn id="50" xr3:uid="{A8A9DB16-F943-4BCE-ABAB-70A75A4AC904}" name="Efficency" dataDxfId="90"/>
    <tableColumn id="100" xr3:uid="{38794EE4-4F2C-4328-8CFF-09DDDAA3B04F}" name="Efficency2" dataDxfId="56"/>
    <tableColumn id="51" xr3:uid="{3ED4F1E3-A37C-4AF1-9EE4-8E6CBE6B35D7}" name=" TA_satis" dataDxfId="89"/>
    <tableColumn id="101" xr3:uid="{0BF6E441-FC64-4630-B1FE-75B40E169B05}" name=" TA_satis2" dataDxfId="55"/>
    <tableColumn id="52" xr3:uid="{2095827E-BED2-4AEB-889A-C54A21855D1C}" name="Willingness" dataDxfId="88"/>
    <tableColumn id="102" xr3:uid="{E0A1A83F-13A5-47E1-A12A-F122BD12765D}" name="Willingness2" dataDxfId="54"/>
    <tableColumn id="53" xr3:uid="{3E6B12F7-CC75-4BD8-994D-64F15D495911}" name="TA_diffi" dataDxfId="87"/>
    <tableColumn id="103" xr3:uid="{64AFF16F-3F29-4309-998E-04B2C0AA31DB}" name="TA_diffi2" dataDxfId="53"/>
    <tableColumn id="67" xr3:uid="{8A881CF9-E443-4B9C-8CCF-06167964D244}" name="1- What factors influenced how you assigned tasks between yourself and the robot? (Select all that apply) " dataDxfId="86"/>
    <tableColumn id="68" xr3:uid="{80F0B459-8772-4807-AC49-908CCDDE3467}" name="2- How did you decide whether to assign a task to yourself or the robot?" dataDxfId="85"/>
    <tableColumn id="69" xr3:uid="{1A4BFE9A-D07B-4163-9F6A-01AADC614119}" name="3-  What were your thoughts about the robot’s capabilities?" dataDxfId="84"/>
    <tableColumn id="70" xr3:uid="{DD9827E1-B7E2-40AA-9EB1-23696165BEDC}" name="4-  Did you feel the robot was better at any tasks than you?" dataDxfId="83"/>
    <tableColumn id="71" xr3:uid="{6E777784-F2AA-4B65-9AD4-750B581BFEF2}" name="5-  Did the collaboration feel balanced?" dataDxfId="82"/>
    <tableColumn id="72" xr3:uid="{A0F350A1-DAD8-46B6-A66B-4EE74CB25C1C}" name="6- Do you think if the robot was more capable you would allocate more tasks to it?" dataDxfId="81"/>
    <tableColumn id="73" xr3:uid="{1D7F42DC-6480-44FC-89A6-C4F3C976960F}" name="7-  Did you consider yourself and the robot as a team? Or did you feel you are the lead of it?" dataDxfId="80"/>
    <tableColumn id="74" xr3:uid="{48BC1059-2E89-4952-B93C-BD17044C530E}" name="8-  What qualities of the robot influenced your allocation decisions?" dataDxfId="79"/>
    <tableColumn id="75" xr3:uid="{D660A6AD-6BF0-4488-8484-599E269045B1}" name="9- Did your opinion of the robot change during the task?" dataDxfId="78"/>
    <tableColumn id="76" xr3:uid="{AB5416B7-0254-49B9-ADEC-193B12DD82F1}" name="10- If you could reallocate the tasks after this experience, what would you change and why?" dataDxfId="77"/>
  </tableColumns>
  <tableStyleInfo name="Form Responses 1-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D6454B-7212-40E7-B938-CA9D0AD41A55}" name="Form_Responses" displayName="Form_Responses" ref="A2:CG34" headerRowDxfId="260" dataDxfId="259">
  <tableColumns count="85">
    <tableColumn id="1" xr3:uid="{21422B4B-AB28-40E7-BB72-84CD705DA6E7}" name="Timestamp" dataDxfId="258"/>
    <tableColumn id="2" xr3:uid="{B0381A77-3AB2-4786-9640-A0CDAB95F9B7}" name="Participant ID:" dataDxfId="257"/>
    <tableColumn id="37" xr3:uid="{A69B4E30-6A60-43F0-9853-49C4C5B41ED9}" name="Gender" dataDxfId="256"/>
    <tableColumn id="39" xr3:uid="{686F7C05-9FE5-4588-8329-1F60D318D684}" name="Age" dataDxfId="255"/>
    <tableColumn id="40" xr3:uid="{3115FFB4-A7C7-4CDA-A518-8F061F22FE00}" name="Have you ever had any experience cooperating or interacting with a robot before this experiment?" dataDxfId="254"/>
    <tableColumn id="38" xr3:uid="{10F3BF51-22FD-40D8-8E97-775C8A1979DF}" name="1- Is the robot’s presence pleasant to you?" dataDxfId="253"/>
    <tableColumn id="3" xr3:uid="{3980FA1C-8E56-46E7-8212-F9606A9B717B}" name="1- I can always manage to solve difficult problems if I try hard enough." dataDxfId="252"/>
    <tableColumn id="4" xr3:uid="{31D38D35-EF46-4E58-B5E9-4463EAEEE99B}" name="2-  If someone opposes me, I can find the means and ways to get what I want." dataDxfId="251"/>
    <tableColumn id="5" xr3:uid="{B9278496-7E80-4934-9C39-DB2E62631D79}" name="3-  It is easy for me to stick to my aims and accomplish my goals." dataDxfId="250"/>
    <tableColumn id="6" xr3:uid="{59D07F24-B316-403D-84BB-8625E9C591A1}" name="4-  I am confident that I could deal efficiently with unexpected events." dataDxfId="249"/>
    <tableColumn id="7" xr3:uid="{E0234D1E-945C-4EC0-83E0-1357817014B1}" name="5- Thanks to my resourcefulness, I know how to handle unforeseen situations." dataDxfId="248"/>
    <tableColumn id="8" xr3:uid="{23B4AB15-4A7D-4ED6-A65F-495D0CCF9B5E}" name="6-  I can solve most problems if I invest the necessary effort." dataDxfId="247"/>
    <tableColumn id="9" xr3:uid="{D163CFBF-4E1E-4895-9D3C-1D6788089770}" name="7-  I can remain calm when facing difficulties because I can rely on my coping abilities." dataDxfId="246"/>
    <tableColumn id="10" xr3:uid="{6EF47935-6FDE-42AD-A492-E50A2309D163}" name="8- When I am confronted with a problem, I can usually find several solutions." dataDxfId="245"/>
    <tableColumn id="11" xr3:uid="{F445C882-EA1A-445C-A935-ABB5589D01C1}" name="9- If I am in trouble, I can usually think of a solution." dataDxfId="244"/>
    <tableColumn id="12" xr3:uid="{5C4F83C0-2459-4B12-AE33-17BF55C8C871}" name="10- I can usually handle whatever comes my way." dataDxfId="243"/>
    <tableColumn id="80" xr3:uid="{77196929-B9ED-4CBE-AC69-84CBAB853EAB}" name="Mean" dataDxfId="242">
      <calculatedColumnFormula>Form_Responses[[#This Row],[SUM]]/10</calculatedColumnFormula>
    </tableColumn>
    <tableColumn id="79" xr3:uid="{D75D57F3-C206-4453-939D-25241D311799}" name="SUM" dataDxfId="241">
      <calculatedColumnFormula>SUM(Form_Responses[[#This Row],[1- I can always manage to solve difficult problems if I try hard enough.]:[10- I can usually handle whatever comes my way.]])</calculatedColumnFormula>
    </tableColumn>
    <tableColumn id="13" xr3:uid="{E5197B8A-67EE-4034-BCA1-BAA21E99CD2B}" name="1- I can trust persons and organizations related to development of robots " dataDxfId="240"/>
    <tableColumn id="14" xr3:uid="{B476FE1D-499C-49A8-A8DB-B19108E20C7B}" name="2- Persons and organizations related to development of robots will consider the needs, thoughts and feelings of their users " dataDxfId="239"/>
    <tableColumn id="15" xr3:uid="{CCE28BE0-9246-4B6E-A795-26F6290081FA}" name="3- I can trust a robot " dataDxfId="238"/>
    <tableColumn id="16" xr3:uid="{29B7D94D-0BA7-4F6F-A017-A05E4A1525B9}" name="4- I would feel relaxed talking with a robot" dataDxfId="237"/>
    <tableColumn id="17" xr3:uid="{BAEF125C-5426-4FED-BBFC-B38CE0A9FF7A}" name="5- If robots had emotions, I would be able to be friend with them" dataDxfId="236"/>
    <tableColumn id="18" xr3:uid="{A7224D08-F7B1-4ED6-87DB-9313083EDFAE}" name="6- I would feel uneasy if I was given a job where I had to use robots" dataDxfId="235"/>
    <tableColumn id="19" xr3:uid="{2712B1FA-5408-4FE3-90C4-06FA960ADE54}" name="7- I fear that a robot would not understand my commands" dataDxfId="234"/>
    <tableColumn id="20" xr3:uid="{64DE51DB-499A-4C1F-89FA-FD6A5D873745}" name="8- Robots scare me " dataDxfId="233"/>
    <tableColumn id="21" xr3:uid="{756E2577-53F3-43CA-A3C1-F827ABF72249}" name="9- I would feel very nervous just being around a robot " dataDxfId="232"/>
    <tableColumn id="22" xr3:uid="{F8313EDF-427C-411C-B02E-F4A2C5DCA6C4}" name="10- I don’t want a robot to touch me" dataDxfId="231"/>
    <tableColumn id="23" xr3:uid="{7F690819-38D0-4C2E-B15E-BB4E7A69DBE0}" name="11- Robots are necessary because they can do jobs that are too hard or too dangerous for people " dataDxfId="230"/>
    <tableColumn id="24" xr3:uid="{0529A8CC-CD45-4041-B922-E227814DE3FB}" name="12- Robots can make life easier " dataDxfId="229"/>
    <tableColumn id="25" xr3:uid="{204131D7-325B-4472-BF32-85D0865903F9}" name="13- Assigning routine tasks to robots lets people do more meaningful tasks " dataDxfId="228"/>
    <tableColumn id="26" xr3:uid="{CAA2DF26-2CB9-443B-A998-9C5ED76FE1ED}" name="14- Dangerous tasks should primarily be given to robots " dataDxfId="227"/>
    <tableColumn id="27" xr3:uid="{D676118D-DEF4-478D-B1A9-1D4E6088ED7B}" name="15- Robots are a good thing for society, because they help people" dataDxfId="226"/>
    <tableColumn id="28" xr3:uid="{42E017EF-46BC-48DE-8963-48279D08F54B}" name="16- Robots may make us even lazier " dataDxfId="225"/>
    <tableColumn id="29" xr3:uid="{86678E9E-103B-4951-AD4F-C920C87018F0}" name="17- Widespread use of robots is going to take away jobs from people " dataDxfId="224"/>
    <tableColumn id="30" xr3:uid="{0FFA66CB-6CD7-4584-9608-2FC491261974}" name="18- I am afraid that robots will encourage less interaction between humans " dataDxfId="223"/>
    <tableColumn id="31" xr3:uid="{16247870-5DD4-482B-B2FE-638CDAB12015}" name="19- Robotics is one of the areas of technology that needs to be closely monitored " dataDxfId="222"/>
    <tableColumn id="32" xr3:uid="{7997E453-B478-4168-BAE9-570676D39661}" name="20- Unregulated use of robotics can lead to societal upheavals" dataDxfId="221"/>
    <tableColumn id="81" xr3:uid="{FD9C4DA0-9142-496C-8803-89D8872DB5A7}" name="Sum( reversed negative values)" dataDxfId="220">
      <calculatedColumnFormula>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calculatedColumnFormula>
    </tableColumn>
    <tableColumn id="82" xr3:uid="{758F1B07-A3D4-4E6C-89FB-2EEAB1D2BBC6}" name="Personal positive" dataDxfId="219">
      <calculatedColumnFormula>SUM(Form_Responses[[#This Row],[1- I can trust persons and organizations related to development of robots ]:[5- If robots had emotions, I would be able to be friend with them]])</calculatedColumnFormula>
    </tableColumn>
    <tableColumn id="83" xr3:uid="{7B78AF4F-C136-4BC3-BEBE-B7B0A0995496}" name="Personal negative" dataDxfId="218">
      <calculatedColumnFormula>SUM(Form_Responses[[#This Row],[6- I would feel uneasy if I was given a job where I had to use robots]:[10- I don’t want a robot to touch me]])</calculatedColumnFormula>
    </tableColumn>
    <tableColumn id="84" xr3:uid="{338658DF-58F1-4E3C-A6D6-63FA1132DB10}" name="Social Posiitve" dataDxfId="217">
      <calculatedColumnFormula>SUM(Form_Responses[[#This Row],[11- Robots are necessary because they can do jobs that are too hard or too dangerous for people ]:[15- Robots are a good thing for society, because they help people]])</calculatedColumnFormula>
    </tableColumn>
    <tableColumn id="78" xr3:uid="{E2F8F410-DFB0-4FAE-B126-219D90ABC1A5}" name="Social negative" dataDxfId="216">
      <calculatedColumnFormula>SUM(Form_Responses[[#This Row],[16- Robots may make us even lazier ]:[20- Unregulated use of robotics can lead to societal upheavals]])</calculatedColumnFormula>
    </tableColumn>
    <tableColumn id="41" xr3:uid="{B96D1154-1F72-4EBD-8D31-9E046AE7C8BF}" name="Please indicate the scenario you just completed: " dataDxfId="215"/>
    <tableColumn id="35" xr3:uid="{1B20C0FF-9B45-45BB-92C5-DCD049961FC2}" name="Assembly time" dataDxfId="214">
      <calculatedColumnFormula>TA_NQY!F3+TA_NQO!F3</calculatedColumnFormula>
    </tableColumn>
    <tableColumn id="33" xr3:uid="{6F865512-84BE-4F6C-AFB1-B4AE3BE89E07}" name="Robot N_task" dataDxfId="213">
      <calculatedColumnFormula>TA_NQY!G3+TA_NQO!G3</calculatedColumnFormula>
    </tableColumn>
    <tableColumn id="42" xr3:uid="{A6193F38-71C8-46BE-90B1-B5AF6077B64A}" name="1.)  Mental Demand: How much thinking, deciding, or calculating was required to perform the tasks?" dataDxfId="212"/>
    <tableColumn id="43" xr3:uid="{758A8923-D292-4AC2-ABF3-D63A046836C3}" name=" 2.)  Physical Demand: How much physical activity was required to perform the tasks?     " dataDxfId="211"/>
    <tableColumn id="44" xr3:uid="{C35AB98B-8DC9-47AC-B67A-4B0A5ABBF406}" name="3.) Temporal Demand: How hurried or rushed was the pace of the tasks?" dataDxfId="210"/>
    <tableColumn id="45" xr3:uid="{AEEE085C-1BF4-42E5-AEAD-12724BFCA17D}" name="4.)  Performance: How successful were you in accomplishing what you were asked to do?" dataDxfId="209"/>
    <tableColumn id="46" xr3:uid="{24A0C76E-C570-4A8E-BFAA-FEB0F6DB2F84}" name="5.) Effort: How hard did you have to work to accomplish and maintain your level of performance?" dataDxfId="208"/>
    <tableColumn id="47" xr3:uid="{68748C8D-24EA-481C-86D8-361AF87BFED8}" name="6.) Frustration: How insecure, discouraged, irritated, stressed, and annoyed were you?     " dataDxfId="207"/>
    <tableColumn id="48" xr3:uid="{41679849-F811-4A26-896B-3614774C71D8}" name="7.) Satisfaction: How satisfied were you with the outcome of the collaboration." dataDxfId="206"/>
    <tableColumn id="49" xr3:uid="{019319A2-881B-46A7-98EF-1D933C1C1102}" name="8.) Fairness: How fair do you think your task allocation was? " dataDxfId="205"/>
    <tableColumn id="50" xr3:uid="{E5F83BD7-1960-45E5-A9A2-D575D8ABDEC4}" name="9.) Efficency: How efficient your task allocation was?" dataDxfId="204"/>
    <tableColumn id="51" xr3:uid="{29112952-B503-41B8-AB66-586363C775E4}" name="10.) Task Allocation: How satisfied are you with your task allocation?" dataDxfId="203"/>
    <tableColumn id="52" xr3:uid="{4350F49D-9740-4357-90F0-91D2F4E8D7F6}" name="11.) Willingness: Are you willing to collaborate with this robot on more important tasks?" dataDxfId="202"/>
    <tableColumn id="53" xr3:uid="{587E34E0-E5A9-434D-B2FC-32EEAF22E213}" name="12.)  Decision-Making: How difficult was it to decide which tasks to assign to yourself versus the robot?" dataDxfId="201"/>
    <tableColumn id="54" xr3:uid="{C0592648-3A5A-4562-AFE2-0E0CE4EE50B7}" name="Please indicate the scenario you just completed:" dataDxfId="200"/>
    <tableColumn id="85" xr3:uid="{FB5C818C-C22A-4C55-8653-205448375CCB}" name="TA Time_NQ" dataDxfId="199">
      <calculatedColumnFormula>TA_NQY!E3+TA_NQO!E3</calculatedColumnFormula>
    </tableColumn>
    <tableColumn id="77" xr3:uid="{0F191617-44ED-47CD-A213-B12AAF5C6717}" name="TA Time_q" dataDxfId="198">
      <calculatedColumnFormula>TA_QY!E3+TA_QO!E3</calculatedColumnFormula>
    </tableColumn>
    <tableColumn id="36" xr3:uid="{8880D9EA-BFE4-4A80-8FE6-80933AE2BF7D}" name="Assembly time with question" dataDxfId="197">
      <calculatedColumnFormula>TA_QY!F3+TA_QO!F3</calculatedColumnFormula>
    </tableColumn>
    <tableColumn id="34" xr3:uid="{C42AA655-1DE0-44A5-B42B-B11A82B7730D}" name="Robot N_task With question" dataDxfId="196">
      <calculatedColumnFormula>TA_QY!G3+TA_QO!G3</calculatedColumnFormula>
    </tableColumn>
    <tableColumn id="55" xr3:uid="{A8DAE31F-5EF3-4961-81D9-F24499E8F393}" name="1.)  Mental Demand: How much thinking, deciding, or calculating was required to perform the tasks?2" dataDxfId="195"/>
    <tableColumn id="56" xr3:uid="{553557B0-F149-4DFA-B75F-1EDD7B516077}" name=" 2.)  Physical Demand: How much physical activity was required to perform the tasks?     3" dataDxfId="194"/>
    <tableColumn id="57" xr3:uid="{26549592-531E-4F44-A319-874E1411FA8D}" name="3.) Temporal Demand: How hurried or rushed was the pace of the tasks?4" dataDxfId="193"/>
    <tableColumn id="58" xr3:uid="{D532D787-63A0-4CA2-A0FA-74B9267BFB32}" name="4.)  Performance: How successful were you in accomplishing what you were asked to do?5" dataDxfId="192"/>
    <tableColumn id="59" xr3:uid="{4C07980F-D126-4115-8A65-CE55BD688978}" name="5.) Effort: How hard did you have to work to accomplish and maintain your level of performance?6" dataDxfId="191"/>
    <tableColumn id="60" xr3:uid="{7F5E2EEC-537F-42C7-8076-099A5AFA6AEE}" name="6.) Frustration: How insecure, discouraged, irritated, stressed, and annoyed were you?     7" dataDxfId="190"/>
    <tableColumn id="61" xr3:uid="{7CC02E78-73DC-4AC8-9763-9E73EF0C685E}" name="7.) Satisfaction: How satisfied were you with the outcome of the collaboration.8" dataDxfId="189"/>
    <tableColumn id="62" xr3:uid="{15956E6F-ACA4-4853-9249-FF6DA84B0118}" name="8.) Fairness: How fair do you think your task allocation was? 9" dataDxfId="188"/>
    <tableColumn id="63" xr3:uid="{D166F2C5-5880-4270-A8FD-D111AB73AF20}" name="9.) Efficiency: How efficient your task allocation was?" dataDxfId="187"/>
    <tableColumn id="64" xr3:uid="{753B6BF5-5D13-49E8-8840-42B3A940DB5B}" name="10.) Task Allocation: How satisfied are you with your task allocation?10" dataDxfId="186"/>
    <tableColumn id="65" xr3:uid="{8643B686-A4D4-443E-A6F2-29EB1567C4C3}" name="11.) Willingness: Are you willing to collaborate with this robot on more important tasks?11" dataDxfId="185"/>
    <tableColumn id="66" xr3:uid="{445BA5D0-C439-4AE6-A624-1099B819FACA}" name="12.)  Decision-Making: How difficult was it to decide which tasks to assign to yourself versus the robot?12" dataDxfId="184"/>
    <tableColumn id="67" xr3:uid="{2EEA21DF-F1B0-4A47-91E2-7466B68225D7}" name="1- What factors influenced how you assigned tasks between yourself and the robot? (Select all that apply) " dataDxfId="183"/>
    <tableColumn id="68" xr3:uid="{CBD74A3E-6BF8-418D-AE96-417D0CEAA0D0}" name="2- How did you decide whether to assign a task to yourself or the robot?" dataDxfId="182"/>
    <tableColumn id="69" xr3:uid="{5A095408-D9E9-4AE0-A225-F245DF4F140A}" name="3-  What were your thoughts about the robot’s capabilities?" dataDxfId="181"/>
    <tableColumn id="70" xr3:uid="{397BB8E4-60E9-47EF-A23A-7069464D510E}" name="4-  Did you feel the robot was better at any tasks than you?" dataDxfId="180"/>
    <tableColumn id="71" xr3:uid="{48A3E32B-395F-4D30-B033-2A372F2AC548}" name="5-  Did the collaboration feel balanced?" dataDxfId="179"/>
    <tableColumn id="72" xr3:uid="{240B24C3-D1E8-48C8-94A6-357ED5E3C733}" name="6- Do you think if the robot was more capable you would allocate more tasks to it?" dataDxfId="178"/>
    <tableColumn id="73" xr3:uid="{D3245877-6F20-4325-B5BA-24B53D74D4D4}" name="7-  Did you consider yourself and the robot as a team? Or did you feel you are the lead of it?" dataDxfId="177"/>
    <tableColumn id="74" xr3:uid="{73182651-6440-4001-849D-1780B6B8BE9B}" name="8-  What qualities of the robot influenced your allocation decisions?" dataDxfId="176"/>
    <tableColumn id="75" xr3:uid="{8560668F-EB43-4901-B10F-2C1381A98594}" name="9- Did your opinion of the robot change during the task?" dataDxfId="175"/>
    <tableColumn id="76" xr3:uid="{70032AC5-1104-4BCE-A3D9-A90DE8E1AF55}" name="10- If you could reallocate the tasks after this experience, what would you change and why?" dataDxfId="174"/>
  </tableColumns>
  <tableStyleInfo name="Form Responses 1-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7B934-4D9F-4A3F-869A-3E2196DF1E95}">
  <dimension ref="A1:AM20"/>
  <sheetViews>
    <sheetView tabSelected="1" workbookViewId="0">
      <pane xSplit="2" ySplit="2" topLeftCell="C3" activePane="bottomRight" state="frozen"/>
      <selection pane="topRight" activeCell="C1" sqref="C1"/>
      <selection pane="bottomLeft" activeCell="A3" sqref="A3"/>
      <selection pane="bottomRight" activeCell="Z23" sqref="Z23"/>
    </sheetView>
  </sheetViews>
  <sheetFormatPr defaultRowHeight="14.4" x14ac:dyDescent="0.3"/>
  <cols>
    <col min="1" max="1" width="17.33203125" customWidth="1"/>
    <col min="3" max="3" width="18.6640625" customWidth="1"/>
    <col min="4" max="4" width="18.21875" customWidth="1"/>
    <col min="5" max="5" width="21.109375" customWidth="1"/>
    <col min="6" max="6" width="18.21875" customWidth="1"/>
    <col min="7" max="7" width="20.5546875" customWidth="1"/>
    <col min="8" max="8" width="15" customWidth="1"/>
    <col min="9" max="9" width="19.88671875" customWidth="1"/>
    <col min="10" max="11" width="7.5546875" customWidth="1"/>
    <col min="12" max="13" width="8.88671875" customWidth="1"/>
    <col min="28" max="28" width="9.44140625" customWidth="1"/>
  </cols>
  <sheetData>
    <row r="1" spans="1:39" ht="15" thickBot="1" x14ac:dyDescent="0.35"/>
    <row r="2" spans="1:39" ht="55.8" thickBot="1" x14ac:dyDescent="0.35">
      <c r="A2" s="78" t="s">
        <v>0</v>
      </c>
      <c r="B2" s="79" t="s">
        <v>1</v>
      </c>
      <c r="C2" s="83" t="s">
        <v>6634</v>
      </c>
      <c r="D2" s="83" t="s">
        <v>6635</v>
      </c>
      <c r="E2" s="84" t="s">
        <v>382</v>
      </c>
      <c r="F2" s="84" t="s">
        <v>384</v>
      </c>
      <c r="G2" s="84" t="s">
        <v>385</v>
      </c>
      <c r="H2" s="84" t="s">
        <v>386</v>
      </c>
      <c r="I2" s="121" t="s">
        <v>387</v>
      </c>
      <c r="J2" s="124" t="s">
        <v>6665</v>
      </c>
      <c r="K2" s="125" t="s">
        <v>6666</v>
      </c>
      <c r="L2" s="132" t="s">
        <v>6636</v>
      </c>
      <c r="M2" s="133" t="s">
        <v>6638</v>
      </c>
      <c r="N2" s="140" t="s">
        <v>6637</v>
      </c>
      <c r="O2" s="141" t="s">
        <v>6639</v>
      </c>
      <c r="P2" s="139" t="s">
        <v>6640</v>
      </c>
      <c r="Q2" s="90" t="s">
        <v>6641</v>
      </c>
      <c r="R2" s="91" t="s">
        <v>6642</v>
      </c>
      <c r="S2" s="92" t="s">
        <v>6643</v>
      </c>
      <c r="T2" s="93" t="s">
        <v>6644</v>
      </c>
      <c r="U2" s="94" t="s">
        <v>6645</v>
      </c>
      <c r="V2" s="89" t="s">
        <v>6646</v>
      </c>
      <c r="W2" s="90" t="s">
        <v>6647</v>
      </c>
      <c r="X2" s="91" t="s">
        <v>6648</v>
      </c>
      <c r="Y2" s="92" t="s">
        <v>6649</v>
      </c>
      <c r="Z2" s="93" t="s">
        <v>6650</v>
      </c>
      <c r="AA2" s="94" t="s">
        <v>6651</v>
      </c>
      <c r="AB2" s="89" t="s">
        <v>6652</v>
      </c>
      <c r="AC2" s="90" t="s">
        <v>6653</v>
      </c>
      <c r="AD2" s="91" t="s">
        <v>6654</v>
      </c>
      <c r="AE2" s="92" t="s">
        <v>6655</v>
      </c>
      <c r="AF2" s="93" t="s">
        <v>6656</v>
      </c>
      <c r="AG2" s="94" t="s">
        <v>6657</v>
      </c>
      <c r="AH2" s="89" t="s">
        <v>6658</v>
      </c>
      <c r="AI2" s="90" t="s">
        <v>6659</v>
      </c>
      <c r="AJ2" s="91" t="s">
        <v>6660</v>
      </c>
      <c r="AK2" s="92" t="s">
        <v>6661</v>
      </c>
      <c r="AL2" s="93" t="s">
        <v>6662</v>
      </c>
      <c r="AM2" s="94" t="s">
        <v>6663</v>
      </c>
    </row>
    <row r="3" spans="1:39" x14ac:dyDescent="0.3">
      <c r="A3" s="53">
        <v>45909.444653206017</v>
      </c>
      <c r="B3" s="23" t="s">
        <v>38</v>
      </c>
      <c r="C3" s="12">
        <f>Form_Responses[[#This Row],[SUM]]/10</f>
        <v>3.1</v>
      </c>
      <c r="D3" s="12">
        <f>SUM(Form_Responses[[#This Row],[1- I can always manage to solve difficult problems if I try hard enough.]:[10- I can usually handle whatever comes my way.]])</f>
        <v>31</v>
      </c>
      <c r="E3" s="12">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64</v>
      </c>
      <c r="F3" s="12">
        <f>SUM(Form_Responses[[#This Row],[1- I can trust persons and organizations related to development of robots ]:[5- If robots had emotions, I would be able to be friend with them]])</f>
        <v>10</v>
      </c>
      <c r="G3" s="12">
        <f>SUM(Form_Responses[[#This Row],[6- I would feel uneasy if I was given a job where I had to use robots]:[10- I don’t want a robot to touch me]])</f>
        <v>9</v>
      </c>
      <c r="H3" s="12">
        <f>SUM(Form_Responses[[#This Row],[11- Robots are necessary because they can do jobs that are too hard or too dangerous for people ]:[15- Robots are a good thing for society, because they help people]])</f>
        <v>22</v>
      </c>
      <c r="I3" s="122">
        <f>SUM(Form_Responses[[#This Row],[16- Robots may make us even lazier ]:[20- Unregulated use of robotics can lead to societal upheavals]])</f>
        <v>18</v>
      </c>
      <c r="J3" s="128">
        <f>TA_NQY!E8+TA_NQO!E8</f>
        <v>108.99999999999946</v>
      </c>
      <c r="K3" s="129">
        <f>TA_QY!E8+TA_QO!E8</f>
        <v>126.00000000000051</v>
      </c>
      <c r="L3" s="134">
        <v>346.99999999999511</v>
      </c>
      <c r="M3" s="135">
        <v>581.00000000000296</v>
      </c>
      <c r="N3" s="142">
        <v>19</v>
      </c>
      <c r="O3" s="135">
        <v>21</v>
      </c>
      <c r="P3" s="97">
        <v>4</v>
      </c>
      <c r="Q3" s="98">
        <v>10</v>
      </c>
      <c r="R3" s="99">
        <v>7</v>
      </c>
      <c r="S3" s="100">
        <v>9</v>
      </c>
      <c r="T3" s="101">
        <v>6</v>
      </c>
      <c r="U3" s="102">
        <v>8</v>
      </c>
      <c r="V3" s="97">
        <v>10</v>
      </c>
      <c r="W3" s="98">
        <v>10</v>
      </c>
      <c r="X3" s="99">
        <v>7</v>
      </c>
      <c r="Y3" s="100">
        <v>9</v>
      </c>
      <c r="Z3" s="101">
        <v>6</v>
      </c>
      <c r="AA3" s="102">
        <v>9</v>
      </c>
      <c r="AB3" s="97">
        <v>10</v>
      </c>
      <c r="AC3" s="98">
        <v>9</v>
      </c>
      <c r="AD3" s="99">
        <v>10</v>
      </c>
      <c r="AE3" s="100">
        <v>8</v>
      </c>
      <c r="AF3" s="101">
        <v>9</v>
      </c>
      <c r="AG3" s="102">
        <v>9</v>
      </c>
      <c r="AH3" s="97">
        <v>9</v>
      </c>
      <c r="AI3" s="98">
        <v>9</v>
      </c>
      <c r="AJ3" s="99">
        <v>10</v>
      </c>
      <c r="AK3" s="100">
        <v>10</v>
      </c>
      <c r="AL3" s="101">
        <v>4</v>
      </c>
      <c r="AM3" s="102">
        <v>10</v>
      </c>
    </row>
    <row r="4" spans="1:39" x14ac:dyDescent="0.3">
      <c r="A4" s="53">
        <v>45909.613403391202</v>
      </c>
      <c r="B4" s="23" t="s">
        <v>42</v>
      </c>
      <c r="C4" s="12">
        <f>Form_Responses[[#This Row],[SUM]]/10</f>
        <v>3.3</v>
      </c>
      <c r="D4" s="12">
        <f>SUM(Form_Responses[[#This Row],[1- I can always manage to solve difficult problems if I try hard enough.]:[10- I can usually handle whatever comes my way.]])</f>
        <v>33</v>
      </c>
      <c r="E4" s="12">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64</v>
      </c>
      <c r="F4" s="12">
        <f>SUM(Form_Responses[[#This Row],[1- I can trust persons and organizations related to development of robots ]:[5- If robots had emotions, I would be able to be friend with them]])</f>
        <v>17</v>
      </c>
      <c r="G4" s="12">
        <f>SUM(Form_Responses[[#This Row],[6- I would feel uneasy if I was given a job where I had to use robots]:[10- I don’t want a robot to touch me]])</f>
        <v>8</v>
      </c>
      <c r="H4" s="12">
        <f>SUM(Form_Responses[[#This Row],[11- Robots are necessary because they can do jobs that are too hard or too dangerous for people ]:[15- Robots are a good thing for society, because they help people]])</f>
        <v>23</v>
      </c>
      <c r="I4" s="122">
        <f>SUM(Form_Responses[[#This Row],[16- Robots may make us even lazier ]:[20- Unregulated use of robotics can lead to societal upheavals]])</f>
        <v>19</v>
      </c>
      <c r="J4" s="126">
        <f>TA_NQY!E11+TA_NQO!E11</f>
        <v>249.00000000001015</v>
      </c>
      <c r="K4" s="127">
        <f>TA_QY!E11+TA_QO!E11</f>
        <v>138.99999999998977</v>
      </c>
      <c r="L4" s="134">
        <v>310.99999999999426</v>
      </c>
      <c r="M4" s="135">
        <v>374.00000000000409</v>
      </c>
      <c r="N4" s="142">
        <v>19</v>
      </c>
      <c r="O4" s="135">
        <v>22</v>
      </c>
      <c r="P4" s="97">
        <v>2</v>
      </c>
      <c r="Q4" s="98">
        <v>5</v>
      </c>
      <c r="R4" s="99">
        <v>2</v>
      </c>
      <c r="S4" s="100">
        <v>3</v>
      </c>
      <c r="T4" s="101">
        <v>2</v>
      </c>
      <c r="U4" s="102">
        <v>4</v>
      </c>
      <c r="V4" s="97">
        <v>8</v>
      </c>
      <c r="W4" s="98">
        <v>7</v>
      </c>
      <c r="X4" s="99">
        <v>3</v>
      </c>
      <c r="Y4" s="100">
        <v>4</v>
      </c>
      <c r="Z4" s="101">
        <v>1</v>
      </c>
      <c r="AA4" s="102">
        <v>1</v>
      </c>
      <c r="AB4" s="97">
        <v>9</v>
      </c>
      <c r="AC4" s="98">
        <v>9</v>
      </c>
      <c r="AD4" s="99">
        <v>6</v>
      </c>
      <c r="AE4" s="100">
        <v>8</v>
      </c>
      <c r="AF4" s="101">
        <v>4</v>
      </c>
      <c r="AG4" s="102">
        <v>8</v>
      </c>
      <c r="AH4" s="97">
        <v>7</v>
      </c>
      <c r="AI4" s="98">
        <v>8</v>
      </c>
      <c r="AJ4" s="99">
        <v>10</v>
      </c>
      <c r="AK4" s="100">
        <v>8</v>
      </c>
      <c r="AL4" s="101">
        <v>4</v>
      </c>
      <c r="AM4" s="102">
        <v>3</v>
      </c>
    </row>
    <row r="5" spans="1:39" x14ac:dyDescent="0.3">
      <c r="A5" s="53">
        <v>45909.662530416666</v>
      </c>
      <c r="B5" s="23" t="s">
        <v>44</v>
      </c>
      <c r="C5" s="12">
        <f>Form_Responses[[#This Row],[SUM]]/10</f>
        <v>3.4</v>
      </c>
      <c r="D5" s="12">
        <f>SUM(Form_Responses[[#This Row],[1- I can always manage to solve difficult problems if I try hard enough.]:[10- I can usually handle whatever comes my way.]])</f>
        <v>34</v>
      </c>
      <c r="E5" s="12">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64</v>
      </c>
      <c r="F5" s="12">
        <f>SUM(Form_Responses[[#This Row],[1- I can trust persons and organizations related to development of robots ]:[5- If robots had emotions, I would be able to be friend with them]])</f>
        <v>14</v>
      </c>
      <c r="G5" s="12">
        <f>SUM(Form_Responses[[#This Row],[6- I would feel uneasy if I was given a job where I had to use robots]:[10- I don’t want a robot to touch me]])</f>
        <v>9</v>
      </c>
      <c r="H5" s="12">
        <f>SUM(Form_Responses[[#This Row],[11- Robots are necessary because they can do jobs that are too hard or too dangerous for people ]:[15- Robots are a good thing for society, because they help people]])</f>
        <v>22</v>
      </c>
      <c r="I5" s="122">
        <f>SUM(Form_Responses[[#This Row],[16- Robots may make us even lazier ]:[20- Unregulated use of robotics can lead to societal upheavals]])</f>
        <v>18</v>
      </c>
      <c r="J5" s="128">
        <f>TA_NQY!E12+TA_NQO!E12</f>
        <v>127.00000000000706</v>
      </c>
      <c r="K5" s="129">
        <f>TA_QY!E12+TA_QO!E12</f>
        <v>170.99999999999795</v>
      </c>
      <c r="L5" s="134">
        <v>243.99999999999656</v>
      </c>
      <c r="M5" s="135">
        <v>668.00000000000205</v>
      </c>
      <c r="N5" s="142">
        <v>10</v>
      </c>
      <c r="O5" s="135">
        <v>17</v>
      </c>
      <c r="P5" s="97">
        <v>3</v>
      </c>
      <c r="Q5" s="98">
        <v>7</v>
      </c>
      <c r="R5" s="99">
        <v>6</v>
      </c>
      <c r="S5" s="100">
        <v>4</v>
      </c>
      <c r="T5" s="101">
        <v>6</v>
      </c>
      <c r="U5" s="102">
        <v>5</v>
      </c>
      <c r="V5" s="97">
        <v>10</v>
      </c>
      <c r="W5" s="98">
        <v>6</v>
      </c>
      <c r="X5" s="99">
        <v>6</v>
      </c>
      <c r="Y5" s="100">
        <v>6</v>
      </c>
      <c r="Z5" s="101">
        <v>3</v>
      </c>
      <c r="AA5" s="102">
        <v>5</v>
      </c>
      <c r="AB5" s="97">
        <v>9</v>
      </c>
      <c r="AC5" s="98">
        <v>7</v>
      </c>
      <c r="AD5" s="99">
        <v>10</v>
      </c>
      <c r="AE5" s="100">
        <v>10</v>
      </c>
      <c r="AF5" s="101">
        <v>8</v>
      </c>
      <c r="AG5" s="102">
        <v>7</v>
      </c>
      <c r="AH5" s="97">
        <v>8</v>
      </c>
      <c r="AI5" s="98">
        <v>6</v>
      </c>
      <c r="AJ5" s="99">
        <v>10</v>
      </c>
      <c r="AK5" s="100">
        <v>10</v>
      </c>
      <c r="AL5" s="101">
        <v>6</v>
      </c>
      <c r="AM5" s="102">
        <v>7</v>
      </c>
    </row>
    <row r="6" spans="1:39" x14ac:dyDescent="0.3">
      <c r="A6" s="53">
        <v>45909.707308969912</v>
      </c>
      <c r="B6" s="23" t="s">
        <v>45</v>
      </c>
      <c r="C6" s="12">
        <f>Form_Responses[[#This Row],[SUM]]/10</f>
        <v>3.9</v>
      </c>
      <c r="D6" s="12">
        <f>SUM(Form_Responses[[#This Row],[1- I can always manage to solve difficult problems if I try hard enough.]:[10- I can usually handle whatever comes my way.]])</f>
        <v>39</v>
      </c>
      <c r="E6" s="12">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72</v>
      </c>
      <c r="F6" s="12">
        <f>SUM(Form_Responses[[#This Row],[1- I can trust persons and organizations related to development of robots ]:[5- If robots had emotions, I would be able to be friend with them]])</f>
        <v>16</v>
      </c>
      <c r="G6" s="12">
        <f>SUM(Form_Responses[[#This Row],[6- I would feel uneasy if I was given a job where I had to use robots]:[10- I don’t want a robot to touch me]])</f>
        <v>8</v>
      </c>
      <c r="H6" s="12">
        <f>SUM(Form_Responses[[#This Row],[11- Robots are necessary because they can do jobs that are too hard or too dangerous for people ]:[15- Robots are a good thing for society, because they help people]])</f>
        <v>19</v>
      </c>
      <c r="I6" s="122">
        <f>SUM(Form_Responses[[#This Row],[16- Robots may make us even lazier ]:[20- Unregulated use of robotics can lead to societal upheavals]])</f>
        <v>7</v>
      </c>
      <c r="J6" s="128">
        <f>TA_NQY!E13+TA_NQO!E13</f>
        <v>137.00000000000543</v>
      </c>
      <c r="K6" s="129">
        <f>TA_QY!E13+TA_QO!E13</f>
        <v>509.99999999999341</v>
      </c>
      <c r="L6" s="134">
        <v>304.99999999999329</v>
      </c>
      <c r="M6" s="135">
        <v>433.00000000000693</v>
      </c>
      <c r="N6" s="142">
        <v>15</v>
      </c>
      <c r="O6" s="135">
        <v>19</v>
      </c>
      <c r="P6" s="97">
        <v>1</v>
      </c>
      <c r="Q6" s="98">
        <v>6</v>
      </c>
      <c r="R6" s="99">
        <v>5</v>
      </c>
      <c r="S6" s="100">
        <v>6</v>
      </c>
      <c r="T6" s="101">
        <v>2</v>
      </c>
      <c r="U6" s="102">
        <v>8</v>
      </c>
      <c r="V6" s="97">
        <v>10</v>
      </c>
      <c r="W6" s="98">
        <v>9</v>
      </c>
      <c r="X6" s="99">
        <v>6</v>
      </c>
      <c r="Y6" s="100">
        <v>7</v>
      </c>
      <c r="Z6" s="101">
        <v>2</v>
      </c>
      <c r="AA6" s="102">
        <v>5</v>
      </c>
      <c r="AB6" s="97">
        <v>9</v>
      </c>
      <c r="AC6" s="98">
        <v>8</v>
      </c>
      <c r="AD6" s="99">
        <v>8</v>
      </c>
      <c r="AE6" s="100">
        <v>7</v>
      </c>
      <c r="AF6" s="101">
        <v>8</v>
      </c>
      <c r="AG6" s="102">
        <v>4</v>
      </c>
      <c r="AH6" s="97">
        <v>8</v>
      </c>
      <c r="AI6" s="98">
        <v>6</v>
      </c>
      <c r="AJ6" s="99">
        <v>10</v>
      </c>
      <c r="AK6" s="100">
        <v>10</v>
      </c>
      <c r="AL6" s="101">
        <v>8</v>
      </c>
      <c r="AM6" s="102">
        <v>8</v>
      </c>
    </row>
    <row r="7" spans="1:39" x14ac:dyDescent="0.3">
      <c r="A7" s="53">
        <v>45910.584917060187</v>
      </c>
      <c r="B7" s="23" t="s">
        <v>47</v>
      </c>
      <c r="C7" s="12">
        <f>Form_Responses[[#This Row],[SUM]]/10</f>
        <v>3</v>
      </c>
      <c r="D7" s="12">
        <f>SUM(Form_Responses[[#This Row],[1- I can always manage to solve difficult problems if I try hard enough.]:[10- I can usually handle whatever comes my way.]])</f>
        <v>30</v>
      </c>
      <c r="E7" s="12">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71</v>
      </c>
      <c r="F7" s="12">
        <f>SUM(Form_Responses[[#This Row],[1- I can trust persons and organizations related to development of robots ]:[5- If robots had emotions, I would be able to be friend with them]])</f>
        <v>20</v>
      </c>
      <c r="G7" s="12">
        <f>SUM(Form_Responses[[#This Row],[6- I would feel uneasy if I was given a job where I had to use robots]:[10- I don’t want a robot to touch me]])</f>
        <v>9</v>
      </c>
      <c r="H7" s="12">
        <f>SUM(Form_Responses[[#This Row],[11- Robots are necessary because they can do jobs that are too hard or too dangerous for people ]:[15- Robots are a good thing for society, because they help people]])</f>
        <v>21</v>
      </c>
      <c r="I7" s="122">
        <f>SUM(Form_Responses[[#This Row],[16- Robots may make us even lazier ]:[20- Unregulated use of robotics can lead to societal upheavals]])</f>
        <v>10</v>
      </c>
      <c r="J7" s="128">
        <f>TA_NQY!E15+TA_NQO!E15</f>
        <v>407.00000000000927</v>
      </c>
      <c r="K7" s="129">
        <f>TA_QY!E15+TA_QO!E15</f>
        <v>624.00000000000159</v>
      </c>
      <c r="L7" s="134">
        <v>249.99999999999753</v>
      </c>
      <c r="M7" s="135">
        <v>356.00000000000131</v>
      </c>
      <c r="N7" s="142">
        <v>13</v>
      </c>
      <c r="O7" s="135">
        <v>19</v>
      </c>
      <c r="P7" s="97">
        <v>5</v>
      </c>
      <c r="Q7" s="98">
        <v>8</v>
      </c>
      <c r="R7" s="99">
        <v>5</v>
      </c>
      <c r="S7" s="100">
        <v>4</v>
      </c>
      <c r="T7" s="101">
        <v>6</v>
      </c>
      <c r="U7" s="102">
        <v>8</v>
      </c>
      <c r="V7" s="97">
        <v>9</v>
      </c>
      <c r="W7" s="98">
        <v>9</v>
      </c>
      <c r="X7" s="99">
        <v>5</v>
      </c>
      <c r="Y7" s="100">
        <v>7</v>
      </c>
      <c r="Z7" s="101">
        <v>2</v>
      </c>
      <c r="AA7" s="102">
        <v>2</v>
      </c>
      <c r="AB7" s="97">
        <v>9</v>
      </c>
      <c r="AC7" s="98">
        <v>9</v>
      </c>
      <c r="AD7" s="99">
        <v>8</v>
      </c>
      <c r="AE7" s="100">
        <v>7</v>
      </c>
      <c r="AF7" s="101">
        <v>7</v>
      </c>
      <c r="AG7" s="102">
        <v>8</v>
      </c>
      <c r="AH7" s="97">
        <v>9</v>
      </c>
      <c r="AI7" s="98">
        <v>8</v>
      </c>
      <c r="AJ7" s="99">
        <v>9</v>
      </c>
      <c r="AK7" s="100">
        <v>9</v>
      </c>
      <c r="AL7" s="101">
        <v>8</v>
      </c>
      <c r="AM7" s="102">
        <v>8</v>
      </c>
    </row>
    <row r="8" spans="1:39" x14ac:dyDescent="0.3">
      <c r="A8" s="53">
        <v>45910.691854594908</v>
      </c>
      <c r="B8" s="23" t="s">
        <v>48</v>
      </c>
      <c r="C8" s="12">
        <v>3.1</v>
      </c>
      <c r="D8" s="12">
        <v>31</v>
      </c>
      <c r="E8" s="12">
        <v>64</v>
      </c>
      <c r="F8" s="12">
        <v>10</v>
      </c>
      <c r="G8" s="12">
        <v>9</v>
      </c>
      <c r="H8" s="12">
        <v>22</v>
      </c>
      <c r="I8" s="122">
        <v>18</v>
      </c>
      <c r="J8" s="128">
        <v>280.00000000000222</v>
      </c>
      <c r="K8" s="129">
        <v>470.00000000000955</v>
      </c>
      <c r="L8" s="134">
        <v>268.99999999998772</v>
      </c>
      <c r="M8" s="135">
        <v>375.99999999999801</v>
      </c>
      <c r="N8" s="142">
        <v>15</v>
      </c>
      <c r="O8" s="135">
        <v>22</v>
      </c>
      <c r="P8" s="97">
        <v>2</v>
      </c>
      <c r="Q8" s="98">
        <v>4</v>
      </c>
      <c r="R8" s="99">
        <v>5</v>
      </c>
      <c r="S8" s="100">
        <v>3</v>
      </c>
      <c r="T8" s="101">
        <v>5</v>
      </c>
      <c r="U8" s="102">
        <v>3</v>
      </c>
      <c r="V8" s="97">
        <v>10</v>
      </c>
      <c r="W8" s="98">
        <v>10</v>
      </c>
      <c r="X8" s="99">
        <v>6</v>
      </c>
      <c r="Y8" s="100">
        <v>2</v>
      </c>
      <c r="Z8" s="101">
        <v>1</v>
      </c>
      <c r="AA8" s="102">
        <v>1</v>
      </c>
      <c r="AB8" s="97">
        <v>10</v>
      </c>
      <c r="AC8" s="98">
        <v>10</v>
      </c>
      <c r="AD8" s="99">
        <v>10</v>
      </c>
      <c r="AE8" s="100">
        <v>10</v>
      </c>
      <c r="AF8" s="101">
        <v>10</v>
      </c>
      <c r="AG8" s="102">
        <v>7</v>
      </c>
      <c r="AH8" s="97">
        <v>7</v>
      </c>
      <c r="AI8" s="98">
        <v>10</v>
      </c>
      <c r="AJ8" s="99">
        <v>10</v>
      </c>
      <c r="AK8" s="100">
        <v>10</v>
      </c>
      <c r="AL8" s="101">
        <v>3</v>
      </c>
      <c r="AM8" s="102">
        <v>3</v>
      </c>
    </row>
    <row r="9" spans="1:39" x14ac:dyDescent="0.3">
      <c r="A9" s="53">
        <v>45912.400994479161</v>
      </c>
      <c r="B9" s="23" t="s">
        <v>50</v>
      </c>
      <c r="C9" s="12">
        <f>Form_Responses[[#This Row],[SUM]]/10</f>
        <v>3.9</v>
      </c>
      <c r="D9" s="12">
        <f>SUM(Form_Responses[[#This Row],[1- I can always manage to solve difficult problems if I try hard enough.]:[10- I can usually handle whatever comes my way.]])</f>
        <v>39</v>
      </c>
      <c r="E9" s="12">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64</v>
      </c>
      <c r="F9" s="12">
        <f>SUM(Form_Responses[[#This Row],[1- I can trust persons and organizations related to development of robots ]:[5- If robots had emotions, I would be able to be friend with them]])</f>
        <v>20</v>
      </c>
      <c r="G9" s="12">
        <f>SUM(Form_Responses[[#This Row],[6- I would feel uneasy if I was given a job where I had to use robots]:[10- I don’t want a robot to touch me]])</f>
        <v>17</v>
      </c>
      <c r="H9" s="12">
        <f>SUM(Form_Responses[[#This Row],[11- Robots are necessary because they can do jobs that are too hard or too dangerous for people ]:[15- Robots are a good thing for society, because they help people]])</f>
        <v>21</v>
      </c>
      <c r="I9" s="122">
        <f>SUM(Form_Responses[[#This Row],[16- Robots may make us even lazier ]:[20- Unregulated use of robotics can lead to societal upheavals]])</f>
        <v>17</v>
      </c>
      <c r="J9" s="128">
        <f>TA_NQY!E18+TA_NQO!E18</f>
        <v>125.00000000000355</v>
      </c>
      <c r="K9" s="129">
        <f>TA_QY!E18+TA_QO!E18</f>
        <v>412.99999999999579</v>
      </c>
      <c r="L9" s="134">
        <v>271.99999999999295</v>
      </c>
      <c r="M9" s="135">
        <v>413.00000000000063</v>
      </c>
      <c r="N9" s="142">
        <v>15</v>
      </c>
      <c r="O9" s="135">
        <v>18</v>
      </c>
      <c r="P9" s="97">
        <v>1</v>
      </c>
      <c r="Q9" s="98">
        <v>4</v>
      </c>
      <c r="R9" s="99">
        <v>1</v>
      </c>
      <c r="S9" s="100">
        <v>2</v>
      </c>
      <c r="T9" s="101">
        <v>3</v>
      </c>
      <c r="U9" s="102">
        <v>5</v>
      </c>
      <c r="V9" s="97">
        <v>10</v>
      </c>
      <c r="W9" s="98">
        <v>8</v>
      </c>
      <c r="X9" s="99">
        <v>3</v>
      </c>
      <c r="Y9" s="100">
        <v>7</v>
      </c>
      <c r="Z9" s="101">
        <v>3</v>
      </c>
      <c r="AA9" s="102">
        <v>4</v>
      </c>
      <c r="AB9" s="97">
        <v>10</v>
      </c>
      <c r="AC9" s="98">
        <v>8</v>
      </c>
      <c r="AD9" s="99">
        <v>10</v>
      </c>
      <c r="AE9" s="100">
        <v>6</v>
      </c>
      <c r="AF9" s="101">
        <v>10</v>
      </c>
      <c r="AG9" s="102">
        <v>3</v>
      </c>
      <c r="AH9" s="97">
        <v>10</v>
      </c>
      <c r="AI9" s="98">
        <v>4</v>
      </c>
      <c r="AJ9" s="99">
        <v>10</v>
      </c>
      <c r="AK9" s="100">
        <v>10</v>
      </c>
      <c r="AL9" s="101">
        <v>7</v>
      </c>
      <c r="AM9" s="102">
        <v>7</v>
      </c>
    </row>
    <row r="10" spans="1:39" x14ac:dyDescent="0.3">
      <c r="A10" s="53">
        <v>45912.493647233801</v>
      </c>
      <c r="B10" s="23" t="s">
        <v>52</v>
      </c>
      <c r="C10" s="12">
        <f>Form_Responses[[#This Row],[SUM]]/10</f>
        <v>3</v>
      </c>
      <c r="D10" s="12">
        <f>SUM(Form_Responses[[#This Row],[1- I can always manage to solve difficult problems if I try hard enough.]:[10- I can usually handle whatever comes my way.]])</f>
        <v>30</v>
      </c>
      <c r="E10" s="12">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62</v>
      </c>
      <c r="F10" s="12">
        <f>SUM(Form_Responses[[#This Row],[1- I can trust persons and organizations related to development of robots ]:[5- If robots had emotions, I would be able to be friend with them]])</f>
        <v>8</v>
      </c>
      <c r="G10" s="12">
        <f>SUM(Form_Responses[[#This Row],[6- I would feel uneasy if I was given a job where I had to use robots]:[10- I don’t want a robot to touch me]])</f>
        <v>7</v>
      </c>
      <c r="H10" s="12">
        <f>SUM(Form_Responses[[#This Row],[11- Robots are necessary because they can do jobs that are too hard or too dangerous for people ]:[15- Robots are a good thing for society, because they help people]])</f>
        <v>23</v>
      </c>
      <c r="I10" s="122">
        <f>SUM(Form_Responses[[#This Row],[16- Robots may make us even lazier ]:[20- Unregulated use of robotics can lead to societal upheavals]])</f>
        <v>21</v>
      </c>
      <c r="J10" s="128">
        <f>TA_NQY!E20+TA_NQO!E20</f>
        <v>253.99999999999494</v>
      </c>
      <c r="K10" s="129">
        <f>TA_QY!E20+TA_QO!E20</f>
        <v>406.0000000000075</v>
      </c>
      <c r="L10" s="134">
        <v>346.00000000001251</v>
      </c>
      <c r="M10" s="135">
        <v>395.99999999999955</v>
      </c>
      <c r="N10" s="142">
        <v>20</v>
      </c>
      <c r="O10" s="135">
        <v>22</v>
      </c>
      <c r="P10" s="97">
        <v>2</v>
      </c>
      <c r="Q10" s="98">
        <v>3</v>
      </c>
      <c r="R10" s="99">
        <v>2</v>
      </c>
      <c r="S10" s="100">
        <v>3</v>
      </c>
      <c r="T10" s="101">
        <v>2</v>
      </c>
      <c r="U10" s="102">
        <v>5</v>
      </c>
      <c r="V10" s="97">
        <v>9</v>
      </c>
      <c r="W10" s="98">
        <v>9</v>
      </c>
      <c r="X10" s="99">
        <v>3</v>
      </c>
      <c r="Y10" s="100">
        <v>6</v>
      </c>
      <c r="Z10" s="101">
        <v>1</v>
      </c>
      <c r="AA10" s="102">
        <v>1</v>
      </c>
      <c r="AB10" s="97">
        <v>9</v>
      </c>
      <c r="AC10" s="98">
        <v>9</v>
      </c>
      <c r="AD10" s="99">
        <v>8</v>
      </c>
      <c r="AE10" s="100">
        <v>7</v>
      </c>
      <c r="AF10" s="101">
        <v>8</v>
      </c>
      <c r="AG10" s="102">
        <v>7</v>
      </c>
      <c r="AH10" s="97">
        <v>8</v>
      </c>
      <c r="AI10" s="98">
        <v>7</v>
      </c>
      <c r="AJ10" s="99">
        <v>10</v>
      </c>
      <c r="AK10" s="100">
        <v>10</v>
      </c>
      <c r="AL10" s="101">
        <v>2</v>
      </c>
      <c r="AM10" s="102">
        <v>2</v>
      </c>
    </row>
    <row r="11" spans="1:39" x14ac:dyDescent="0.3">
      <c r="A11" s="53">
        <v>45912.719724236114</v>
      </c>
      <c r="B11" s="23" t="s">
        <v>55</v>
      </c>
      <c r="C11" s="12">
        <f>Form_Responses[[#This Row],[SUM]]/10</f>
        <v>3.4</v>
      </c>
      <c r="D11" s="12">
        <f>SUM(Form_Responses[[#This Row],[1- I can always manage to solve difficult problems if I try hard enough.]:[10- I can usually handle whatever comes my way.]])</f>
        <v>34</v>
      </c>
      <c r="E11" s="12">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73</v>
      </c>
      <c r="F11" s="12">
        <f>SUM(Form_Responses[[#This Row],[1- I can trust persons and organizations related to development of robots ]:[5- If robots had emotions, I would be able to be friend with them]])</f>
        <v>15</v>
      </c>
      <c r="G11" s="12">
        <f>SUM(Form_Responses[[#This Row],[6- I would feel uneasy if I was given a job where I had to use robots]:[10- I don’t want a robot to touch me]])</f>
        <v>6</v>
      </c>
      <c r="H11" s="12">
        <f>SUM(Form_Responses[[#This Row],[11- Robots are necessary because they can do jobs that are too hard or too dangerous for people ]:[15- Robots are a good thing for society, because they help people]])</f>
        <v>24</v>
      </c>
      <c r="I11" s="122">
        <f>SUM(Form_Responses[[#This Row],[16- Robots may make us even lazier ]:[20- Unregulated use of robotics can lead to societal upheavals]])</f>
        <v>11</v>
      </c>
      <c r="J11" s="128">
        <f>TA_NQY!E24+TA_NQO!E24</f>
        <v>64.000000000006807</v>
      </c>
      <c r="K11" s="129">
        <f>TA_QY!E24+TA_QO!E24</f>
        <v>158.0000000000087</v>
      </c>
      <c r="L11" s="134">
        <v>305.0000000000029</v>
      </c>
      <c r="M11" s="135">
        <v>409.99999999999056</v>
      </c>
      <c r="N11" s="136">
        <v>16</v>
      </c>
      <c r="O11" s="135">
        <v>16</v>
      </c>
      <c r="P11" s="97">
        <v>8</v>
      </c>
      <c r="Q11" s="98">
        <v>7</v>
      </c>
      <c r="R11" s="99">
        <v>8</v>
      </c>
      <c r="S11" s="100">
        <v>9</v>
      </c>
      <c r="T11" s="101">
        <v>9</v>
      </c>
      <c r="U11" s="102">
        <v>8</v>
      </c>
      <c r="V11" s="97">
        <v>9</v>
      </c>
      <c r="W11" s="98">
        <v>10</v>
      </c>
      <c r="X11" s="99">
        <v>8</v>
      </c>
      <c r="Y11" s="100">
        <v>7</v>
      </c>
      <c r="Z11" s="101">
        <v>1</v>
      </c>
      <c r="AA11" s="102">
        <v>2</v>
      </c>
      <c r="AB11" s="97">
        <v>9</v>
      </c>
      <c r="AC11" s="98">
        <v>9</v>
      </c>
      <c r="AD11" s="99">
        <v>10</v>
      </c>
      <c r="AE11" s="100">
        <v>10</v>
      </c>
      <c r="AF11" s="101">
        <v>10</v>
      </c>
      <c r="AG11" s="102">
        <v>9</v>
      </c>
      <c r="AH11" s="97">
        <v>10</v>
      </c>
      <c r="AI11" s="98">
        <v>9</v>
      </c>
      <c r="AJ11" s="99">
        <v>9</v>
      </c>
      <c r="AK11" s="100">
        <v>9</v>
      </c>
      <c r="AL11" s="101">
        <v>3</v>
      </c>
      <c r="AM11" s="102">
        <v>4</v>
      </c>
    </row>
    <row r="12" spans="1:39" x14ac:dyDescent="0.3">
      <c r="A12" s="53">
        <v>45915.492289108792</v>
      </c>
      <c r="B12" s="23" t="s">
        <v>56</v>
      </c>
      <c r="C12" s="12">
        <f>Form_Responses[[#This Row],[SUM]]/10</f>
        <v>3.2</v>
      </c>
      <c r="D12" s="12">
        <f>SUM(Form_Responses[[#This Row],[1- I can always manage to solve difficult problems if I try hard enough.]:[10- I can usually handle whatever comes my way.]])</f>
        <v>32</v>
      </c>
      <c r="E12" s="12">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73</v>
      </c>
      <c r="F12" s="12">
        <f>SUM(Form_Responses[[#This Row],[1- I can trust persons and organizations related to development of robots ]:[5- If robots had emotions, I would be able to be friend with them]])</f>
        <v>21</v>
      </c>
      <c r="G12" s="12">
        <f>SUM(Form_Responses[[#This Row],[6- I would feel uneasy if I was given a job where I had to use robots]:[10- I don’t want a robot to touch me]])</f>
        <v>8</v>
      </c>
      <c r="H12" s="12">
        <f>SUM(Form_Responses[[#This Row],[11- Robots are necessary because they can do jobs that are too hard or too dangerous for people ]:[15- Robots are a good thing for society, because they help people]])</f>
        <v>24</v>
      </c>
      <c r="I12" s="122">
        <f>SUM(Form_Responses[[#This Row],[16- Robots may make us even lazier ]:[20- Unregulated use of robotics can lead to societal upheavals]])</f>
        <v>11</v>
      </c>
      <c r="J12" s="126">
        <f>TA_NQY!E25+TA_NQO!E25</f>
        <v>529.99999999999977</v>
      </c>
      <c r="K12" s="127">
        <f>TA_QY!E25+TA_QO!E25</f>
        <v>138.99999999999935</v>
      </c>
      <c r="L12" s="134">
        <v>294.99999999999977</v>
      </c>
      <c r="M12" s="135">
        <v>412.00000000000364</v>
      </c>
      <c r="N12" s="142">
        <v>17</v>
      </c>
      <c r="O12" s="135">
        <v>22</v>
      </c>
      <c r="P12" s="97">
        <v>2</v>
      </c>
      <c r="Q12" s="98">
        <v>6</v>
      </c>
      <c r="R12" s="99">
        <v>4</v>
      </c>
      <c r="S12" s="100">
        <v>2</v>
      </c>
      <c r="T12" s="101">
        <v>2</v>
      </c>
      <c r="U12" s="102">
        <v>5</v>
      </c>
      <c r="V12" s="97">
        <v>10</v>
      </c>
      <c r="W12" s="98">
        <v>10</v>
      </c>
      <c r="X12" s="99">
        <v>3</v>
      </c>
      <c r="Y12" s="100">
        <v>4</v>
      </c>
      <c r="Z12" s="101">
        <v>1</v>
      </c>
      <c r="AA12" s="102">
        <v>2</v>
      </c>
      <c r="AB12" s="97">
        <v>9</v>
      </c>
      <c r="AC12" s="98">
        <v>10</v>
      </c>
      <c r="AD12" s="99">
        <v>10</v>
      </c>
      <c r="AE12" s="100">
        <v>10</v>
      </c>
      <c r="AF12" s="101">
        <v>8</v>
      </c>
      <c r="AG12" s="102">
        <v>9</v>
      </c>
      <c r="AH12" s="97">
        <v>8</v>
      </c>
      <c r="AI12" s="98">
        <v>9</v>
      </c>
      <c r="AJ12" s="99">
        <v>9</v>
      </c>
      <c r="AK12" s="100">
        <v>10</v>
      </c>
      <c r="AL12" s="101">
        <v>6</v>
      </c>
      <c r="AM12" s="102">
        <v>2</v>
      </c>
    </row>
    <row r="13" spans="1:39" x14ac:dyDescent="0.3">
      <c r="A13" s="53">
        <v>45915.572406168983</v>
      </c>
      <c r="B13" s="23" t="s">
        <v>57</v>
      </c>
      <c r="C13" s="12">
        <f>Form_Responses[[#This Row],[SUM]]/10</f>
        <v>2.9</v>
      </c>
      <c r="D13" s="12">
        <f>SUM(Form_Responses[[#This Row],[1- I can always manage to solve difficult problems if I try hard enough.]:[10- I can usually handle whatever comes my way.]])</f>
        <v>29</v>
      </c>
      <c r="E13" s="12">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70</v>
      </c>
      <c r="F13" s="12">
        <f>SUM(Form_Responses[[#This Row],[1- I can trust persons and organizations related to development of robots ]:[5- If robots had emotions, I would be able to be friend with them]])</f>
        <v>22</v>
      </c>
      <c r="G13" s="12">
        <f>SUM(Form_Responses[[#This Row],[6- I would feel uneasy if I was given a job where I had to use robots]:[10- I don’t want a robot to touch me]])</f>
        <v>8</v>
      </c>
      <c r="H13" s="12">
        <f>SUM(Form_Responses[[#This Row],[11- Robots are necessary because they can do jobs that are too hard or too dangerous for people ]:[15- Robots are a good thing for society, because they help people]])</f>
        <v>24</v>
      </c>
      <c r="I13" s="122">
        <f>SUM(Form_Responses[[#This Row],[16- Robots may make us even lazier ]:[20- Unregulated use of robotics can lead to societal upheavals]])</f>
        <v>14</v>
      </c>
      <c r="J13" s="128">
        <f>TA_NQY!E26+TA_NQO!E26</f>
        <v>253.99999999999494</v>
      </c>
      <c r="K13" s="129">
        <f>TA_QY!E26+TA_QO!E26</f>
        <v>497.00000000000415</v>
      </c>
      <c r="L13" s="134">
        <v>220.00000000000242</v>
      </c>
      <c r="M13" s="135">
        <v>325.99999999998704</v>
      </c>
      <c r="N13" s="142">
        <v>12</v>
      </c>
      <c r="O13" s="135">
        <v>18</v>
      </c>
      <c r="P13" s="97">
        <v>3</v>
      </c>
      <c r="Q13" s="98">
        <v>6</v>
      </c>
      <c r="R13" s="99">
        <v>4</v>
      </c>
      <c r="S13" s="100">
        <v>4</v>
      </c>
      <c r="T13" s="101">
        <v>3</v>
      </c>
      <c r="U13" s="102">
        <v>7</v>
      </c>
      <c r="V13" s="97">
        <v>10</v>
      </c>
      <c r="W13" s="98">
        <v>9</v>
      </c>
      <c r="X13" s="99">
        <v>3</v>
      </c>
      <c r="Y13" s="100">
        <v>6</v>
      </c>
      <c r="Z13" s="101">
        <v>2</v>
      </c>
      <c r="AA13" s="102">
        <v>1</v>
      </c>
      <c r="AB13" s="97">
        <v>6</v>
      </c>
      <c r="AC13" s="98">
        <v>8</v>
      </c>
      <c r="AD13" s="99">
        <v>7</v>
      </c>
      <c r="AE13" s="100">
        <v>8</v>
      </c>
      <c r="AF13" s="101">
        <v>8</v>
      </c>
      <c r="AG13" s="102">
        <v>7</v>
      </c>
      <c r="AH13" s="97">
        <v>7</v>
      </c>
      <c r="AI13" s="98">
        <v>7</v>
      </c>
      <c r="AJ13" s="99">
        <v>9</v>
      </c>
      <c r="AK13" s="100">
        <v>9</v>
      </c>
      <c r="AL13" s="101">
        <v>3</v>
      </c>
      <c r="AM13" s="102">
        <v>6</v>
      </c>
    </row>
    <row r="14" spans="1:39" x14ac:dyDescent="0.3">
      <c r="A14" s="53">
        <v>45916.480977569445</v>
      </c>
      <c r="B14" s="23" t="s">
        <v>58</v>
      </c>
      <c r="C14" s="12">
        <f>Form_Responses[[#This Row],[SUM]]/10</f>
        <v>3</v>
      </c>
      <c r="D14" s="12">
        <f>SUM(Form_Responses[[#This Row],[1- I can always manage to solve difficult problems if I try hard enough.]:[10- I can usually handle whatever comes my way.]])</f>
        <v>30</v>
      </c>
      <c r="E14" s="12">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69</v>
      </c>
      <c r="F14" s="12">
        <f>SUM(Form_Responses[[#This Row],[1- I can trust persons and organizations related to development of robots ]:[5- If robots had emotions, I would be able to be friend with them]])</f>
        <v>19</v>
      </c>
      <c r="G14" s="12">
        <f>SUM(Form_Responses[[#This Row],[6- I would feel uneasy if I was given a job where I had to use robots]:[10- I don’t want a robot to touch me]])</f>
        <v>7</v>
      </c>
      <c r="H14" s="12">
        <f>SUM(Form_Responses[[#This Row],[11- Robots are necessary because they can do jobs that are too hard or too dangerous for people ]:[15- Robots are a good thing for society, because they help people]])</f>
        <v>24</v>
      </c>
      <c r="I14" s="122">
        <f>SUM(Form_Responses[[#This Row],[16- Robots may make us even lazier ]:[20- Unregulated use of robotics can lead to societal upheavals]])</f>
        <v>15</v>
      </c>
      <c r="J14" s="126">
        <f>TA_NQY!E27+TA_NQO!E27</f>
        <v>454.00000000000063</v>
      </c>
      <c r="K14" s="127">
        <f>TA_QY!E27+TA_QO!E27</f>
        <v>159.00000000000568</v>
      </c>
      <c r="L14" s="134">
        <v>239.99999999999915</v>
      </c>
      <c r="M14" s="135">
        <v>259.99999999999591</v>
      </c>
      <c r="N14" s="142">
        <v>11</v>
      </c>
      <c r="O14" s="135">
        <v>12</v>
      </c>
      <c r="P14" s="97">
        <v>2</v>
      </c>
      <c r="Q14" s="98">
        <v>4</v>
      </c>
      <c r="R14" s="99">
        <v>2</v>
      </c>
      <c r="S14" s="100">
        <v>2</v>
      </c>
      <c r="T14" s="101">
        <v>3</v>
      </c>
      <c r="U14" s="102">
        <v>5</v>
      </c>
      <c r="V14" s="97">
        <v>10</v>
      </c>
      <c r="W14" s="98">
        <v>10</v>
      </c>
      <c r="X14" s="99">
        <v>3</v>
      </c>
      <c r="Y14" s="100">
        <v>5</v>
      </c>
      <c r="Z14" s="101">
        <v>1</v>
      </c>
      <c r="AA14" s="102">
        <v>1</v>
      </c>
      <c r="AB14" s="97">
        <v>10</v>
      </c>
      <c r="AC14" s="98">
        <v>10</v>
      </c>
      <c r="AD14" s="99">
        <v>10</v>
      </c>
      <c r="AE14" s="100">
        <v>10</v>
      </c>
      <c r="AF14" s="101">
        <v>10</v>
      </c>
      <c r="AG14" s="102">
        <v>10</v>
      </c>
      <c r="AH14" s="97">
        <v>10</v>
      </c>
      <c r="AI14" s="98">
        <v>10</v>
      </c>
      <c r="AJ14" s="99">
        <v>10</v>
      </c>
      <c r="AK14" s="100">
        <v>10</v>
      </c>
      <c r="AL14" s="101">
        <v>4</v>
      </c>
      <c r="AM14" s="102">
        <v>4</v>
      </c>
    </row>
    <row r="15" spans="1:39" x14ac:dyDescent="0.3">
      <c r="A15" s="53">
        <v>45916.565919652778</v>
      </c>
      <c r="B15" s="23" t="s">
        <v>59</v>
      </c>
      <c r="C15" s="12">
        <f>Form_Responses[[#This Row],[SUM]]/10</f>
        <v>2.8</v>
      </c>
      <c r="D15" s="12">
        <f>SUM(Form_Responses[[#This Row],[1- I can always manage to solve difficult problems if I try hard enough.]:[10- I can usually handle whatever comes my way.]])</f>
        <v>28</v>
      </c>
      <c r="E15" s="12">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65</v>
      </c>
      <c r="F15" s="12">
        <f>SUM(Form_Responses[[#This Row],[1- I can trust persons and organizations related to development of robots ]:[5- If robots had emotions, I would be able to be friend with them]])</f>
        <v>21</v>
      </c>
      <c r="G15" s="12">
        <f>SUM(Form_Responses[[#This Row],[6- I would feel uneasy if I was given a job where I had to use robots]:[10- I don’t want a robot to touch me]])</f>
        <v>8</v>
      </c>
      <c r="H15" s="12">
        <f>SUM(Form_Responses[[#This Row],[11- Robots are necessary because they can do jobs that are too hard or too dangerous for people ]:[15- Robots are a good thing for society, because they help people]])</f>
        <v>22</v>
      </c>
      <c r="I15" s="122">
        <f>SUM(Form_Responses[[#This Row],[16- Robots may make us even lazier ]:[20- Unregulated use of robotics can lead to societal upheavals]])</f>
        <v>17</v>
      </c>
      <c r="J15" s="128">
        <f>TA_NQY!E28+TA_NQO!E28</f>
        <v>275.99999999998556</v>
      </c>
      <c r="K15" s="129">
        <f>TA_QY!E28+TA_QO!E28</f>
        <v>378.00000000000153</v>
      </c>
      <c r="L15" s="134">
        <v>336.00000000001415</v>
      </c>
      <c r="M15" s="135">
        <v>420.00000000000813</v>
      </c>
      <c r="N15" s="142">
        <v>16</v>
      </c>
      <c r="O15" s="135">
        <v>20</v>
      </c>
      <c r="P15" s="97">
        <v>4</v>
      </c>
      <c r="Q15" s="98">
        <v>7</v>
      </c>
      <c r="R15" s="99">
        <v>3</v>
      </c>
      <c r="S15" s="100">
        <v>3</v>
      </c>
      <c r="T15" s="101">
        <v>6</v>
      </c>
      <c r="U15" s="102">
        <v>5</v>
      </c>
      <c r="V15" s="97">
        <v>10</v>
      </c>
      <c r="W15" s="98">
        <v>10</v>
      </c>
      <c r="X15" s="99">
        <v>6</v>
      </c>
      <c r="Y15" s="100">
        <v>6</v>
      </c>
      <c r="Z15" s="101">
        <v>2</v>
      </c>
      <c r="AA15" s="102">
        <v>7</v>
      </c>
      <c r="AB15" s="97">
        <v>9</v>
      </c>
      <c r="AC15" s="98">
        <v>8</v>
      </c>
      <c r="AD15" s="99">
        <v>7</v>
      </c>
      <c r="AE15" s="100">
        <v>9</v>
      </c>
      <c r="AF15" s="101">
        <v>8</v>
      </c>
      <c r="AG15" s="102">
        <v>9</v>
      </c>
      <c r="AH15" s="97">
        <v>8</v>
      </c>
      <c r="AI15" s="98">
        <v>9</v>
      </c>
      <c r="AJ15" s="99">
        <v>10</v>
      </c>
      <c r="AK15" s="100">
        <v>9</v>
      </c>
      <c r="AL15" s="101">
        <v>5</v>
      </c>
      <c r="AM15" s="102">
        <v>3</v>
      </c>
    </row>
    <row r="16" spans="1:39" x14ac:dyDescent="0.3">
      <c r="A16" s="53">
        <v>45917.607987812502</v>
      </c>
      <c r="B16" s="23" t="s">
        <v>63</v>
      </c>
      <c r="C16" s="12">
        <f>Form_Responses[[#This Row],[SUM]]/10</f>
        <v>3.6</v>
      </c>
      <c r="D16" s="12">
        <f>SUM(Form_Responses[[#This Row],[1- I can always manage to solve difficult problems if I try hard enough.]:[10- I can usually handle whatever comes my way.]])</f>
        <v>36</v>
      </c>
      <c r="E16" s="12">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78</v>
      </c>
      <c r="F16" s="12">
        <f>SUM(Form_Responses[[#This Row],[1- I can trust persons and organizations related to development of robots ]:[5- If robots had emotions, I would be able to be friend with them]])</f>
        <v>21</v>
      </c>
      <c r="G16" s="12">
        <f>SUM(Form_Responses[[#This Row],[6- I would feel uneasy if I was given a job where I had to use robots]:[10- I don’t want a robot to touch me]])</f>
        <v>9</v>
      </c>
      <c r="H16" s="12">
        <f>SUM(Form_Responses[[#This Row],[11- Robots are necessary because they can do jobs that are too hard or too dangerous for people ]:[15- Robots are a good thing for society, because they help people]])</f>
        <v>25</v>
      </c>
      <c r="I16" s="122">
        <f>SUM(Form_Responses[[#This Row],[16- Robots may make us even lazier ]:[20- Unregulated use of robotics can lead to societal upheavals]])</f>
        <v>7</v>
      </c>
      <c r="J16" s="128">
        <f>TA_NQY!E32+TA_NQO!E32</f>
        <v>201.9999999999996</v>
      </c>
      <c r="K16" s="129">
        <f>TA_QY!E32+TA_QO!E32</f>
        <v>564.00000000000182</v>
      </c>
      <c r="L16" s="134">
        <v>236.00000000001131</v>
      </c>
      <c r="M16" s="135">
        <v>373.00000000000716</v>
      </c>
      <c r="N16" s="142">
        <v>13</v>
      </c>
      <c r="O16" s="135">
        <v>17</v>
      </c>
      <c r="P16" s="97">
        <v>2</v>
      </c>
      <c r="Q16" s="98">
        <v>7</v>
      </c>
      <c r="R16" s="99">
        <v>3</v>
      </c>
      <c r="S16" s="100">
        <v>3</v>
      </c>
      <c r="T16" s="101">
        <v>5</v>
      </c>
      <c r="U16" s="102">
        <v>7</v>
      </c>
      <c r="V16" s="97">
        <v>8</v>
      </c>
      <c r="W16" s="98">
        <v>8</v>
      </c>
      <c r="X16" s="99">
        <v>5</v>
      </c>
      <c r="Y16" s="100">
        <v>3</v>
      </c>
      <c r="Z16" s="101">
        <v>2</v>
      </c>
      <c r="AA16" s="102">
        <v>2</v>
      </c>
      <c r="AB16" s="97">
        <v>7</v>
      </c>
      <c r="AC16" s="98">
        <v>8</v>
      </c>
      <c r="AD16" s="99">
        <v>8</v>
      </c>
      <c r="AE16" s="100">
        <v>9</v>
      </c>
      <c r="AF16" s="101">
        <v>6</v>
      </c>
      <c r="AG16" s="102">
        <v>7</v>
      </c>
      <c r="AH16" s="97">
        <v>5</v>
      </c>
      <c r="AI16" s="98">
        <v>6</v>
      </c>
      <c r="AJ16" s="99">
        <v>9</v>
      </c>
      <c r="AK16" s="100">
        <v>9</v>
      </c>
      <c r="AL16" s="101">
        <v>7</v>
      </c>
      <c r="AM16" s="102">
        <v>7</v>
      </c>
    </row>
    <row r="17" spans="1:39" ht="15" thickBot="1" x14ac:dyDescent="0.35">
      <c r="A17" s="53">
        <v>45918.561457800926</v>
      </c>
      <c r="B17" s="23" t="s">
        <v>64</v>
      </c>
      <c r="C17" s="12">
        <f>Form_Responses[[#This Row],[SUM]]/10</f>
        <v>3.3</v>
      </c>
      <c r="D17" s="12">
        <f>SUM(Form_Responses[[#This Row],[1- I can always manage to solve difficult problems if I try hard enough.]:[10- I can usually handle whatever comes my way.]])</f>
        <v>33</v>
      </c>
      <c r="E17" s="14">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57</v>
      </c>
      <c r="F17" s="14">
        <f>SUM(Form_Responses[[#This Row],[1- I can trust persons and organizations related to development of robots ]:[5- If robots had emotions, I would be able to be friend with them]])</f>
        <v>18</v>
      </c>
      <c r="G17" s="14">
        <f>SUM(Form_Responses[[#This Row],[6- I would feel uneasy if I was given a job where I had to use robots]:[10- I don’t want a robot to touch me]])</f>
        <v>12</v>
      </c>
      <c r="H17" s="14">
        <f>SUM(Form_Responses[[#This Row],[11- Robots are necessary because they can do jobs that are too hard or too dangerous for people ]:[15- Robots are a good thing for society, because they help people]])</f>
        <v>18</v>
      </c>
      <c r="I17" s="123">
        <f>SUM(Form_Responses[[#This Row],[16- Robots may make us even lazier ]:[20- Unregulated use of robotics can lead to societal upheavals]])</f>
        <v>21</v>
      </c>
      <c r="J17" s="130">
        <f>TA_NQY!E34+TA_NQO!E34</f>
        <v>176.99999999999889</v>
      </c>
      <c r="K17" s="131">
        <f>TA_QY!E34+TA_QO!E34</f>
        <v>446.99999999999318</v>
      </c>
      <c r="L17" s="137">
        <v>345.00000000000597</v>
      </c>
      <c r="M17" s="138">
        <v>386.00000000000597</v>
      </c>
      <c r="N17" s="143">
        <v>20</v>
      </c>
      <c r="O17" s="138">
        <v>22</v>
      </c>
      <c r="P17" s="97">
        <v>1</v>
      </c>
      <c r="Q17" s="98">
        <v>6</v>
      </c>
      <c r="R17" s="99">
        <v>5</v>
      </c>
      <c r="S17" s="100">
        <v>6</v>
      </c>
      <c r="T17" s="101">
        <v>2</v>
      </c>
      <c r="U17" s="102">
        <v>7</v>
      </c>
      <c r="V17" s="97">
        <v>7</v>
      </c>
      <c r="W17" s="98">
        <v>5</v>
      </c>
      <c r="X17" s="99">
        <v>3</v>
      </c>
      <c r="Y17" s="100">
        <v>4</v>
      </c>
      <c r="Z17" s="101">
        <v>2</v>
      </c>
      <c r="AA17" s="102">
        <v>1</v>
      </c>
      <c r="AB17" s="97">
        <v>7</v>
      </c>
      <c r="AC17" s="98">
        <v>6</v>
      </c>
      <c r="AD17" s="99">
        <v>7</v>
      </c>
      <c r="AE17" s="100">
        <v>6</v>
      </c>
      <c r="AF17" s="101">
        <v>8</v>
      </c>
      <c r="AG17" s="102">
        <v>7</v>
      </c>
      <c r="AH17" s="97">
        <v>7</v>
      </c>
      <c r="AI17" s="98">
        <v>7</v>
      </c>
      <c r="AJ17" s="99">
        <v>10</v>
      </c>
      <c r="AK17" s="100">
        <v>9</v>
      </c>
      <c r="AL17" s="101">
        <v>8</v>
      </c>
      <c r="AM17" s="102">
        <v>9</v>
      </c>
    </row>
    <row r="19" spans="1:39" ht="15.6" x14ac:dyDescent="0.3">
      <c r="B19" s="44" t="s">
        <v>380</v>
      </c>
      <c r="C19" s="44">
        <f>AVERAGE(C3:C17)</f>
        <v>3.26</v>
      </c>
      <c r="D19" s="44">
        <f>AVERAGE(D3:D17)</f>
        <v>32.6</v>
      </c>
      <c r="E19" s="44">
        <f>AVERAGE(E3:E17)</f>
        <v>67.333333333333329</v>
      </c>
      <c r="F19" s="44">
        <f>AVERAGE(F3:F17)</f>
        <v>16.8</v>
      </c>
      <c r="G19" s="44">
        <f>AVERAGE(G3:G17)</f>
        <v>8.9333333333333336</v>
      </c>
      <c r="H19" s="44">
        <f>AVERAGE(H3:H17)</f>
        <v>22.266666666666666</v>
      </c>
      <c r="I19" s="44">
        <f>AVERAGE(I3:I17)</f>
        <v>14.933333333333334</v>
      </c>
      <c r="J19" s="44">
        <f>AVERAGE(J3:J17)</f>
        <v>243.00000000000125</v>
      </c>
      <c r="K19" s="44">
        <f>AVERAGE(K3:K17)</f>
        <v>346.73333333333409</v>
      </c>
      <c r="L19" s="44">
        <f>AVERAGE(L3:L17)</f>
        <v>288.066666666667</v>
      </c>
      <c r="M19" s="44">
        <f>AVERAGE(M3:M17)</f>
        <v>412.26666666666762</v>
      </c>
      <c r="N19" s="44">
        <f>AVERAGE(N3:N17)</f>
        <v>15.4</v>
      </c>
      <c r="O19" s="44">
        <f>AVERAGE(O3:O17)</f>
        <v>19.133333333333333</v>
      </c>
      <c r="P19" s="44">
        <f>AVERAGE(P3:P17)</f>
        <v>2.8</v>
      </c>
      <c r="Q19" s="44">
        <f>AVERAGE(Q3:Q17)</f>
        <v>6</v>
      </c>
      <c r="R19" s="44">
        <f>AVERAGE(R3:R17)</f>
        <v>4.1333333333333337</v>
      </c>
      <c r="S19" s="44">
        <f>AVERAGE(S3:S17)</f>
        <v>4.2</v>
      </c>
      <c r="T19" s="44">
        <f>AVERAGE(T3:T17)</f>
        <v>4.1333333333333337</v>
      </c>
      <c r="U19" s="44">
        <f>AVERAGE(U3:U17)</f>
        <v>6</v>
      </c>
      <c r="V19" s="44">
        <f>AVERAGE(V3:V17)</f>
        <v>9.3333333333333339</v>
      </c>
      <c r="W19" s="44">
        <f>AVERAGE(W3:W17)</f>
        <v>8.6666666666666661</v>
      </c>
      <c r="X19" s="44">
        <f>AVERAGE(X3:X17)</f>
        <v>4.666666666666667</v>
      </c>
      <c r="Y19" s="44">
        <f>AVERAGE(Y3:Y17)</f>
        <v>5.5333333333333332</v>
      </c>
      <c r="Z19" s="44">
        <f>AVERAGE(Z3:Z17)</f>
        <v>2</v>
      </c>
      <c r="AA19" s="44">
        <f>AVERAGE(AA3:AA17)</f>
        <v>2.9333333333333331</v>
      </c>
      <c r="AB19" s="44">
        <f>AVERAGE(AB3:AB17)</f>
        <v>8.8000000000000007</v>
      </c>
      <c r="AC19" s="44">
        <f>AVERAGE(AC3:AC17)</f>
        <v>8.5333333333333332</v>
      </c>
      <c r="AD19" s="44">
        <f>AVERAGE(AD3:AD17)</f>
        <v>8.6</v>
      </c>
      <c r="AE19" s="44">
        <f>AVERAGE(AE3:AE17)</f>
        <v>8.3333333333333339</v>
      </c>
      <c r="AF19" s="44">
        <f>AVERAGE(AF3:AF17)</f>
        <v>8.1333333333333329</v>
      </c>
      <c r="AG19" s="44">
        <f>AVERAGE(AG3:AG17)</f>
        <v>7.4</v>
      </c>
      <c r="AH19" s="44">
        <f>AVERAGE(AH3:AH17)</f>
        <v>8.0666666666666664</v>
      </c>
      <c r="AI19" s="44">
        <f>AVERAGE(AI3:AI17)</f>
        <v>7.666666666666667</v>
      </c>
      <c r="AJ19" s="44">
        <f>AVERAGE(AJ3:AJ17)</f>
        <v>9.6666666666666661</v>
      </c>
      <c r="AK19" s="44">
        <f>AVERAGE(AK3:AK17)</f>
        <v>9.4666666666666668</v>
      </c>
      <c r="AL19" s="44">
        <f>AVERAGE(AL3:AL17)</f>
        <v>5.2</v>
      </c>
      <c r="AM19" s="44">
        <f>AVERAGE(AM3:AM17)</f>
        <v>5.5333333333333332</v>
      </c>
    </row>
    <row r="20" spans="1:39" ht="15.6" x14ac:dyDescent="0.3">
      <c r="B20" s="44" t="s">
        <v>381</v>
      </c>
      <c r="C20" s="44">
        <f>_xlfn.STDEV.S(C3:C17)</f>
        <v>0.33551665915633544</v>
      </c>
      <c r="D20" s="44">
        <f>_xlfn.STDEV.S(D3:D17)</f>
        <v>3.3551665915633544</v>
      </c>
      <c r="E20" s="44">
        <f>_xlfn.STDEV.S(E3:E17)</f>
        <v>5.472876844254853</v>
      </c>
      <c r="F20" s="44">
        <f>_xlfn.STDEV.S(F3:F17)</f>
        <v>4.5387222871640835</v>
      </c>
      <c r="G20" s="44">
        <f>_xlfn.STDEV.S(G3:G17)</f>
        <v>2.6040261866871433</v>
      </c>
      <c r="H20" s="44">
        <f>_xlfn.STDEV.S(H3:H17)</f>
        <v>1.9444671200491874</v>
      </c>
      <c r="I20" s="44">
        <f>_xlfn.STDEV.S(I3:I17)</f>
        <v>4.6975170746540851</v>
      </c>
      <c r="J20" s="44">
        <f>_xlfn.STDEV.S(J3:J17)</f>
        <v>133.94348488394971</v>
      </c>
      <c r="K20" s="44">
        <f>_xlfn.STDEV.S(K3:K17)</f>
        <v>178.12975474021644</v>
      </c>
      <c r="L20" s="44">
        <f>_xlfn.STDEV.S(L3:L17)</f>
        <v>44.064022685613516</v>
      </c>
      <c r="M20" s="44">
        <f>_xlfn.STDEV.S(M3:M17)</f>
        <v>97.627182007200318</v>
      </c>
      <c r="N20" s="44">
        <f>_xlfn.STDEV.S(N3:N17)</f>
        <v>3.2026774513120815</v>
      </c>
      <c r="O20" s="44">
        <f>_xlfn.STDEV.S(O3:O17)</f>
        <v>2.8999178970315396</v>
      </c>
      <c r="P20" s="44">
        <f>_xlfn.STDEV.S(P3:P17)</f>
        <v>1.8593393604027366</v>
      </c>
      <c r="Q20" s="44">
        <f>_xlfn.STDEV.S(Q3:Q17)</f>
        <v>1.8126539343499315</v>
      </c>
      <c r="R20" s="44">
        <f>_xlfn.STDEV.S(R3:R17)</f>
        <v>1.9952324127660872</v>
      </c>
      <c r="S20" s="44">
        <f>_xlfn.STDEV.S(S3:S17)</f>
        <v>2.3052734575936347</v>
      </c>
      <c r="T20" s="44">
        <f>_xlfn.STDEV.S(T3:T17)</f>
        <v>2.1668498091095505</v>
      </c>
      <c r="U20" s="44">
        <f>_xlfn.STDEV.S(U3:U17)</f>
        <v>1.647508942095828</v>
      </c>
      <c r="V20" s="44">
        <f>_xlfn.STDEV.S(V3:V17)</f>
        <v>0.97590007294853043</v>
      </c>
      <c r="W20" s="44">
        <f>_xlfn.STDEV.S(W3:W17)</f>
        <v>1.5886502207249771</v>
      </c>
      <c r="X20" s="44">
        <f>_xlfn.STDEV.S(X3:X17)</f>
        <v>1.7593288763724917</v>
      </c>
      <c r="Y20" s="44">
        <f>_xlfn.STDEV.S(Y3:Y17)</f>
        <v>1.8464895909600494</v>
      </c>
      <c r="Z20" s="44">
        <f>_xlfn.STDEV.S(Z3:Z17)</f>
        <v>1.3093073414159542</v>
      </c>
      <c r="AA20" s="44">
        <f>_xlfn.STDEV.S(AA3:AA17)</f>
        <v>2.5203930154602778</v>
      </c>
      <c r="AB20" s="44">
        <f>_xlfn.STDEV.S(AB3:AB17)</f>
        <v>1.2071217242444374</v>
      </c>
      <c r="AC20" s="44">
        <f>_xlfn.STDEV.S(AC3:AC17)</f>
        <v>1.125462867742276</v>
      </c>
      <c r="AD20" s="44">
        <f>_xlfn.STDEV.S(AD3:AD17)</f>
        <v>1.4540583599999375</v>
      </c>
      <c r="AE20" s="44">
        <f>_xlfn.STDEV.S(AE3:AE17)</f>
        <v>1.4960264830861896</v>
      </c>
      <c r="AF20" s="44">
        <f>_xlfn.STDEV.S(AF3:AF17)</f>
        <v>1.6417180315870616</v>
      </c>
      <c r="AG20" s="44">
        <f>_xlfn.STDEV.S(AG3:AG17)</f>
        <v>1.8822478962286409</v>
      </c>
      <c r="AH20" s="44">
        <f>_xlfn.STDEV.S(AH3:AH17)</f>
        <v>1.3870146083619739</v>
      </c>
      <c r="AI20" s="44">
        <f>_xlfn.STDEV.S(AI3:AI17)</f>
        <v>1.71824938596845</v>
      </c>
      <c r="AJ20" s="44">
        <f>_xlfn.STDEV.S(AJ3:AJ17)</f>
        <v>0.48795003647426666</v>
      </c>
      <c r="AK20" s="44">
        <f>_xlfn.STDEV.S(AK3:AK17)</f>
        <v>0.63994047342218463</v>
      </c>
      <c r="AL20" s="44">
        <f>_xlfn.STDEV.S(AL3:AL17)</f>
        <v>2.07708587070581</v>
      </c>
      <c r="AM20" s="44">
        <f>_xlfn.STDEV.S(AM3:AM17)</f>
        <v>2.6690465570704318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25C39-9A5B-4942-9206-75130FD4291D}">
  <dimension ref="A1:AP33"/>
  <sheetViews>
    <sheetView zoomScale="97" zoomScaleNormal="100" workbookViewId="0">
      <pane xSplit="2" ySplit="2" topLeftCell="C3" activePane="bottomRight" state="frozen"/>
      <selection pane="topRight" activeCell="C1" sqref="C1"/>
      <selection pane="bottomLeft" activeCell="A3" sqref="A3"/>
      <selection pane="bottomRight" activeCell="A5" sqref="A5:XFD5"/>
    </sheetView>
  </sheetViews>
  <sheetFormatPr defaultRowHeight="14.4" x14ac:dyDescent="0.3"/>
  <cols>
    <col min="1" max="1" width="55.6640625" customWidth="1"/>
    <col min="2" max="2" width="21.5546875" customWidth="1"/>
    <col min="3" max="3" width="12.77734375" customWidth="1"/>
    <col min="4" max="4" width="16.5546875" customWidth="1"/>
    <col min="5" max="5" width="13.21875" customWidth="1"/>
    <col min="6" max="6" width="12.21875" customWidth="1"/>
    <col min="7" max="7" width="15.109375" customWidth="1"/>
    <col min="8" max="8" width="12.88671875" customWidth="1"/>
    <col min="9" max="9" width="16" customWidth="1"/>
    <col min="10" max="10" width="11.109375" customWidth="1"/>
    <col min="11" max="11" width="11.21875" customWidth="1"/>
    <col min="12" max="12" width="10.33203125" customWidth="1"/>
    <col min="13" max="13" width="14.5546875" customWidth="1"/>
    <col min="14" max="14" width="14" customWidth="1"/>
    <col min="15" max="15" width="16.6640625" customWidth="1"/>
    <col min="16" max="16" width="17.6640625" customWidth="1"/>
    <col min="17" max="17" width="13.77734375" customWidth="1"/>
    <col min="18" max="18" width="9.21875" customWidth="1"/>
    <col min="19" max="19" width="14.33203125" customWidth="1"/>
    <col min="20" max="20" width="13.77734375" customWidth="1"/>
    <col min="21" max="21" width="15.33203125" customWidth="1"/>
    <col min="22" max="22" width="15.77734375" customWidth="1"/>
    <col min="23" max="23" width="18.33203125" customWidth="1"/>
    <col min="24" max="24" width="16.44140625" customWidth="1"/>
    <col min="25" max="25" width="17.5546875" customWidth="1"/>
    <col min="26" max="26" width="18.88671875" customWidth="1"/>
    <col min="27" max="27" width="18.77734375" customWidth="1"/>
    <col min="28" max="28" width="17.109375" customWidth="1"/>
    <col min="29" max="29" width="14.21875" customWidth="1"/>
    <col min="30" max="30" width="15" customWidth="1"/>
    <col min="31" max="31" width="15.88671875" customWidth="1"/>
    <col min="32" max="32" width="19.109375" customWidth="1"/>
    <col min="33" max="33" width="37.21875" customWidth="1"/>
    <col min="34" max="34" width="25.6640625" customWidth="1"/>
    <col min="35" max="35" width="28.6640625" customWidth="1"/>
    <col min="36" max="36" width="23" customWidth="1"/>
    <col min="37" max="37" width="30.6640625" customWidth="1"/>
    <col min="38" max="38" width="32.109375" customWidth="1"/>
    <col min="39" max="39" width="21.44140625" customWidth="1"/>
    <col min="40" max="40" width="26.44140625" customWidth="1"/>
    <col min="41" max="41" width="42.6640625" customWidth="1"/>
    <col min="42" max="42" width="42.33203125" customWidth="1"/>
  </cols>
  <sheetData>
    <row r="1" spans="1:42" ht="21" x14ac:dyDescent="0.4">
      <c r="B1" s="107" t="s">
        <v>67</v>
      </c>
      <c r="C1" s="107"/>
      <c r="D1" s="46"/>
      <c r="E1" s="146"/>
      <c r="F1" s="146"/>
      <c r="G1" s="146" t="s">
        <v>98</v>
      </c>
      <c r="H1" s="146"/>
      <c r="I1" s="146"/>
      <c r="J1" s="146"/>
      <c r="K1" s="46"/>
      <c r="L1" s="111" t="s">
        <v>99</v>
      </c>
      <c r="M1" s="111"/>
      <c r="N1" s="111"/>
      <c r="O1" s="111"/>
      <c r="P1" s="111"/>
      <c r="Q1" s="111"/>
      <c r="R1" s="111"/>
      <c r="S1" s="111"/>
      <c r="T1" s="111"/>
      <c r="V1" s="46"/>
      <c r="W1" s="46"/>
      <c r="Z1" s="45" t="s">
        <v>377</v>
      </c>
    </row>
    <row r="2" spans="1:42" s="165" customFormat="1" ht="55.8" thickBot="1" x14ac:dyDescent="0.35">
      <c r="A2" s="157" t="s">
        <v>0</v>
      </c>
      <c r="B2" s="158" t="s">
        <v>1</v>
      </c>
      <c r="C2" s="159" t="s">
        <v>6667</v>
      </c>
      <c r="D2" s="160" t="s">
        <v>6668</v>
      </c>
      <c r="E2" s="161" t="s">
        <v>3173</v>
      </c>
      <c r="F2" s="161" t="s">
        <v>6626</v>
      </c>
      <c r="G2" s="161" t="s">
        <v>3169</v>
      </c>
      <c r="H2" s="161" t="s">
        <v>3170</v>
      </c>
      <c r="I2" s="162" t="s">
        <v>6669</v>
      </c>
      <c r="J2" s="162" t="s">
        <v>6670</v>
      </c>
      <c r="K2" s="162" t="s">
        <v>6671</v>
      </c>
      <c r="L2" s="162" t="s">
        <v>6672</v>
      </c>
      <c r="M2" s="162" t="s">
        <v>6673</v>
      </c>
      <c r="N2" s="162" t="s">
        <v>6674</v>
      </c>
      <c r="O2" s="162" t="s">
        <v>6675</v>
      </c>
      <c r="P2" s="162" t="s">
        <v>6676</v>
      </c>
      <c r="Q2" s="162" t="s">
        <v>6677</v>
      </c>
      <c r="R2" s="162" t="s">
        <v>6678</v>
      </c>
      <c r="S2" s="163" t="s">
        <v>6679</v>
      </c>
      <c r="T2" s="162" t="s">
        <v>6680</v>
      </c>
      <c r="U2" s="162" t="s">
        <v>6681</v>
      </c>
      <c r="V2" s="162" t="s">
        <v>6682</v>
      </c>
      <c r="W2" s="162" t="s">
        <v>6683</v>
      </c>
      <c r="X2" s="162" t="s">
        <v>6684</v>
      </c>
      <c r="Y2" s="162" t="s">
        <v>6716</v>
      </c>
      <c r="Z2" s="162" t="s">
        <v>6720</v>
      </c>
      <c r="AA2" s="162" t="s">
        <v>6717</v>
      </c>
      <c r="AB2" s="162" t="s">
        <v>6721</v>
      </c>
      <c r="AC2" s="162" t="s">
        <v>6718</v>
      </c>
      <c r="AD2" s="162" t="s">
        <v>6722</v>
      </c>
      <c r="AE2" s="162" t="s">
        <v>6719</v>
      </c>
      <c r="AF2" s="162" t="s">
        <v>6723</v>
      </c>
      <c r="AG2" s="87" t="s">
        <v>367</v>
      </c>
      <c r="AH2" s="87" t="s">
        <v>368</v>
      </c>
      <c r="AI2" s="87" t="s">
        <v>369</v>
      </c>
      <c r="AJ2" s="87" t="s">
        <v>370</v>
      </c>
      <c r="AK2" s="87" t="s">
        <v>371</v>
      </c>
      <c r="AL2" s="87" t="s">
        <v>372</v>
      </c>
      <c r="AM2" s="87" t="s">
        <v>373</v>
      </c>
      <c r="AN2" s="87" t="s">
        <v>374</v>
      </c>
      <c r="AO2" s="87" t="s">
        <v>375</v>
      </c>
      <c r="AP2" s="164" t="s">
        <v>376</v>
      </c>
    </row>
    <row r="3" spans="1:42" x14ac:dyDescent="0.3">
      <c r="A3" s="53" t="s">
        <v>6686</v>
      </c>
      <c r="B3" s="154" t="s">
        <v>40</v>
      </c>
      <c r="C3" s="150">
        <v>39</v>
      </c>
      <c r="D3" s="10">
        <v>64</v>
      </c>
      <c r="E3" s="80">
        <f>TA_NQY!F9+TA_NQO!F9</f>
        <v>340.99999999999898</v>
      </c>
      <c r="F3" s="144">
        <v>301.00000000000546</v>
      </c>
      <c r="G3" s="113">
        <f>TA_NQY!G9+TA_NQO!G9</f>
        <v>20</v>
      </c>
      <c r="H3" s="6">
        <v>19</v>
      </c>
      <c r="I3" s="12">
        <v>1</v>
      </c>
      <c r="J3" s="12">
        <v>6</v>
      </c>
      <c r="K3" s="12">
        <v>2</v>
      </c>
      <c r="L3" s="12">
        <v>3</v>
      </c>
      <c r="M3" s="12">
        <v>3</v>
      </c>
      <c r="N3" s="12">
        <v>7</v>
      </c>
      <c r="O3" s="12">
        <v>10</v>
      </c>
      <c r="P3" s="12">
        <v>9</v>
      </c>
      <c r="Q3" s="12">
        <v>2</v>
      </c>
      <c r="R3" s="12">
        <v>8</v>
      </c>
      <c r="S3" s="12">
        <v>1</v>
      </c>
      <c r="T3" s="12">
        <v>6</v>
      </c>
      <c r="U3" s="12">
        <v>10</v>
      </c>
      <c r="V3" s="12">
        <v>9</v>
      </c>
      <c r="W3" s="12">
        <v>10</v>
      </c>
      <c r="X3" s="12">
        <v>9</v>
      </c>
      <c r="Y3" s="12">
        <v>10</v>
      </c>
      <c r="Z3" s="12">
        <v>8</v>
      </c>
      <c r="AA3" s="12">
        <v>10</v>
      </c>
      <c r="AB3" s="12">
        <v>9</v>
      </c>
      <c r="AC3" s="12">
        <v>10</v>
      </c>
      <c r="AD3" s="12">
        <v>10</v>
      </c>
      <c r="AE3" s="12">
        <v>2</v>
      </c>
      <c r="AF3" s="12">
        <v>3</v>
      </c>
      <c r="AG3" s="2" t="s">
        <v>144</v>
      </c>
      <c r="AH3" s="2" t="s">
        <v>145</v>
      </c>
      <c r="AI3" s="2" t="s">
        <v>146</v>
      </c>
      <c r="AJ3" s="2" t="s">
        <v>147</v>
      </c>
      <c r="AK3" s="2" t="s">
        <v>148</v>
      </c>
      <c r="AL3" s="2" t="s">
        <v>149</v>
      </c>
      <c r="AM3" s="2" t="s">
        <v>150</v>
      </c>
      <c r="AN3" s="2" t="s">
        <v>151</v>
      </c>
      <c r="AO3" s="2" t="s">
        <v>152</v>
      </c>
      <c r="AP3" s="2" t="s">
        <v>153</v>
      </c>
    </row>
    <row r="4" spans="1:42" x14ac:dyDescent="0.3">
      <c r="A4" s="53" t="s">
        <v>6687</v>
      </c>
      <c r="B4" s="151" t="s">
        <v>41</v>
      </c>
      <c r="C4" s="10">
        <v>30</v>
      </c>
      <c r="D4" s="10">
        <v>62</v>
      </c>
      <c r="E4" s="80">
        <f>TA_NQY!F10+TA_NQO!F10</f>
        <v>264.99999999999989</v>
      </c>
      <c r="F4" s="144">
        <v>300.00000000000853</v>
      </c>
      <c r="G4" s="6">
        <f>TA_NQY!G10+TA_NQO!G10</f>
        <v>14</v>
      </c>
      <c r="H4" s="116">
        <v>14</v>
      </c>
      <c r="I4" s="12">
        <v>3</v>
      </c>
      <c r="J4" s="12">
        <v>9</v>
      </c>
      <c r="K4" s="12">
        <v>6</v>
      </c>
      <c r="L4" s="12">
        <v>7</v>
      </c>
      <c r="M4" s="12">
        <v>8</v>
      </c>
      <c r="N4" s="12">
        <v>9</v>
      </c>
      <c r="O4" s="12">
        <v>4</v>
      </c>
      <c r="P4" s="12">
        <v>10</v>
      </c>
      <c r="Q4" s="12">
        <v>4</v>
      </c>
      <c r="R4" s="12">
        <v>7</v>
      </c>
      <c r="S4" s="12">
        <v>7</v>
      </c>
      <c r="T4" s="12">
        <v>5</v>
      </c>
      <c r="U4" s="12">
        <v>8</v>
      </c>
      <c r="V4" s="12">
        <v>10</v>
      </c>
      <c r="W4" s="12">
        <v>8</v>
      </c>
      <c r="X4" s="12">
        <v>10</v>
      </c>
      <c r="Y4" s="12">
        <v>6</v>
      </c>
      <c r="Z4" s="12">
        <v>10</v>
      </c>
      <c r="AA4" s="12">
        <v>3</v>
      </c>
      <c r="AB4" s="12">
        <v>10</v>
      </c>
      <c r="AC4" s="12">
        <v>10</v>
      </c>
      <c r="AD4" s="12">
        <v>10</v>
      </c>
      <c r="AE4" s="12">
        <v>4</v>
      </c>
      <c r="AF4" s="12">
        <v>5</v>
      </c>
      <c r="AG4" s="2" t="s">
        <v>135</v>
      </c>
      <c r="AH4" s="2" t="s">
        <v>154</v>
      </c>
      <c r="AI4" s="2" t="s">
        <v>155</v>
      </c>
      <c r="AJ4" s="2" t="s">
        <v>156</v>
      </c>
      <c r="AK4" s="2" t="s">
        <v>37</v>
      </c>
      <c r="AL4" s="2" t="s">
        <v>37</v>
      </c>
      <c r="AM4" s="2" t="s">
        <v>157</v>
      </c>
      <c r="AN4" s="2" t="s">
        <v>158</v>
      </c>
      <c r="AO4" s="2" t="s">
        <v>159</v>
      </c>
      <c r="AP4" s="2" t="s">
        <v>160</v>
      </c>
    </row>
    <row r="5" spans="1:42" x14ac:dyDescent="0.3">
      <c r="A5" s="53" t="s">
        <v>6689</v>
      </c>
      <c r="B5" s="155" t="s">
        <v>44</v>
      </c>
      <c r="C5" s="10">
        <v>32</v>
      </c>
      <c r="D5" s="10">
        <v>73</v>
      </c>
      <c r="E5" s="116">
        <f>TA_NQY!F12+TA_NQO!F12</f>
        <v>243.99999999999656</v>
      </c>
      <c r="F5" s="118">
        <v>668.00000000000205</v>
      </c>
      <c r="G5" s="116">
        <f>TA_NQY!G12+TA_NQO!G12</f>
        <v>10</v>
      </c>
      <c r="H5" s="6">
        <v>17</v>
      </c>
      <c r="I5" s="12">
        <v>3</v>
      </c>
      <c r="J5" s="12">
        <v>7</v>
      </c>
      <c r="K5" s="12">
        <v>6</v>
      </c>
      <c r="L5" s="12">
        <v>4</v>
      </c>
      <c r="M5" s="12">
        <v>6</v>
      </c>
      <c r="N5" s="12">
        <v>5</v>
      </c>
      <c r="O5" s="12">
        <v>10</v>
      </c>
      <c r="P5" s="12">
        <v>6</v>
      </c>
      <c r="Q5" s="12">
        <v>6</v>
      </c>
      <c r="R5" s="12">
        <v>6</v>
      </c>
      <c r="S5" s="12">
        <v>3</v>
      </c>
      <c r="T5" s="12">
        <v>5</v>
      </c>
      <c r="U5" s="12">
        <v>9</v>
      </c>
      <c r="V5" s="12">
        <v>7</v>
      </c>
      <c r="W5" s="12">
        <v>10</v>
      </c>
      <c r="X5" s="12">
        <v>10</v>
      </c>
      <c r="Y5" s="12">
        <v>8</v>
      </c>
      <c r="Z5" s="12">
        <v>7</v>
      </c>
      <c r="AA5" s="12">
        <v>8</v>
      </c>
      <c r="AB5" s="12">
        <v>6</v>
      </c>
      <c r="AC5" s="12">
        <v>10</v>
      </c>
      <c r="AD5" s="12">
        <v>10</v>
      </c>
      <c r="AE5" s="12">
        <v>6</v>
      </c>
      <c r="AF5" s="12">
        <v>7</v>
      </c>
      <c r="AG5" s="2" t="s">
        <v>171</v>
      </c>
      <c r="AH5" s="2" t="s">
        <v>172</v>
      </c>
      <c r="AI5" s="2" t="s">
        <v>173</v>
      </c>
      <c r="AJ5" s="2" t="s">
        <v>174</v>
      </c>
      <c r="AK5" s="2" t="s">
        <v>104</v>
      </c>
      <c r="AL5" s="2" t="s">
        <v>104</v>
      </c>
      <c r="AM5" s="2" t="s">
        <v>175</v>
      </c>
      <c r="AN5" s="2" t="s">
        <v>176</v>
      </c>
      <c r="AO5" s="2" t="s">
        <v>102</v>
      </c>
      <c r="AP5" s="2" t="s">
        <v>177</v>
      </c>
    </row>
    <row r="6" spans="1:42" x14ac:dyDescent="0.3">
      <c r="A6" s="53" t="s">
        <v>6690</v>
      </c>
      <c r="B6" s="151" t="s">
        <v>46</v>
      </c>
      <c r="C6" s="10">
        <v>30</v>
      </c>
      <c r="D6" s="10">
        <v>69</v>
      </c>
      <c r="E6" s="80">
        <f>TA_NQY!F14+TA_NQO!F14</f>
        <v>343.00000000000244</v>
      </c>
      <c r="F6" s="80">
        <v>387.00000000000296</v>
      </c>
      <c r="G6" s="113">
        <f>TA_NQY!G14+TA_NQO!G14</f>
        <v>20</v>
      </c>
      <c r="H6" s="113">
        <v>20</v>
      </c>
      <c r="I6" s="12">
        <v>2</v>
      </c>
      <c r="J6" s="12">
        <v>5</v>
      </c>
      <c r="K6" s="12">
        <v>3</v>
      </c>
      <c r="L6" s="12">
        <v>3</v>
      </c>
      <c r="M6" s="12">
        <v>3</v>
      </c>
      <c r="N6" s="12">
        <v>5</v>
      </c>
      <c r="O6" s="12">
        <v>9</v>
      </c>
      <c r="P6" s="12">
        <v>10</v>
      </c>
      <c r="Q6" s="12">
        <v>3</v>
      </c>
      <c r="R6" s="12">
        <v>6</v>
      </c>
      <c r="S6" s="12">
        <v>1</v>
      </c>
      <c r="T6" s="12">
        <v>1</v>
      </c>
      <c r="U6" s="12">
        <v>10</v>
      </c>
      <c r="V6" s="12">
        <v>10</v>
      </c>
      <c r="W6" s="12">
        <v>10</v>
      </c>
      <c r="X6" s="12">
        <v>10</v>
      </c>
      <c r="Y6" s="12">
        <v>10</v>
      </c>
      <c r="Z6" s="12">
        <v>9</v>
      </c>
      <c r="AA6" s="12">
        <v>10</v>
      </c>
      <c r="AB6" s="12">
        <v>10</v>
      </c>
      <c r="AC6" s="12">
        <v>10</v>
      </c>
      <c r="AD6" s="12">
        <v>10</v>
      </c>
      <c r="AE6" s="12">
        <v>4</v>
      </c>
      <c r="AF6" s="12">
        <v>7</v>
      </c>
      <c r="AG6" s="2" t="s">
        <v>187</v>
      </c>
      <c r="AH6" s="2" t="s">
        <v>188</v>
      </c>
      <c r="AI6" s="2" t="s">
        <v>189</v>
      </c>
      <c r="AJ6" s="2" t="s">
        <v>102</v>
      </c>
      <c r="AK6" s="2" t="s">
        <v>190</v>
      </c>
      <c r="AL6" s="2" t="s">
        <v>191</v>
      </c>
      <c r="AM6" s="2" t="s">
        <v>192</v>
      </c>
      <c r="AN6" s="2" t="s">
        <v>193</v>
      </c>
      <c r="AO6" s="2" t="s">
        <v>194</v>
      </c>
      <c r="AP6" s="2" t="s">
        <v>195</v>
      </c>
    </row>
    <row r="7" spans="1:42" x14ac:dyDescent="0.3">
      <c r="A7" s="53" t="s">
        <v>6692</v>
      </c>
      <c r="B7" s="153" t="s">
        <v>49</v>
      </c>
      <c r="C7" s="10">
        <v>33</v>
      </c>
      <c r="D7" s="112">
        <v>57</v>
      </c>
      <c r="E7" s="80">
        <f>TA_NQY!F17+TA_NQO!F17</f>
        <v>287.00000000000011</v>
      </c>
      <c r="F7" s="80">
        <v>359.00000000000176</v>
      </c>
      <c r="G7" s="6">
        <f>TA_NQY!G17+TA_NQO!G17</f>
        <v>17</v>
      </c>
      <c r="H7" s="6">
        <v>16</v>
      </c>
      <c r="I7" s="12">
        <v>4</v>
      </c>
      <c r="J7" s="12">
        <v>8</v>
      </c>
      <c r="K7" s="12">
        <v>6</v>
      </c>
      <c r="L7" s="12">
        <v>5</v>
      </c>
      <c r="M7" s="12">
        <v>6</v>
      </c>
      <c r="N7" s="12">
        <v>7</v>
      </c>
      <c r="O7" s="12">
        <v>9</v>
      </c>
      <c r="P7" s="12">
        <v>9</v>
      </c>
      <c r="Q7" s="12">
        <v>5</v>
      </c>
      <c r="R7" s="12">
        <v>7</v>
      </c>
      <c r="S7" s="12">
        <v>1</v>
      </c>
      <c r="T7" s="12">
        <v>2</v>
      </c>
      <c r="U7" s="12">
        <v>8</v>
      </c>
      <c r="V7" s="12">
        <v>9</v>
      </c>
      <c r="W7" s="12">
        <v>9</v>
      </c>
      <c r="X7" s="12">
        <v>6</v>
      </c>
      <c r="Y7" s="12">
        <v>8</v>
      </c>
      <c r="Z7" s="12">
        <v>9</v>
      </c>
      <c r="AA7" s="12">
        <v>8</v>
      </c>
      <c r="AB7" s="12">
        <v>9</v>
      </c>
      <c r="AC7" s="12">
        <v>8</v>
      </c>
      <c r="AD7" s="12">
        <v>8</v>
      </c>
      <c r="AE7" s="12">
        <v>6</v>
      </c>
      <c r="AF7" s="12">
        <v>7</v>
      </c>
      <c r="AG7" s="2" t="s">
        <v>216</v>
      </c>
      <c r="AH7" s="2" t="s">
        <v>217</v>
      </c>
      <c r="AI7" s="2" t="s">
        <v>218</v>
      </c>
      <c r="AJ7" s="2" t="s">
        <v>219</v>
      </c>
      <c r="AK7" s="2" t="s">
        <v>220</v>
      </c>
      <c r="AL7" s="2" t="s">
        <v>221</v>
      </c>
      <c r="AM7" s="2" t="s">
        <v>222</v>
      </c>
      <c r="AN7" s="2" t="s">
        <v>223</v>
      </c>
      <c r="AO7" s="2" t="s">
        <v>224</v>
      </c>
      <c r="AP7" s="2" t="s">
        <v>225</v>
      </c>
    </row>
    <row r="8" spans="1:42" x14ac:dyDescent="0.3">
      <c r="A8" s="53" t="s">
        <v>6692</v>
      </c>
      <c r="B8" s="153" t="s">
        <v>51</v>
      </c>
      <c r="C8" s="10">
        <v>29</v>
      </c>
      <c r="D8" s="10">
        <v>66</v>
      </c>
      <c r="E8" s="118">
        <f>TA_NQY!F19+TA_NQO!F19</f>
        <v>400.99999999999875</v>
      </c>
      <c r="F8" s="118">
        <v>471.99999999999864</v>
      </c>
      <c r="G8" s="118">
        <f>TA_NQY!G19+TA_NQO!G19</f>
        <v>22</v>
      </c>
      <c r="H8" s="6">
        <v>19</v>
      </c>
      <c r="I8" s="12">
        <v>2</v>
      </c>
      <c r="J8" s="12">
        <v>6</v>
      </c>
      <c r="K8" s="12">
        <v>2</v>
      </c>
      <c r="L8" s="12">
        <v>4</v>
      </c>
      <c r="M8" s="12">
        <v>2</v>
      </c>
      <c r="N8" s="12">
        <v>7</v>
      </c>
      <c r="O8" s="12">
        <v>9</v>
      </c>
      <c r="P8" s="12">
        <v>7</v>
      </c>
      <c r="Q8" s="12">
        <v>4</v>
      </c>
      <c r="R8" s="12">
        <v>7</v>
      </c>
      <c r="S8" s="12">
        <v>1</v>
      </c>
      <c r="T8" s="12">
        <v>3</v>
      </c>
      <c r="U8" s="12">
        <v>8</v>
      </c>
      <c r="V8" s="12">
        <v>7</v>
      </c>
      <c r="W8" s="12">
        <v>3</v>
      </c>
      <c r="X8" s="12">
        <v>2</v>
      </c>
      <c r="Y8" s="12">
        <v>8</v>
      </c>
      <c r="Z8" s="12">
        <v>6</v>
      </c>
      <c r="AA8" s="12">
        <v>8</v>
      </c>
      <c r="AB8" s="12">
        <v>6</v>
      </c>
      <c r="AC8" s="12">
        <v>8</v>
      </c>
      <c r="AD8" s="12">
        <v>9</v>
      </c>
      <c r="AE8" s="12">
        <v>2</v>
      </c>
      <c r="AF8" s="12">
        <v>2</v>
      </c>
      <c r="AG8" s="2" t="s">
        <v>135</v>
      </c>
      <c r="AH8" s="2" t="s">
        <v>235</v>
      </c>
      <c r="AI8" s="2" t="s">
        <v>236</v>
      </c>
      <c r="AJ8" s="2" t="s">
        <v>43</v>
      </c>
      <c r="AK8" s="2" t="s">
        <v>37</v>
      </c>
      <c r="AL8" s="2" t="s">
        <v>237</v>
      </c>
      <c r="AM8" s="2" t="s">
        <v>238</v>
      </c>
      <c r="AN8" s="2" t="s">
        <v>239</v>
      </c>
      <c r="AO8" s="2" t="s">
        <v>43</v>
      </c>
      <c r="AP8" s="2" t="s">
        <v>240</v>
      </c>
    </row>
    <row r="9" spans="1:42" s="147" customFormat="1" x14ac:dyDescent="0.3">
      <c r="A9" s="53" t="s">
        <v>6693</v>
      </c>
      <c r="B9" s="148" t="s">
        <v>52</v>
      </c>
      <c r="C9" s="10">
        <v>38</v>
      </c>
      <c r="D9" s="10">
        <v>61</v>
      </c>
      <c r="E9" s="80">
        <f>TA_NQY!F20+TA_NQO!F20</f>
        <v>346.00000000001251</v>
      </c>
      <c r="F9" s="80">
        <v>395.99999999999955</v>
      </c>
      <c r="G9" s="80">
        <f>TA_NQY!G20+TA_NQO!G20</f>
        <v>20</v>
      </c>
      <c r="H9" s="118">
        <v>22</v>
      </c>
      <c r="I9" s="12">
        <v>2</v>
      </c>
      <c r="J9" s="12">
        <v>3</v>
      </c>
      <c r="K9" s="12">
        <v>2</v>
      </c>
      <c r="L9" s="12">
        <v>3</v>
      </c>
      <c r="M9" s="12">
        <v>2</v>
      </c>
      <c r="N9" s="12">
        <v>5</v>
      </c>
      <c r="O9" s="12">
        <v>9</v>
      </c>
      <c r="P9" s="12">
        <v>9</v>
      </c>
      <c r="Q9" s="12">
        <v>3</v>
      </c>
      <c r="R9" s="12">
        <v>6</v>
      </c>
      <c r="S9" s="12">
        <v>1</v>
      </c>
      <c r="T9" s="12">
        <v>1</v>
      </c>
      <c r="U9" s="12">
        <v>9</v>
      </c>
      <c r="V9" s="12">
        <v>9</v>
      </c>
      <c r="W9" s="12">
        <v>8</v>
      </c>
      <c r="X9" s="12">
        <v>7</v>
      </c>
      <c r="Y9" s="12">
        <v>8</v>
      </c>
      <c r="Z9" s="12">
        <v>7</v>
      </c>
      <c r="AA9" s="12">
        <v>8</v>
      </c>
      <c r="AB9" s="12">
        <v>7</v>
      </c>
      <c r="AC9" s="12">
        <v>10</v>
      </c>
      <c r="AD9" s="12">
        <v>10</v>
      </c>
      <c r="AE9" s="12">
        <v>2</v>
      </c>
      <c r="AF9" s="12">
        <v>2</v>
      </c>
      <c r="AG9" s="149" t="s">
        <v>241</v>
      </c>
      <c r="AH9" s="11" t="s">
        <v>242</v>
      </c>
      <c r="AI9" s="11" t="s">
        <v>243</v>
      </c>
      <c r="AJ9" s="11" t="s">
        <v>244</v>
      </c>
      <c r="AK9" s="11" t="s">
        <v>245</v>
      </c>
      <c r="AL9" s="11" t="s">
        <v>246</v>
      </c>
      <c r="AM9" s="11" t="s">
        <v>247</v>
      </c>
      <c r="AN9" s="11" t="s">
        <v>248</v>
      </c>
      <c r="AO9" s="11" t="s">
        <v>249</v>
      </c>
      <c r="AP9" s="11" t="s">
        <v>250</v>
      </c>
    </row>
    <row r="10" spans="1:42" x14ac:dyDescent="0.3">
      <c r="A10" s="53" t="s">
        <v>6694</v>
      </c>
      <c r="B10" s="119" t="s">
        <v>53</v>
      </c>
      <c r="C10" s="10">
        <v>34</v>
      </c>
      <c r="D10" s="10">
        <v>65</v>
      </c>
      <c r="E10" s="118">
        <f>TA_NQY!F21+TA_NQO!F21</f>
        <v>409.00000000000318</v>
      </c>
      <c r="F10" s="80">
        <v>402.00000000000529</v>
      </c>
      <c r="G10" s="118">
        <f>TA_NQY!G21+TA_NQO!G21</f>
        <v>22</v>
      </c>
      <c r="H10" s="118">
        <v>22</v>
      </c>
      <c r="I10" s="12">
        <v>8</v>
      </c>
      <c r="J10" s="12">
        <v>4</v>
      </c>
      <c r="K10" s="12">
        <v>3</v>
      </c>
      <c r="L10" s="12">
        <v>3</v>
      </c>
      <c r="M10" s="12">
        <v>8</v>
      </c>
      <c r="N10" s="12">
        <v>4</v>
      </c>
      <c r="O10" s="12">
        <v>10</v>
      </c>
      <c r="P10" s="12">
        <v>10</v>
      </c>
      <c r="Q10" s="12">
        <v>3</v>
      </c>
      <c r="R10" s="12">
        <v>10</v>
      </c>
      <c r="S10" s="12">
        <v>8</v>
      </c>
      <c r="T10" s="12">
        <v>3</v>
      </c>
      <c r="U10" s="12">
        <v>10</v>
      </c>
      <c r="V10" s="12">
        <v>10</v>
      </c>
      <c r="W10" s="12">
        <v>10</v>
      </c>
      <c r="X10" s="12">
        <v>10</v>
      </c>
      <c r="Y10" s="12">
        <v>10</v>
      </c>
      <c r="Z10" s="12">
        <v>9</v>
      </c>
      <c r="AA10" s="12">
        <v>10</v>
      </c>
      <c r="AB10" s="12">
        <v>10</v>
      </c>
      <c r="AC10" s="12">
        <v>9</v>
      </c>
      <c r="AD10" s="12">
        <v>10</v>
      </c>
      <c r="AE10" s="12">
        <v>1</v>
      </c>
      <c r="AF10" s="12">
        <v>1</v>
      </c>
      <c r="AG10" s="2" t="s">
        <v>251</v>
      </c>
      <c r="AH10" s="2" t="s">
        <v>252</v>
      </c>
      <c r="AI10" s="2" t="s">
        <v>253</v>
      </c>
      <c r="AJ10" s="2" t="s">
        <v>254</v>
      </c>
      <c r="AK10" s="2" t="s">
        <v>255</v>
      </c>
      <c r="AL10" s="2" t="s">
        <v>256</v>
      </c>
      <c r="AM10" s="2" t="s">
        <v>257</v>
      </c>
      <c r="AN10" s="2" t="s">
        <v>258</v>
      </c>
      <c r="AO10" s="2" t="s">
        <v>259</v>
      </c>
      <c r="AP10" s="2" t="s">
        <v>260</v>
      </c>
    </row>
    <row r="11" spans="1:42" s="147" customFormat="1" x14ac:dyDescent="0.3">
      <c r="A11" s="53" t="s">
        <v>6695</v>
      </c>
      <c r="B11" s="120" t="s">
        <v>66</v>
      </c>
      <c r="C11" s="10">
        <v>34</v>
      </c>
      <c r="D11" s="10">
        <v>62</v>
      </c>
      <c r="E11" s="80">
        <f>TA_NQY!F22+TA_NQO!F22</f>
        <v>369.9999999999971</v>
      </c>
      <c r="F11" s="118">
        <v>561.00000000000136</v>
      </c>
      <c r="G11" s="118">
        <f>TA_NQY!G22+TA_NQO!G22</f>
        <v>22</v>
      </c>
      <c r="H11" s="118">
        <v>22</v>
      </c>
      <c r="I11" s="12">
        <v>1</v>
      </c>
      <c r="J11" s="12">
        <v>3</v>
      </c>
      <c r="K11" s="12">
        <v>4</v>
      </c>
      <c r="L11" s="12">
        <v>3</v>
      </c>
      <c r="M11" s="12">
        <v>3</v>
      </c>
      <c r="N11" s="12">
        <v>4</v>
      </c>
      <c r="O11" s="12">
        <v>3</v>
      </c>
      <c r="P11" s="12">
        <v>8</v>
      </c>
      <c r="Q11" s="12">
        <v>1</v>
      </c>
      <c r="R11" s="12">
        <v>5</v>
      </c>
      <c r="S11" s="12">
        <v>1</v>
      </c>
      <c r="T11" s="12">
        <v>7</v>
      </c>
      <c r="U11" s="12">
        <v>3</v>
      </c>
      <c r="V11" s="12">
        <v>6</v>
      </c>
      <c r="W11" s="12">
        <v>2</v>
      </c>
      <c r="X11" s="12">
        <v>7</v>
      </c>
      <c r="Y11" s="12">
        <v>4</v>
      </c>
      <c r="Z11" s="12">
        <v>5</v>
      </c>
      <c r="AA11" s="12">
        <v>4</v>
      </c>
      <c r="AB11" s="12">
        <v>3</v>
      </c>
      <c r="AC11" s="12">
        <v>1</v>
      </c>
      <c r="AD11" s="12">
        <v>1</v>
      </c>
      <c r="AE11" s="12">
        <v>1</v>
      </c>
      <c r="AF11" s="12">
        <v>1</v>
      </c>
      <c r="AG11" s="149" t="s">
        <v>261</v>
      </c>
      <c r="AH11" s="11" t="s">
        <v>262</v>
      </c>
      <c r="AI11" s="11" t="s">
        <v>263</v>
      </c>
      <c r="AJ11" s="11" t="s">
        <v>264</v>
      </c>
      <c r="AK11" s="11" t="s">
        <v>102</v>
      </c>
      <c r="AL11" s="11" t="s">
        <v>102</v>
      </c>
      <c r="AM11" s="11" t="s">
        <v>265</v>
      </c>
      <c r="AN11" s="11" t="s">
        <v>266</v>
      </c>
      <c r="AO11" s="11" t="s">
        <v>267</v>
      </c>
      <c r="AP11" s="11" t="s">
        <v>268</v>
      </c>
    </row>
    <row r="12" spans="1:42" x14ac:dyDescent="0.3">
      <c r="A12" s="53" t="s">
        <v>6696</v>
      </c>
      <c r="B12" s="152" t="s">
        <v>54</v>
      </c>
      <c r="C12" s="10">
        <v>32</v>
      </c>
      <c r="D12" s="10">
        <v>72</v>
      </c>
      <c r="E12" s="80">
        <f>TA_NQY!F23+TA_NQO!F23</f>
        <v>334.99999999999801</v>
      </c>
      <c r="F12" s="144">
        <v>300.00000000000853</v>
      </c>
      <c r="G12" s="113">
        <f>TA_NQY!G23+TA_NQO!G23</f>
        <v>20</v>
      </c>
      <c r="H12" s="6">
        <v>18</v>
      </c>
      <c r="I12" s="12">
        <v>2</v>
      </c>
      <c r="J12" s="12">
        <v>4</v>
      </c>
      <c r="K12" s="12">
        <v>2</v>
      </c>
      <c r="L12" s="12">
        <v>2</v>
      </c>
      <c r="M12" s="12">
        <v>2</v>
      </c>
      <c r="N12" s="12">
        <v>5</v>
      </c>
      <c r="O12" s="12">
        <v>10</v>
      </c>
      <c r="P12" s="12">
        <v>8</v>
      </c>
      <c r="Q12" s="12">
        <v>2</v>
      </c>
      <c r="R12" s="12">
        <v>5</v>
      </c>
      <c r="S12" s="12">
        <v>1</v>
      </c>
      <c r="T12" s="12">
        <v>3</v>
      </c>
      <c r="U12" s="12">
        <v>10</v>
      </c>
      <c r="V12" s="12">
        <v>10</v>
      </c>
      <c r="W12" s="12">
        <v>8</v>
      </c>
      <c r="X12" s="12">
        <v>9</v>
      </c>
      <c r="Y12" s="12">
        <v>8</v>
      </c>
      <c r="Z12" s="12">
        <v>9</v>
      </c>
      <c r="AA12" s="12">
        <v>7</v>
      </c>
      <c r="AB12" s="12">
        <v>8</v>
      </c>
      <c r="AC12" s="12">
        <v>10</v>
      </c>
      <c r="AD12" s="12">
        <v>10</v>
      </c>
      <c r="AE12" s="12">
        <v>7</v>
      </c>
      <c r="AF12" s="12">
        <v>8</v>
      </c>
      <c r="AG12" s="2" t="s">
        <v>187</v>
      </c>
      <c r="AH12" s="2" t="s">
        <v>269</v>
      </c>
      <c r="AI12" s="2" t="s">
        <v>270</v>
      </c>
      <c r="AJ12" s="2" t="s">
        <v>271</v>
      </c>
      <c r="AK12" s="2" t="s">
        <v>104</v>
      </c>
      <c r="AL12" s="2" t="s">
        <v>272</v>
      </c>
      <c r="AM12" s="2" t="s">
        <v>104</v>
      </c>
      <c r="AN12" s="2" t="s">
        <v>273</v>
      </c>
      <c r="AO12" s="2" t="s">
        <v>102</v>
      </c>
      <c r="AP12" s="2" t="s">
        <v>274</v>
      </c>
    </row>
    <row r="13" spans="1:42" s="147" customFormat="1" x14ac:dyDescent="0.3">
      <c r="A13" s="53" t="s">
        <v>6697</v>
      </c>
      <c r="B13" s="148" t="s">
        <v>55</v>
      </c>
      <c r="C13" s="112">
        <v>24</v>
      </c>
      <c r="D13" s="10">
        <v>66</v>
      </c>
      <c r="E13" s="80">
        <f>TA_NQY!F24+TA_NQO!F24</f>
        <v>305.0000000000029</v>
      </c>
      <c r="F13" s="80">
        <v>409.99999999999056</v>
      </c>
      <c r="G13" s="80">
        <f>TA_NQY!G24+TA_NQO!G24</f>
        <v>16</v>
      </c>
      <c r="H13" s="80">
        <v>16</v>
      </c>
      <c r="I13" s="12">
        <v>8</v>
      </c>
      <c r="J13" s="12">
        <v>7</v>
      </c>
      <c r="K13" s="12">
        <v>8</v>
      </c>
      <c r="L13" s="12">
        <v>9</v>
      </c>
      <c r="M13" s="12">
        <v>9</v>
      </c>
      <c r="N13" s="12">
        <v>8</v>
      </c>
      <c r="O13" s="12">
        <v>9</v>
      </c>
      <c r="P13" s="12">
        <v>10</v>
      </c>
      <c r="Q13" s="12">
        <v>8</v>
      </c>
      <c r="R13" s="12">
        <v>7</v>
      </c>
      <c r="S13" s="12">
        <v>1</v>
      </c>
      <c r="T13" s="12">
        <v>2</v>
      </c>
      <c r="U13" s="12">
        <v>9</v>
      </c>
      <c r="V13" s="12">
        <v>9</v>
      </c>
      <c r="W13" s="12">
        <v>10</v>
      </c>
      <c r="X13" s="12">
        <v>10</v>
      </c>
      <c r="Y13" s="12">
        <v>10</v>
      </c>
      <c r="Z13" s="12">
        <v>9</v>
      </c>
      <c r="AA13" s="12">
        <v>10</v>
      </c>
      <c r="AB13" s="12">
        <v>9</v>
      </c>
      <c r="AC13" s="12">
        <v>9</v>
      </c>
      <c r="AD13" s="12">
        <v>9</v>
      </c>
      <c r="AE13" s="12">
        <v>3</v>
      </c>
      <c r="AF13" s="12">
        <v>4</v>
      </c>
      <c r="AG13" s="149" t="s">
        <v>275</v>
      </c>
      <c r="AH13" s="11" t="s">
        <v>276</v>
      </c>
      <c r="AI13" s="11" t="s">
        <v>277</v>
      </c>
      <c r="AJ13" s="11" t="s">
        <v>278</v>
      </c>
      <c r="AK13" s="11" t="s">
        <v>230</v>
      </c>
      <c r="AL13" s="11" t="s">
        <v>279</v>
      </c>
      <c r="AM13" s="11" t="s">
        <v>280</v>
      </c>
      <c r="AN13" s="11" t="s">
        <v>281</v>
      </c>
      <c r="AO13" s="11" t="s">
        <v>282</v>
      </c>
      <c r="AP13" s="11" t="s">
        <v>283</v>
      </c>
    </row>
    <row r="14" spans="1:42" x14ac:dyDescent="0.3">
      <c r="A14" s="53" t="s">
        <v>6698</v>
      </c>
      <c r="B14" s="117" t="s">
        <v>58</v>
      </c>
      <c r="C14" s="10">
        <v>37</v>
      </c>
      <c r="D14" s="112">
        <v>56</v>
      </c>
      <c r="E14" s="116">
        <f>TA_NQY!F27+TA_NQO!F27</f>
        <v>239.99999999999915</v>
      </c>
      <c r="F14" s="144">
        <v>259.99999999999591</v>
      </c>
      <c r="G14" s="116">
        <f>TA_NQY!G27+TA_NQO!G27</f>
        <v>11</v>
      </c>
      <c r="H14" s="116">
        <v>12</v>
      </c>
      <c r="I14" s="12">
        <v>2</v>
      </c>
      <c r="J14" s="12">
        <v>4</v>
      </c>
      <c r="K14" s="12">
        <v>2</v>
      </c>
      <c r="L14" s="12">
        <v>2</v>
      </c>
      <c r="M14" s="12">
        <v>3</v>
      </c>
      <c r="N14" s="12">
        <v>5</v>
      </c>
      <c r="O14" s="12">
        <v>10</v>
      </c>
      <c r="P14" s="12">
        <v>10</v>
      </c>
      <c r="Q14" s="12">
        <v>3</v>
      </c>
      <c r="R14" s="12">
        <v>5</v>
      </c>
      <c r="S14" s="12">
        <v>1</v>
      </c>
      <c r="T14" s="12">
        <v>1</v>
      </c>
      <c r="U14" s="12">
        <v>10</v>
      </c>
      <c r="V14" s="12">
        <v>10</v>
      </c>
      <c r="W14" s="12">
        <v>10</v>
      </c>
      <c r="X14" s="12">
        <v>10</v>
      </c>
      <c r="Y14" s="12">
        <v>10</v>
      </c>
      <c r="Z14" s="12">
        <v>10</v>
      </c>
      <c r="AA14" s="12">
        <v>10</v>
      </c>
      <c r="AB14" s="12">
        <v>10</v>
      </c>
      <c r="AC14" s="12">
        <v>10</v>
      </c>
      <c r="AD14" s="12">
        <v>10</v>
      </c>
      <c r="AE14" s="12">
        <v>4</v>
      </c>
      <c r="AF14" s="12">
        <v>4</v>
      </c>
      <c r="AG14" s="2" t="s">
        <v>206</v>
      </c>
      <c r="AH14" s="2" t="s">
        <v>302</v>
      </c>
      <c r="AI14" s="2" t="s">
        <v>303</v>
      </c>
      <c r="AJ14" s="2" t="s">
        <v>304</v>
      </c>
      <c r="AK14" s="2" t="s">
        <v>305</v>
      </c>
      <c r="AL14" s="2" t="s">
        <v>306</v>
      </c>
      <c r="AM14" s="2" t="s">
        <v>307</v>
      </c>
      <c r="AN14" s="2" t="s">
        <v>308</v>
      </c>
      <c r="AO14" s="2" t="s">
        <v>43</v>
      </c>
      <c r="AP14" s="2" t="s">
        <v>309</v>
      </c>
    </row>
    <row r="15" spans="1:42" x14ac:dyDescent="0.3">
      <c r="A15" s="53" t="s">
        <v>6699</v>
      </c>
      <c r="B15" s="151" t="s">
        <v>60</v>
      </c>
      <c r="C15" s="112">
        <v>26</v>
      </c>
      <c r="D15" s="10">
        <v>72</v>
      </c>
      <c r="E15" s="118">
        <f>TA_NQY!F29+TA_NQO!F29</f>
        <v>387.00000000000296</v>
      </c>
      <c r="F15" s="80">
        <v>370.99999999999403</v>
      </c>
      <c r="G15" s="6">
        <f>TA_NQY!G29+TA_NQO!G29</f>
        <v>17</v>
      </c>
      <c r="H15" s="6">
        <v>17</v>
      </c>
      <c r="I15" s="12">
        <v>3</v>
      </c>
      <c r="J15" s="12">
        <v>6</v>
      </c>
      <c r="K15" s="12">
        <v>2</v>
      </c>
      <c r="L15" s="12">
        <v>2</v>
      </c>
      <c r="M15" s="12">
        <v>5</v>
      </c>
      <c r="N15" s="12">
        <v>5</v>
      </c>
      <c r="O15" s="12">
        <v>10</v>
      </c>
      <c r="P15" s="12">
        <v>9</v>
      </c>
      <c r="Q15" s="12">
        <v>6</v>
      </c>
      <c r="R15" s="12">
        <v>4</v>
      </c>
      <c r="S15" s="12">
        <v>4</v>
      </c>
      <c r="T15" s="12">
        <v>7</v>
      </c>
      <c r="U15" s="12">
        <v>10</v>
      </c>
      <c r="V15" s="12">
        <v>8</v>
      </c>
      <c r="W15" s="12">
        <v>6</v>
      </c>
      <c r="X15" s="12">
        <v>8</v>
      </c>
      <c r="Y15" s="12">
        <v>9</v>
      </c>
      <c r="Z15" s="12">
        <v>8</v>
      </c>
      <c r="AA15" s="12">
        <v>9</v>
      </c>
      <c r="AB15" s="12">
        <v>7</v>
      </c>
      <c r="AC15" s="12">
        <v>9</v>
      </c>
      <c r="AD15" s="12">
        <v>10</v>
      </c>
      <c r="AE15" s="12">
        <v>8</v>
      </c>
      <c r="AF15" s="12">
        <v>9</v>
      </c>
      <c r="AG15" s="2" t="s">
        <v>161</v>
      </c>
      <c r="AH15" s="2" t="s">
        <v>319</v>
      </c>
      <c r="AI15" s="2" t="s">
        <v>320</v>
      </c>
      <c r="AJ15" s="2" t="s">
        <v>321</v>
      </c>
      <c r="AK15" s="2" t="s">
        <v>322</v>
      </c>
      <c r="AL15" s="2" t="s">
        <v>323</v>
      </c>
      <c r="AM15" s="2" t="s">
        <v>324</v>
      </c>
      <c r="AN15" s="2" t="s">
        <v>325</v>
      </c>
      <c r="AO15" s="2" t="s">
        <v>326</v>
      </c>
      <c r="AP15" s="2" t="s">
        <v>327</v>
      </c>
    </row>
    <row r="16" spans="1:42" x14ac:dyDescent="0.3">
      <c r="A16" s="53" t="s">
        <v>6688</v>
      </c>
      <c r="B16" s="114" t="s">
        <v>61</v>
      </c>
      <c r="C16" s="150">
        <v>39</v>
      </c>
      <c r="D16" s="10">
        <v>68</v>
      </c>
      <c r="E16" s="80">
        <f>TA_NQY!F30+TA_NQO!F30</f>
        <v>310.99999999999426</v>
      </c>
      <c r="F16" s="80">
        <v>416.99999999999801</v>
      </c>
      <c r="G16" s="6">
        <f>TA_NQY!G30+TA_NQO!G30</f>
        <v>18</v>
      </c>
      <c r="H16" s="6">
        <v>20</v>
      </c>
      <c r="I16" s="12">
        <v>2</v>
      </c>
      <c r="J16" s="12">
        <v>4</v>
      </c>
      <c r="K16" s="12">
        <v>2</v>
      </c>
      <c r="L16" s="12">
        <v>2</v>
      </c>
      <c r="M16" s="12">
        <v>3</v>
      </c>
      <c r="N16" s="12">
        <v>6</v>
      </c>
      <c r="O16" s="12">
        <v>10</v>
      </c>
      <c r="P16" s="12">
        <v>10</v>
      </c>
      <c r="Q16" s="12">
        <v>5</v>
      </c>
      <c r="R16" s="12">
        <v>7</v>
      </c>
      <c r="S16" s="12">
        <v>3</v>
      </c>
      <c r="T16" s="12">
        <v>5</v>
      </c>
      <c r="U16" s="12">
        <v>10</v>
      </c>
      <c r="V16" s="12">
        <v>9</v>
      </c>
      <c r="W16" s="12">
        <v>10</v>
      </c>
      <c r="X16" s="12">
        <v>9</v>
      </c>
      <c r="Y16" s="12">
        <v>10</v>
      </c>
      <c r="Z16" s="12">
        <v>8</v>
      </c>
      <c r="AA16" s="12">
        <v>10</v>
      </c>
      <c r="AB16" s="12">
        <v>9</v>
      </c>
      <c r="AC16" s="12">
        <v>9</v>
      </c>
      <c r="AD16" s="12">
        <v>9</v>
      </c>
      <c r="AE16" s="12">
        <v>6</v>
      </c>
      <c r="AF16" s="12">
        <v>7</v>
      </c>
      <c r="AG16" s="2" t="s">
        <v>328</v>
      </c>
      <c r="AH16" s="2" t="s">
        <v>329</v>
      </c>
      <c r="AI16" s="2" t="s">
        <v>330</v>
      </c>
      <c r="AJ16" s="2" t="s">
        <v>331</v>
      </c>
      <c r="AK16" s="2" t="s">
        <v>104</v>
      </c>
      <c r="AL16" s="2" t="s">
        <v>104</v>
      </c>
      <c r="AM16" s="2" t="s">
        <v>332</v>
      </c>
      <c r="AN16" s="2" t="s">
        <v>333</v>
      </c>
      <c r="AO16" s="2" t="s">
        <v>334</v>
      </c>
      <c r="AP16" s="2" t="s">
        <v>335</v>
      </c>
    </row>
    <row r="17" spans="1:42" x14ac:dyDescent="0.3">
      <c r="A17" s="53" t="s">
        <v>6700</v>
      </c>
      <c r="B17" s="152" t="s">
        <v>62</v>
      </c>
      <c r="C17" s="10">
        <v>31</v>
      </c>
      <c r="D17" s="10">
        <v>64</v>
      </c>
      <c r="E17" s="80">
        <f>TA_NQY!F31+TA_NQO!F31</f>
        <v>297.99999999999545</v>
      </c>
      <c r="F17" s="144">
        <v>280.9999999999992</v>
      </c>
      <c r="G17" s="6">
        <f>TA_NQY!G31+TA_NQO!G31</f>
        <v>17</v>
      </c>
      <c r="H17" s="6">
        <v>16</v>
      </c>
      <c r="I17" s="12">
        <v>6</v>
      </c>
      <c r="J17" s="12">
        <v>9</v>
      </c>
      <c r="K17" s="12">
        <v>3</v>
      </c>
      <c r="L17" s="12">
        <v>4</v>
      </c>
      <c r="M17" s="12">
        <v>3</v>
      </c>
      <c r="N17" s="12">
        <v>7</v>
      </c>
      <c r="O17" s="12">
        <v>10</v>
      </c>
      <c r="P17" s="12">
        <v>9</v>
      </c>
      <c r="Q17" s="12">
        <v>8</v>
      </c>
      <c r="R17" s="12">
        <v>9</v>
      </c>
      <c r="S17" s="12">
        <v>8</v>
      </c>
      <c r="T17" s="12">
        <v>4</v>
      </c>
      <c r="U17" s="12">
        <v>7</v>
      </c>
      <c r="V17" s="12">
        <v>8</v>
      </c>
      <c r="W17" s="12">
        <v>8</v>
      </c>
      <c r="X17" s="12">
        <v>9</v>
      </c>
      <c r="Y17" s="12">
        <v>6</v>
      </c>
      <c r="Z17" s="12">
        <v>10</v>
      </c>
      <c r="AA17" s="12">
        <v>6</v>
      </c>
      <c r="AB17" s="12">
        <v>9</v>
      </c>
      <c r="AC17" s="12">
        <v>8</v>
      </c>
      <c r="AD17" s="12">
        <v>10</v>
      </c>
      <c r="AE17" s="12">
        <v>8</v>
      </c>
      <c r="AF17" s="12">
        <v>10</v>
      </c>
      <c r="AG17" s="2" t="s">
        <v>336</v>
      </c>
      <c r="AH17" s="2" t="s">
        <v>337</v>
      </c>
      <c r="AI17" s="2" t="s">
        <v>338</v>
      </c>
      <c r="AJ17" s="2" t="s">
        <v>43</v>
      </c>
      <c r="AK17" s="2" t="s">
        <v>339</v>
      </c>
      <c r="AL17" s="2" t="s">
        <v>340</v>
      </c>
      <c r="AM17" s="2" t="s">
        <v>341</v>
      </c>
      <c r="AN17" s="2" t="s">
        <v>342</v>
      </c>
      <c r="AO17" s="2" t="s">
        <v>343</v>
      </c>
      <c r="AP17" s="2" t="s">
        <v>344</v>
      </c>
    </row>
    <row r="18" spans="1:42" x14ac:dyDescent="0.3">
      <c r="A18" s="53" t="s">
        <v>6701</v>
      </c>
      <c r="B18" s="120" t="s">
        <v>65</v>
      </c>
      <c r="C18" s="10">
        <v>34</v>
      </c>
      <c r="D18" s="10">
        <v>71</v>
      </c>
      <c r="E18" s="118">
        <f>TA_NQY!F33+TA_NQO!F33</f>
        <v>382.99999999998636</v>
      </c>
      <c r="F18" s="80">
        <v>391.99999999999733</v>
      </c>
      <c r="G18" s="118">
        <f>TA_NQY!G33+TA_NQO!G33</f>
        <v>22</v>
      </c>
      <c r="H18" s="118">
        <v>22</v>
      </c>
      <c r="I18" s="12">
        <v>3</v>
      </c>
      <c r="J18" s="12">
        <v>4</v>
      </c>
      <c r="K18" s="12">
        <v>3</v>
      </c>
      <c r="L18" s="12">
        <v>3</v>
      </c>
      <c r="M18" s="12">
        <v>4</v>
      </c>
      <c r="N18" s="12">
        <v>4</v>
      </c>
      <c r="O18" s="12">
        <v>10</v>
      </c>
      <c r="P18" s="12">
        <v>9</v>
      </c>
      <c r="Q18" s="12">
        <v>3</v>
      </c>
      <c r="R18" s="12">
        <v>4</v>
      </c>
      <c r="S18" s="12">
        <v>1</v>
      </c>
      <c r="T18" s="12">
        <v>2</v>
      </c>
      <c r="U18" s="12">
        <v>9</v>
      </c>
      <c r="V18" s="12">
        <v>9</v>
      </c>
      <c r="W18" s="12">
        <v>10</v>
      </c>
      <c r="X18" s="12">
        <v>10</v>
      </c>
      <c r="Y18" s="12">
        <v>10</v>
      </c>
      <c r="Z18" s="12">
        <v>10</v>
      </c>
      <c r="AA18" s="12">
        <v>10</v>
      </c>
      <c r="AB18" s="12">
        <v>10</v>
      </c>
      <c r="AC18" s="12">
        <v>10</v>
      </c>
      <c r="AD18" s="12">
        <v>9</v>
      </c>
      <c r="AE18" s="12">
        <v>2</v>
      </c>
      <c r="AF18" s="12">
        <v>2</v>
      </c>
      <c r="AG18" s="2" t="s">
        <v>354</v>
      </c>
      <c r="AH18" s="2" t="s">
        <v>355</v>
      </c>
      <c r="AI18" s="2" t="s">
        <v>356</v>
      </c>
      <c r="AJ18" s="2" t="s">
        <v>102</v>
      </c>
      <c r="AK18" s="2" t="s">
        <v>104</v>
      </c>
      <c r="AL18" s="2" t="s">
        <v>104</v>
      </c>
      <c r="AM18" s="2" t="s">
        <v>357</v>
      </c>
      <c r="AN18" s="2" t="s">
        <v>358</v>
      </c>
      <c r="AO18" s="2" t="s">
        <v>102</v>
      </c>
      <c r="AP18" s="2" t="s">
        <v>359</v>
      </c>
    </row>
    <row r="24" spans="1:42" x14ac:dyDescent="0.3">
      <c r="A24" t="s">
        <v>6685</v>
      </c>
    </row>
    <row r="25" spans="1:42" x14ac:dyDescent="0.3">
      <c r="A25" t="s">
        <v>6688</v>
      </c>
      <c r="B25" t="s">
        <v>6715</v>
      </c>
      <c r="D25" s="77">
        <v>15</v>
      </c>
    </row>
    <row r="26" spans="1:42" x14ac:dyDescent="0.3">
      <c r="A26" t="s">
        <v>6709</v>
      </c>
      <c r="B26" s="168" t="s">
        <v>44</v>
      </c>
      <c r="C26" t="s">
        <v>6688</v>
      </c>
      <c r="D26" s="77" t="s">
        <v>6724</v>
      </c>
    </row>
    <row r="27" spans="1:42" x14ac:dyDescent="0.3">
      <c r="A27" t="s">
        <v>6707</v>
      </c>
      <c r="B27" s="167" t="s">
        <v>6711</v>
      </c>
      <c r="C27" t="s">
        <v>6688</v>
      </c>
      <c r="D27" s="77" t="s">
        <v>6724</v>
      </c>
    </row>
    <row r="28" spans="1:42" x14ac:dyDescent="0.3">
      <c r="A28" t="s">
        <v>6708</v>
      </c>
      <c r="B28" s="145" t="s">
        <v>58</v>
      </c>
      <c r="C28" t="s">
        <v>6688</v>
      </c>
      <c r="D28" s="77" t="s">
        <v>6724</v>
      </c>
    </row>
    <row r="29" spans="1:42" x14ac:dyDescent="0.3">
      <c r="A29" t="s">
        <v>6703</v>
      </c>
      <c r="B29" s="171" t="s">
        <v>6713</v>
      </c>
      <c r="D29" s="77">
        <v>2</v>
      </c>
    </row>
    <row r="30" spans="1:42" x14ac:dyDescent="0.3">
      <c r="A30" t="s">
        <v>6702</v>
      </c>
      <c r="B30" s="170" t="s">
        <v>6710</v>
      </c>
      <c r="D30" s="77">
        <v>2</v>
      </c>
    </row>
    <row r="31" spans="1:42" x14ac:dyDescent="0.3">
      <c r="A31" t="s">
        <v>6704</v>
      </c>
      <c r="B31" s="169" t="s">
        <v>40</v>
      </c>
      <c r="D31" s="77">
        <v>1</v>
      </c>
    </row>
    <row r="32" spans="1:42" x14ac:dyDescent="0.3">
      <c r="A32" t="s">
        <v>6705</v>
      </c>
      <c r="B32" s="120" t="s">
        <v>6714</v>
      </c>
      <c r="D32" s="77">
        <v>3</v>
      </c>
    </row>
    <row r="33" spans="1:4" x14ac:dyDescent="0.3">
      <c r="A33" t="s">
        <v>6706</v>
      </c>
      <c r="B33" s="166" t="s">
        <v>6712</v>
      </c>
      <c r="D33" s="77">
        <v>3</v>
      </c>
    </row>
  </sheetData>
  <mergeCells count="1">
    <mergeCell ref="L1:T1"/>
  </mergeCell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AA52D-2D1E-48AB-9D28-404FEAF0C246}">
  <dimension ref="A1:CG17"/>
  <sheetViews>
    <sheetView zoomScale="97" zoomScaleNormal="100" workbookViewId="0">
      <pane xSplit="2" ySplit="2" topLeftCell="AS3" activePane="bottomRight" state="frozen"/>
      <selection pane="topRight" activeCell="C1" sqref="C1"/>
      <selection pane="bottomLeft" activeCell="A3" sqref="A3"/>
      <selection pane="bottomRight" activeCell="AU8" sqref="AU8"/>
    </sheetView>
  </sheetViews>
  <sheetFormatPr defaultRowHeight="14.4" x14ac:dyDescent="0.3"/>
  <cols>
    <col min="1" max="1" width="19.6640625" customWidth="1"/>
    <col min="3" max="3" width="13.33203125" customWidth="1"/>
    <col min="4" max="4" width="17.109375" customWidth="1"/>
    <col min="5" max="5" width="17.44140625" customWidth="1"/>
    <col min="6" max="6" width="15" customWidth="1"/>
    <col min="7" max="7" width="17.5546875" customWidth="1"/>
    <col min="8" max="8" width="14.77734375" customWidth="1"/>
    <col min="9" max="9" width="19.44140625" customWidth="1"/>
    <col min="10" max="10" width="17.5546875" customWidth="1"/>
    <col min="11" max="11" width="16.6640625" customWidth="1"/>
    <col min="12" max="12" width="15.109375" customWidth="1"/>
    <col min="13" max="13" width="17.88671875" customWidth="1"/>
    <col min="14" max="14" width="19.44140625" customWidth="1"/>
    <col min="15" max="15" width="17.33203125" customWidth="1"/>
    <col min="16" max="16" width="15.88671875" customWidth="1"/>
    <col min="17" max="17" width="16.5546875" customWidth="1"/>
    <col min="18" max="18" width="9.6640625" customWidth="1"/>
    <col min="19" max="19" width="17.5546875" customWidth="1"/>
    <col min="20" max="20" width="24.21875" customWidth="1"/>
    <col min="21" max="21" width="13.33203125" customWidth="1"/>
    <col min="22" max="22" width="14.109375" customWidth="1"/>
    <col min="23" max="23" width="22" customWidth="1"/>
    <col min="24" max="24" width="23.77734375" customWidth="1"/>
    <col min="25" max="25" width="14.33203125" customWidth="1"/>
    <col min="26" max="26" width="14.6640625" customWidth="1"/>
    <col min="27" max="27" width="15.109375" customWidth="1"/>
    <col min="29" max="29" width="17.6640625" customWidth="1"/>
    <col min="30" max="30" width="13.77734375" customWidth="1"/>
    <col min="31" max="31" width="15.6640625" customWidth="1"/>
    <col min="32" max="32" width="17.44140625" customWidth="1"/>
    <col min="33" max="33" width="12.88671875" customWidth="1"/>
    <col min="34" max="34" width="14.88671875" customWidth="1"/>
    <col min="35" max="35" width="21.6640625" customWidth="1"/>
    <col min="36" max="36" width="26.109375" customWidth="1"/>
    <col min="37" max="37" width="25.109375" customWidth="1"/>
    <col min="38" max="38" width="26.109375" customWidth="1"/>
    <col min="39" max="39" width="11.5546875" customWidth="1"/>
    <col min="40" max="40" width="11.77734375" customWidth="1"/>
    <col min="41" max="41" width="12.109375" customWidth="1"/>
    <col min="42" max="42" width="10.88671875" customWidth="1"/>
    <col min="43" max="43" width="11.109375" customWidth="1"/>
    <col min="45" max="45" width="10.5546875" customWidth="1"/>
    <col min="46" max="46" width="15.5546875" customWidth="1"/>
    <col min="47" max="47" width="13.21875" customWidth="1"/>
    <col min="48" max="48" width="12.21875" customWidth="1"/>
    <col min="49" max="49" width="11.88671875" customWidth="1"/>
    <col min="50" max="50" width="12.88671875" customWidth="1"/>
    <col min="51" max="51" width="16" customWidth="1"/>
    <col min="52" max="52" width="11.109375" customWidth="1"/>
    <col min="53" max="53" width="11.21875" customWidth="1"/>
    <col min="54" max="54" width="10.33203125" customWidth="1"/>
    <col min="55" max="55" width="14.5546875" customWidth="1"/>
    <col min="56" max="56" width="14" customWidth="1"/>
    <col min="57" max="57" width="16.6640625" customWidth="1"/>
    <col min="58" max="58" width="17.6640625" customWidth="1"/>
    <col min="59" max="59" width="13.77734375" customWidth="1"/>
    <col min="60" max="60" width="26.21875" customWidth="1"/>
    <col min="61" max="61" width="18.88671875" customWidth="1"/>
    <col min="62" max="62" width="20.21875" customWidth="1"/>
    <col min="63" max="63" width="21.33203125" customWidth="1"/>
    <col min="64" max="64" width="27.33203125" customWidth="1"/>
    <col min="65" max="65" width="31.109375" customWidth="1"/>
    <col min="66" max="66" width="44.6640625" customWidth="1"/>
    <col min="67" max="67" width="40.44140625" customWidth="1"/>
    <col min="68" max="68" width="33.33203125" customWidth="1"/>
    <col min="69" max="69" width="16.44140625" customWidth="1"/>
    <col min="70" max="70" width="17.5546875" customWidth="1"/>
    <col min="71" max="71" width="18.88671875" customWidth="1"/>
    <col min="72" max="72" width="36" customWidth="1"/>
    <col min="73" max="73" width="59.77734375" customWidth="1"/>
    <col min="74" max="74" width="24.109375" customWidth="1"/>
    <col min="75" max="75" width="24" customWidth="1"/>
    <col min="76" max="76" width="33.44140625" customWidth="1"/>
    <col min="77" max="77" width="36.109375" customWidth="1"/>
    <col min="78" max="78" width="34.88671875" customWidth="1"/>
    <col min="79" max="79" width="36.109375" customWidth="1"/>
    <col min="80" max="80" width="30.6640625" customWidth="1"/>
    <col min="81" max="81" width="28.88671875" customWidth="1"/>
    <col min="82" max="82" width="84.5546875" customWidth="1"/>
    <col min="83" max="83" width="52.21875" customWidth="1"/>
    <col min="84" max="84" width="47.33203125" customWidth="1"/>
    <col min="85" max="85" width="39.77734375" customWidth="1"/>
    <col min="86" max="86" width="34.77734375" customWidth="1"/>
  </cols>
  <sheetData>
    <row r="1" spans="1:85" ht="21" x14ac:dyDescent="0.4">
      <c r="B1" s="111" t="s">
        <v>67</v>
      </c>
      <c r="C1" s="111"/>
      <c r="D1" s="111"/>
      <c r="E1" s="111"/>
      <c r="F1" s="111"/>
      <c r="G1" s="111" t="s">
        <v>68</v>
      </c>
      <c r="H1" s="111"/>
      <c r="I1" s="111"/>
      <c r="J1" s="111"/>
      <c r="K1" s="111"/>
      <c r="L1" s="111"/>
      <c r="M1" s="111"/>
      <c r="N1" s="111"/>
      <c r="O1" s="111"/>
      <c r="P1" s="111"/>
      <c r="Q1" s="111" t="s">
        <v>69</v>
      </c>
      <c r="R1" s="111"/>
      <c r="S1" s="111"/>
      <c r="T1" s="111"/>
      <c r="U1" s="111"/>
      <c r="V1" s="111"/>
      <c r="W1" s="111"/>
      <c r="X1" s="111"/>
      <c r="Y1" s="111"/>
      <c r="Z1" s="111"/>
      <c r="AA1" s="111"/>
      <c r="AB1" s="111"/>
      <c r="AC1" s="111"/>
      <c r="AD1" s="111"/>
      <c r="AE1" s="111"/>
      <c r="AF1" s="111"/>
      <c r="AG1" s="111"/>
      <c r="AH1" s="111"/>
      <c r="AI1" s="111"/>
      <c r="AJ1" s="111"/>
      <c r="AK1" s="111"/>
      <c r="AL1" s="111"/>
      <c r="AM1" s="46"/>
      <c r="AN1" s="46"/>
      <c r="AO1" s="111" t="s">
        <v>98</v>
      </c>
      <c r="AP1" s="111"/>
      <c r="AQ1" s="111"/>
      <c r="AR1" s="111"/>
      <c r="AS1" s="111"/>
      <c r="AT1" s="111"/>
      <c r="AU1" s="111"/>
      <c r="AV1" s="111"/>
      <c r="AW1" s="111"/>
      <c r="AX1" s="111"/>
      <c r="AY1" s="111"/>
      <c r="AZ1" s="111"/>
      <c r="BA1" s="46"/>
      <c r="BB1" s="111" t="s">
        <v>99</v>
      </c>
      <c r="BC1" s="111"/>
      <c r="BD1" s="111"/>
      <c r="BE1" s="111"/>
      <c r="BF1" s="111"/>
      <c r="BG1" s="111"/>
      <c r="BH1" s="111"/>
      <c r="BI1" s="111"/>
      <c r="BJ1" s="46"/>
      <c r="BK1" s="46"/>
      <c r="BL1" s="46"/>
      <c r="BM1" s="46"/>
      <c r="BO1" s="46"/>
      <c r="BP1" s="46"/>
      <c r="BS1" s="45" t="s">
        <v>377</v>
      </c>
    </row>
    <row r="2" spans="1:85" s="1" customFormat="1" ht="146.4" thickBot="1" x14ac:dyDescent="0.35">
      <c r="A2" s="17" t="s">
        <v>0</v>
      </c>
      <c r="B2" s="18" t="s">
        <v>1</v>
      </c>
      <c r="C2" s="29" t="s">
        <v>32</v>
      </c>
      <c r="D2" s="29" t="s">
        <v>33</v>
      </c>
      <c r="E2" s="29" t="s">
        <v>34</v>
      </c>
      <c r="F2" s="30" t="s">
        <v>35</v>
      </c>
      <c r="G2" s="31" t="s">
        <v>2</v>
      </c>
      <c r="H2" s="32" t="s">
        <v>3</v>
      </c>
      <c r="I2" s="32" t="s">
        <v>4</v>
      </c>
      <c r="J2" s="32" t="s">
        <v>5</v>
      </c>
      <c r="K2" s="32" t="s">
        <v>6</v>
      </c>
      <c r="L2" s="32" t="s">
        <v>7</v>
      </c>
      <c r="M2" s="32" t="s">
        <v>8</v>
      </c>
      <c r="N2" s="32" t="s">
        <v>9</v>
      </c>
      <c r="O2" s="32" t="s">
        <v>10</v>
      </c>
      <c r="P2" s="32" t="s">
        <v>11</v>
      </c>
      <c r="Q2" s="43" t="s">
        <v>379</v>
      </c>
      <c r="R2" s="43" t="s">
        <v>378</v>
      </c>
      <c r="S2" s="33" t="s">
        <v>12</v>
      </c>
      <c r="T2" s="33" t="s">
        <v>13</v>
      </c>
      <c r="U2" s="33" t="s">
        <v>14</v>
      </c>
      <c r="V2" s="33" t="s">
        <v>15</v>
      </c>
      <c r="W2" s="33" t="s">
        <v>16</v>
      </c>
      <c r="X2" s="33" t="s">
        <v>17</v>
      </c>
      <c r="Y2" s="33" t="s">
        <v>18</v>
      </c>
      <c r="Z2" s="33" t="s">
        <v>19</v>
      </c>
      <c r="AA2" s="33" t="s">
        <v>20</v>
      </c>
      <c r="AB2" s="33" t="s">
        <v>21</v>
      </c>
      <c r="AC2" s="33" t="s">
        <v>22</v>
      </c>
      <c r="AD2" s="33" t="s">
        <v>23</v>
      </c>
      <c r="AE2" s="33" t="s">
        <v>24</v>
      </c>
      <c r="AF2" s="33" t="s">
        <v>25</v>
      </c>
      <c r="AG2" s="33" t="s">
        <v>26</v>
      </c>
      <c r="AH2" s="33" t="s">
        <v>27</v>
      </c>
      <c r="AI2" s="33" t="s">
        <v>28</v>
      </c>
      <c r="AJ2" s="33" t="s">
        <v>29</v>
      </c>
      <c r="AK2" s="33" t="s">
        <v>30</v>
      </c>
      <c r="AL2" s="33" t="s">
        <v>31</v>
      </c>
      <c r="AM2" s="42" t="s">
        <v>382</v>
      </c>
      <c r="AN2" s="42" t="s">
        <v>384</v>
      </c>
      <c r="AO2" s="42" t="s">
        <v>385</v>
      </c>
      <c r="AP2" s="42" t="s">
        <v>386</v>
      </c>
      <c r="AQ2" s="42" t="s">
        <v>387</v>
      </c>
      <c r="AR2" s="34" t="s">
        <v>70</v>
      </c>
      <c r="AS2" s="34" t="s">
        <v>6665</v>
      </c>
      <c r="AT2" s="34" t="s">
        <v>3173</v>
      </c>
      <c r="AU2" s="34" t="s">
        <v>3169</v>
      </c>
      <c r="AV2" s="35" t="s">
        <v>71</v>
      </c>
      <c r="AW2" s="35" t="s">
        <v>72</v>
      </c>
      <c r="AX2" s="35" t="s">
        <v>73</v>
      </c>
      <c r="AY2" s="35" t="s">
        <v>74</v>
      </c>
      <c r="AZ2" s="35" t="s">
        <v>75</v>
      </c>
      <c r="BA2" s="35" t="s">
        <v>76</v>
      </c>
      <c r="BB2" s="35" t="s">
        <v>77</v>
      </c>
      <c r="BC2" s="35" t="s">
        <v>78</v>
      </c>
      <c r="BD2" s="35" t="s">
        <v>79</v>
      </c>
      <c r="BE2" s="35" t="s">
        <v>80</v>
      </c>
      <c r="BF2" s="35" t="s">
        <v>81</v>
      </c>
      <c r="BG2" s="36" t="s">
        <v>82</v>
      </c>
      <c r="BH2" s="34" t="s">
        <v>85</v>
      </c>
      <c r="BI2" s="34" t="s">
        <v>6626</v>
      </c>
      <c r="BJ2" s="34" t="s">
        <v>3170</v>
      </c>
      <c r="BK2" s="37" t="s">
        <v>87</v>
      </c>
      <c r="BL2" s="37" t="s">
        <v>88</v>
      </c>
      <c r="BM2" s="37" t="s">
        <v>89</v>
      </c>
      <c r="BN2" s="37" t="s">
        <v>90</v>
      </c>
      <c r="BO2" s="37" t="s">
        <v>91</v>
      </c>
      <c r="BP2" s="37" t="s">
        <v>92</v>
      </c>
      <c r="BQ2" s="37" t="s">
        <v>93</v>
      </c>
      <c r="BR2" s="37" t="s">
        <v>94</v>
      </c>
      <c r="BS2" s="37" t="s">
        <v>86</v>
      </c>
      <c r="BT2" s="37" t="s">
        <v>95</v>
      </c>
      <c r="BU2" s="37" t="s">
        <v>96</v>
      </c>
      <c r="BV2" s="38" t="s">
        <v>97</v>
      </c>
      <c r="BW2" s="39" t="s">
        <v>367</v>
      </c>
      <c r="BX2" s="39" t="s">
        <v>368</v>
      </c>
      <c r="BY2" s="39" t="s">
        <v>369</v>
      </c>
      <c r="BZ2" s="39" t="s">
        <v>370</v>
      </c>
      <c r="CA2" s="39" t="s">
        <v>371</v>
      </c>
      <c r="CB2" s="39" t="s">
        <v>372</v>
      </c>
      <c r="CC2" s="39" t="s">
        <v>373</v>
      </c>
      <c r="CD2" s="39" t="s">
        <v>374</v>
      </c>
      <c r="CE2" s="39" t="s">
        <v>375</v>
      </c>
      <c r="CF2" s="40" t="s">
        <v>376</v>
      </c>
    </row>
    <row r="3" spans="1:85" x14ac:dyDescent="0.3">
      <c r="A3" s="9">
        <v>45909.444653206017</v>
      </c>
      <c r="B3" s="22" t="s">
        <v>38</v>
      </c>
      <c r="C3" s="20" t="s">
        <v>39</v>
      </c>
      <c r="D3" s="12">
        <v>31</v>
      </c>
      <c r="E3" s="12" t="s">
        <v>37</v>
      </c>
      <c r="F3" s="12">
        <v>4</v>
      </c>
      <c r="G3" s="10">
        <v>4</v>
      </c>
      <c r="H3" s="10">
        <v>3</v>
      </c>
      <c r="I3" s="10">
        <v>4</v>
      </c>
      <c r="J3" s="10">
        <v>3</v>
      </c>
      <c r="K3" s="10">
        <v>2</v>
      </c>
      <c r="L3" s="10">
        <v>4</v>
      </c>
      <c r="M3" s="10">
        <v>2</v>
      </c>
      <c r="N3" s="10">
        <v>3</v>
      </c>
      <c r="O3" s="10">
        <v>4</v>
      </c>
      <c r="P3" s="10">
        <v>3</v>
      </c>
      <c r="Q3" s="10">
        <f>Form_Responses[[#This Row],[SUM]]/10</f>
        <v>3.1</v>
      </c>
      <c r="R3" s="10">
        <f>SUM(Form_Responses[[#This Row],[1- I can always manage to solve difficult problems if I try hard enough.]:[10- I can usually handle whatever comes my way.]])</f>
        <v>31</v>
      </c>
      <c r="S3" s="10">
        <v>5</v>
      </c>
      <c r="T3" s="10">
        <v>5</v>
      </c>
      <c r="U3" s="10">
        <v>5</v>
      </c>
      <c r="V3" s="10">
        <v>5</v>
      </c>
      <c r="W3" s="10">
        <v>5</v>
      </c>
      <c r="X3" s="10">
        <v>1</v>
      </c>
      <c r="Y3" s="10">
        <v>1</v>
      </c>
      <c r="Z3" s="10">
        <v>1</v>
      </c>
      <c r="AA3" s="10">
        <v>1</v>
      </c>
      <c r="AB3" s="10">
        <v>1</v>
      </c>
      <c r="AC3" s="10">
        <v>5</v>
      </c>
      <c r="AD3" s="10">
        <v>5</v>
      </c>
      <c r="AE3" s="10">
        <v>5</v>
      </c>
      <c r="AF3" s="10">
        <v>5</v>
      </c>
      <c r="AG3" s="10">
        <v>4</v>
      </c>
      <c r="AH3" s="10">
        <v>4</v>
      </c>
      <c r="AI3" s="10">
        <v>4</v>
      </c>
      <c r="AJ3" s="10">
        <v>4</v>
      </c>
      <c r="AK3" s="10">
        <v>5</v>
      </c>
      <c r="AL3" s="10">
        <v>4</v>
      </c>
      <c r="AM3" s="10">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64</v>
      </c>
      <c r="AN3" s="10">
        <f>SUM(Form_Responses[[#This Row],[1- I can trust persons and organizations related to development of robots ]:[5- If robots had emotions, I would be able to be friend with them]])</f>
        <v>10</v>
      </c>
      <c r="AO3" s="10">
        <f>SUM(Form_Responses[[#This Row],[6- I would feel uneasy if I was given a job where I had to use robots]:[10- I don’t want a robot to touch me]])</f>
        <v>9</v>
      </c>
      <c r="AP3" s="10">
        <f>SUM(Form_Responses[[#This Row],[11- Robots are necessary because they can do jobs that are too hard or too dangerous for people ]:[15- Robots are a good thing for society, because they help people]])</f>
        <v>22</v>
      </c>
      <c r="AQ3" s="10">
        <f>SUM(Form_Responses[[#This Row],[16- Robots may make us even lazier ]:[20- Unregulated use of robotics can lead to societal upheavals]])</f>
        <v>18</v>
      </c>
      <c r="AR3" s="11" t="s">
        <v>83</v>
      </c>
      <c r="AS3" s="80">
        <f>TA_NQY!F3+TA_NQO!F3</f>
        <v>332.00000000000716</v>
      </c>
      <c r="AT3" s="80">
        <f>TA_NQY!F8+TA_NQO!F8</f>
        <v>346.99999999999511</v>
      </c>
      <c r="AU3" s="6">
        <f>TA_NQY!G8+TA_NQO!G8</f>
        <v>19</v>
      </c>
      <c r="AV3" s="12">
        <v>4</v>
      </c>
      <c r="AW3" s="12">
        <v>7</v>
      </c>
      <c r="AX3" s="12">
        <v>6</v>
      </c>
      <c r="AY3" s="12">
        <v>10</v>
      </c>
      <c r="AZ3" s="12">
        <v>7</v>
      </c>
      <c r="BA3" s="12">
        <v>6</v>
      </c>
      <c r="BB3" s="12">
        <v>10</v>
      </c>
      <c r="BC3" s="12">
        <v>10</v>
      </c>
      <c r="BD3" s="12">
        <v>9</v>
      </c>
      <c r="BE3" s="12">
        <v>9</v>
      </c>
      <c r="BF3" s="12">
        <v>10</v>
      </c>
      <c r="BG3" s="12">
        <v>4</v>
      </c>
      <c r="BH3" s="11" t="s">
        <v>84</v>
      </c>
      <c r="BI3" s="80">
        <f>TA_QY!F8+TA_QO!F8</f>
        <v>581.00000000000296</v>
      </c>
      <c r="BJ3" s="6">
        <f>TA_QY!G8+TA_QO!G8</f>
        <v>21</v>
      </c>
      <c r="BK3" s="12">
        <v>10</v>
      </c>
      <c r="BL3" s="12">
        <v>9</v>
      </c>
      <c r="BM3" s="12">
        <v>8</v>
      </c>
      <c r="BN3" s="12">
        <v>10</v>
      </c>
      <c r="BO3" s="12">
        <v>9</v>
      </c>
      <c r="BP3" s="12">
        <v>9</v>
      </c>
      <c r="BQ3" s="12">
        <v>9</v>
      </c>
      <c r="BR3" s="12">
        <v>8</v>
      </c>
      <c r="BS3" s="12">
        <v>9</v>
      </c>
      <c r="BT3" s="12">
        <v>9</v>
      </c>
      <c r="BU3" s="12">
        <v>10</v>
      </c>
      <c r="BV3" s="12">
        <v>10</v>
      </c>
      <c r="BW3" s="2" t="s">
        <v>135</v>
      </c>
      <c r="BX3" s="2" t="s">
        <v>136</v>
      </c>
      <c r="BY3" s="2" t="s">
        <v>137</v>
      </c>
      <c r="BZ3" s="2" t="s">
        <v>138</v>
      </c>
      <c r="CA3" s="2" t="s">
        <v>139</v>
      </c>
      <c r="CB3" s="2" t="s">
        <v>140</v>
      </c>
      <c r="CC3" s="2" t="s">
        <v>141</v>
      </c>
      <c r="CD3" s="2" t="s">
        <v>142</v>
      </c>
      <c r="CE3" s="2" t="s">
        <v>102</v>
      </c>
      <c r="CF3" s="2" t="s">
        <v>143</v>
      </c>
    </row>
    <row r="4" spans="1:85" x14ac:dyDescent="0.3">
      <c r="A4" s="9">
        <v>45909.613403391202</v>
      </c>
      <c r="B4" s="22" t="s">
        <v>42</v>
      </c>
      <c r="C4" s="21" t="s">
        <v>39</v>
      </c>
      <c r="D4" s="10">
        <v>26</v>
      </c>
      <c r="E4" s="10" t="s">
        <v>43</v>
      </c>
      <c r="F4" s="10">
        <v>3</v>
      </c>
      <c r="G4" s="10">
        <v>3</v>
      </c>
      <c r="H4" s="10">
        <v>3</v>
      </c>
      <c r="I4" s="10">
        <v>2</v>
      </c>
      <c r="J4" s="10">
        <v>4</v>
      </c>
      <c r="K4" s="10">
        <v>4</v>
      </c>
      <c r="L4" s="10">
        <v>4</v>
      </c>
      <c r="M4" s="10">
        <v>4</v>
      </c>
      <c r="N4" s="10">
        <v>3</v>
      </c>
      <c r="O4" s="10">
        <v>4</v>
      </c>
      <c r="P4" s="10">
        <v>3</v>
      </c>
      <c r="Q4" s="10">
        <f>Form_Responses[[#This Row],[SUM]]/10</f>
        <v>3.3</v>
      </c>
      <c r="R4" s="10">
        <f>SUM(Form_Responses[[#This Row],[1- I can always manage to solve difficult problems if I try hard enough.]:[10- I can usually handle whatever comes my way.]])</f>
        <v>33</v>
      </c>
      <c r="S4" s="10">
        <v>3</v>
      </c>
      <c r="T4" s="10">
        <v>3</v>
      </c>
      <c r="U4" s="10">
        <v>4</v>
      </c>
      <c r="V4" s="10">
        <v>2</v>
      </c>
      <c r="W4" s="10">
        <v>3</v>
      </c>
      <c r="X4" s="10">
        <v>1</v>
      </c>
      <c r="Y4" s="10">
        <v>2</v>
      </c>
      <c r="Z4" s="10">
        <v>1</v>
      </c>
      <c r="AA4" s="10">
        <v>1</v>
      </c>
      <c r="AB4" s="10">
        <v>1</v>
      </c>
      <c r="AC4" s="10">
        <v>5</v>
      </c>
      <c r="AD4" s="10">
        <v>5</v>
      </c>
      <c r="AE4" s="10">
        <v>5</v>
      </c>
      <c r="AF4" s="10">
        <v>5</v>
      </c>
      <c r="AG4" s="10">
        <v>4</v>
      </c>
      <c r="AH4" s="10">
        <v>2</v>
      </c>
      <c r="AI4" s="10">
        <v>2</v>
      </c>
      <c r="AJ4" s="10">
        <v>1</v>
      </c>
      <c r="AK4" s="10">
        <v>4</v>
      </c>
      <c r="AL4" s="10">
        <v>2</v>
      </c>
      <c r="AM4" s="10">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64</v>
      </c>
      <c r="AN4" s="10">
        <f>SUM(Form_Responses[[#This Row],[1- I can trust persons and organizations related to development of robots ]:[5- If robots had emotions, I would be able to be friend with them]])</f>
        <v>17</v>
      </c>
      <c r="AO4" s="10">
        <f>SUM(Form_Responses[[#This Row],[6- I would feel uneasy if I was given a job where I had to use robots]:[10- I don’t want a robot to touch me]])</f>
        <v>8</v>
      </c>
      <c r="AP4" s="10">
        <f>SUM(Form_Responses[[#This Row],[11- Robots are necessary because they can do jobs that are too hard or too dangerous for people ]:[15- Robots are a good thing for society, because they help people]])</f>
        <v>23</v>
      </c>
      <c r="AQ4" s="10">
        <f>SUM(Form_Responses[[#This Row],[16- Robots may make us even lazier ]:[20- Unregulated use of robotics can lead to societal upheavals]])</f>
        <v>19</v>
      </c>
      <c r="AR4" s="11" t="s">
        <v>83</v>
      </c>
      <c r="AS4" s="80">
        <f>TA_NQY!F4+TA_NQO!F4</f>
        <v>383.99999999999284</v>
      </c>
      <c r="AT4" s="80">
        <f>TA_NQY!F11+TA_NQO!F11</f>
        <v>310.99999999999426</v>
      </c>
      <c r="AU4" s="6">
        <f>TA_NQY!G11+TA_NQO!G11</f>
        <v>19</v>
      </c>
      <c r="AV4" s="12">
        <v>2</v>
      </c>
      <c r="AW4" s="12">
        <v>2</v>
      </c>
      <c r="AX4" s="12">
        <v>2</v>
      </c>
      <c r="AY4" s="12">
        <v>8</v>
      </c>
      <c r="AZ4" s="12">
        <v>3</v>
      </c>
      <c r="BA4" s="12">
        <v>1</v>
      </c>
      <c r="BB4" s="12">
        <v>9</v>
      </c>
      <c r="BC4" s="12">
        <v>6</v>
      </c>
      <c r="BD4" s="12">
        <v>4</v>
      </c>
      <c r="BE4" s="12">
        <v>7</v>
      </c>
      <c r="BF4" s="12">
        <v>10</v>
      </c>
      <c r="BG4" s="12">
        <v>4</v>
      </c>
      <c r="BH4" s="11" t="s">
        <v>84</v>
      </c>
      <c r="BI4" s="80">
        <f>TA_QY!F11+TA_QO!F11</f>
        <v>374.00000000000409</v>
      </c>
      <c r="BJ4" s="6">
        <f>TA_QY!G11+TA_QO!G11</f>
        <v>22</v>
      </c>
      <c r="BK4" s="12">
        <v>5</v>
      </c>
      <c r="BL4" s="12">
        <v>3</v>
      </c>
      <c r="BM4" s="12">
        <v>4</v>
      </c>
      <c r="BN4" s="12">
        <v>7</v>
      </c>
      <c r="BO4" s="12">
        <v>4</v>
      </c>
      <c r="BP4" s="12">
        <v>1</v>
      </c>
      <c r="BQ4" s="12">
        <v>9</v>
      </c>
      <c r="BR4" s="12">
        <v>8</v>
      </c>
      <c r="BS4" s="12">
        <v>8</v>
      </c>
      <c r="BT4" s="12">
        <v>8</v>
      </c>
      <c r="BU4" s="12">
        <v>8</v>
      </c>
      <c r="BV4" s="12">
        <v>3</v>
      </c>
      <c r="BW4" s="2" t="s">
        <v>161</v>
      </c>
      <c r="BX4" s="2" t="s">
        <v>162</v>
      </c>
      <c r="BY4" s="2" t="s">
        <v>163</v>
      </c>
      <c r="BZ4" s="2" t="s">
        <v>164</v>
      </c>
      <c r="CA4" s="2" t="s">
        <v>165</v>
      </c>
      <c r="CB4" s="2" t="s">
        <v>166</v>
      </c>
      <c r="CC4" s="2" t="s">
        <v>167</v>
      </c>
      <c r="CD4" s="2" t="s">
        <v>168</v>
      </c>
      <c r="CE4" s="2" t="s">
        <v>169</v>
      </c>
      <c r="CF4" s="2" t="s">
        <v>170</v>
      </c>
    </row>
    <row r="5" spans="1:85" x14ac:dyDescent="0.3">
      <c r="A5" s="9">
        <v>45909.662530416666</v>
      </c>
      <c r="B5" s="22" t="s">
        <v>44</v>
      </c>
      <c r="C5" s="20" t="s">
        <v>36</v>
      </c>
      <c r="D5" s="12">
        <v>28</v>
      </c>
      <c r="E5" s="12" t="s">
        <v>37</v>
      </c>
      <c r="F5" s="12">
        <v>4</v>
      </c>
      <c r="G5" s="10">
        <v>4</v>
      </c>
      <c r="H5" s="10">
        <v>3</v>
      </c>
      <c r="I5" s="10">
        <v>3</v>
      </c>
      <c r="J5" s="10">
        <v>3</v>
      </c>
      <c r="K5" s="10">
        <v>4</v>
      </c>
      <c r="L5" s="10">
        <v>3</v>
      </c>
      <c r="M5" s="10">
        <v>3</v>
      </c>
      <c r="N5" s="10">
        <v>3</v>
      </c>
      <c r="O5" s="10">
        <v>3</v>
      </c>
      <c r="P5" s="10">
        <v>3</v>
      </c>
      <c r="Q5" s="10">
        <f>Form_Responses[[#This Row],[SUM]]/10</f>
        <v>3.4</v>
      </c>
      <c r="R5" s="10">
        <f>SUM(Form_Responses[[#This Row],[1- I can always manage to solve difficult problems if I try hard enough.]:[10- I can usually handle whatever comes my way.]])</f>
        <v>34</v>
      </c>
      <c r="S5" s="10">
        <v>4</v>
      </c>
      <c r="T5" s="10">
        <v>3</v>
      </c>
      <c r="U5" s="10">
        <v>5</v>
      </c>
      <c r="V5" s="10">
        <v>4</v>
      </c>
      <c r="W5" s="10">
        <v>5</v>
      </c>
      <c r="X5" s="10">
        <v>1</v>
      </c>
      <c r="Y5" s="10">
        <v>4</v>
      </c>
      <c r="Z5" s="10">
        <v>1</v>
      </c>
      <c r="AA5" s="10">
        <v>1</v>
      </c>
      <c r="AB5" s="10">
        <v>1</v>
      </c>
      <c r="AC5" s="10">
        <v>5</v>
      </c>
      <c r="AD5" s="10">
        <v>5</v>
      </c>
      <c r="AE5" s="10">
        <v>5</v>
      </c>
      <c r="AF5" s="10">
        <v>4</v>
      </c>
      <c r="AG5" s="10">
        <v>5</v>
      </c>
      <c r="AH5" s="10">
        <v>5</v>
      </c>
      <c r="AI5" s="10">
        <v>3</v>
      </c>
      <c r="AJ5" s="10">
        <v>1</v>
      </c>
      <c r="AK5" s="10">
        <v>1</v>
      </c>
      <c r="AL5" s="10">
        <v>1</v>
      </c>
      <c r="AM5" s="10">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64</v>
      </c>
      <c r="AN5" s="10">
        <f>SUM(Form_Responses[[#This Row],[1- I can trust persons and organizations related to development of robots ]:[5- If robots had emotions, I would be able to be friend with them]])</f>
        <v>14</v>
      </c>
      <c r="AO5" s="10">
        <f>SUM(Form_Responses[[#This Row],[6- I would feel uneasy if I was given a job where I had to use robots]:[10- I don’t want a robot to touch me]])</f>
        <v>9</v>
      </c>
      <c r="AP5" s="10">
        <f>SUM(Form_Responses[[#This Row],[11- Robots are necessary because they can do jobs that are too hard or too dangerous for people ]:[15- Robots are a good thing for society, because they help people]])</f>
        <v>22</v>
      </c>
      <c r="AQ5" s="10">
        <f>SUM(Form_Responses[[#This Row],[16- Robots may make us even lazier ]:[20- Unregulated use of robotics can lead to societal upheavals]])</f>
        <v>18</v>
      </c>
      <c r="AR5" s="11" t="s">
        <v>83</v>
      </c>
      <c r="AS5" s="80">
        <f>TA_NQY!F5+TA_NQO!F5</f>
        <v>331.99999999998795</v>
      </c>
      <c r="AT5" s="6">
        <f>TA_NQY!G5+TA_NQO!G5</f>
        <v>14</v>
      </c>
      <c r="AU5" s="12">
        <v>3</v>
      </c>
      <c r="AV5" s="12">
        <v>6</v>
      </c>
      <c r="AW5" s="12">
        <v>6</v>
      </c>
      <c r="AX5" s="12">
        <v>10</v>
      </c>
      <c r="AY5" s="12">
        <v>6</v>
      </c>
      <c r="AZ5" s="12">
        <v>3</v>
      </c>
      <c r="BA5" s="12">
        <v>9</v>
      </c>
      <c r="BB5" s="12">
        <v>10</v>
      </c>
      <c r="BC5" s="12">
        <v>8</v>
      </c>
      <c r="BD5" s="12">
        <v>8</v>
      </c>
      <c r="BE5" s="12">
        <v>10</v>
      </c>
      <c r="BF5" s="12">
        <v>6</v>
      </c>
      <c r="BG5" s="11" t="s">
        <v>84</v>
      </c>
      <c r="BH5" s="103">
        <f>TA_NQY!E5+TA_NQO!E5</f>
        <v>169.00000000000404</v>
      </c>
      <c r="BI5" s="104">
        <f>TA_QY!E5+TA_QO!E5</f>
        <v>134.00000000000495</v>
      </c>
      <c r="BJ5" s="80">
        <f>TA_QY!F5+TA_QO!F5</f>
        <v>258.00000000000199</v>
      </c>
      <c r="BK5" s="6">
        <f>TA_QY!G5+TA_QO!G5</f>
        <v>14</v>
      </c>
      <c r="BL5" s="12">
        <v>7</v>
      </c>
      <c r="BM5" s="12">
        <v>4</v>
      </c>
      <c r="BN5" s="12">
        <v>5</v>
      </c>
      <c r="BO5" s="12">
        <v>6</v>
      </c>
      <c r="BP5" s="12">
        <v>6</v>
      </c>
      <c r="BQ5" s="12">
        <v>5</v>
      </c>
      <c r="BR5" s="12">
        <v>7</v>
      </c>
      <c r="BS5" s="12">
        <v>10</v>
      </c>
      <c r="BT5" s="12">
        <v>7</v>
      </c>
      <c r="BU5" s="12">
        <v>6</v>
      </c>
      <c r="BV5" s="12">
        <v>10</v>
      </c>
      <c r="BW5" s="12">
        <v>7</v>
      </c>
      <c r="BX5" s="2" t="s">
        <v>171</v>
      </c>
      <c r="BY5" s="2" t="s">
        <v>172</v>
      </c>
      <c r="BZ5" s="2" t="s">
        <v>173</v>
      </c>
      <c r="CA5" s="2" t="s">
        <v>174</v>
      </c>
      <c r="CB5" s="2" t="s">
        <v>104</v>
      </c>
      <c r="CC5" s="2" t="s">
        <v>104</v>
      </c>
      <c r="CD5" s="2" t="s">
        <v>175</v>
      </c>
      <c r="CE5" s="2" t="s">
        <v>176</v>
      </c>
      <c r="CF5" s="2" t="s">
        <v>102</v>
      </c>
      <c r="CG5" s="2" t="s">
        <v>177</v>
      </c>
    </row>
    <row r="6" spans="1:85" x14ac:dyDescent="0.3">
      <c r="A6" s="9">
        <v>45909.707308969912</v>
      </c>
      <c r="B6" s="22" t="s">
        <v>45</v>
      </c>
      <c r="C6" s="21" t="s">
        <v>39</v>
      </c>
      <c r="D6" s="10">
        <v>25</v>
      </c>
      <c r="E6" s="10" t="s">
        <v>43</v>
      </c>
      <c r="F6" s="10">
        <v>4</v>
      </c>
      <c r="G6" s="10">
        <v>3</v>
      </c>
      <c r="H6" s="10">
        <v>2</v>
      </c>
      <c r="I6" s="10">
        <v>3</v>
      </c>
      <c r="J6" s="10">
        <v>3</v>
      </c>
      <c r="K6" s="10">
        <v>3</v>
      </c>
      <c r="L6" s="10">
        <v>4</v>
      </c>
      <c r="M6" s="10">
        <v>4</v>
      </c>
      <c r="N6" s="10">
        <v>2</v>
      </c>
      <c r="O6" s="10">
        <v>3</v>
      </c>
      <c r="P6" s="10">
        <v>2</v>
      </c>
      <c r="Q6" s="10">
        <f>Form_Responses[[#This Row],[SUM]]/10</f>
        <v>3.9</v>
      </c>
      <c r="R6" s="10">
        <f>SUM(Form_Responses[[#This Row],[1- I can always manage to solve difficult problems if I try hard enough.]:[10- I can usually handle whatever comes my way.]])</f>
        <v>39</v>
      </c>
      <c r="S6" s="10">
        <v>4</v>
      </c>
      <c r="T6" s="10">
        <v>3</v>
      </c>
      <c r="U6" s="10">
        <v>5</v>
      </c>
      <c r="V6" s="10">
        <v>5</v>
      </c>
      <c r="W6" s="10">
        <v>5</v>
      </c>
      <c r="X6" s="10">
        <v>1</v>
      </c>
      <c r="Y6" s="10">
        <v>2</v>
      </c>
      <c r="Z6" s="10">
        <v>1</v>
      </c>
      <c r="AA6" s="10">
        <v>1</v>
      </c>
      <c r="AB6" s="10">
        <v>3</v>
      </c>
      <c r="AC6" s="10">
        <v>5</v>
      </c>
      <c r="AD6" s="10">
        <v>5</v>
      </c>
      <c r="AE6" s="10">
        <v>5</v>
      </c>
      <c r="AF6" s="10">
        <v>5</v>
      </c>
      <c r="AG6" s="10">
        <v>4</v>
      </c>
      <c r="AH6" s="10">
        <v>3</v>
      </c>
      <c r="AI6" s="10">
        <v>2</v>
      </c>
      <c r="AJ6" s="10">
        <v>2</v>
      </c>
      <c r="AK6" s="10">
        <v>5</v>
      </c>
      <c r="AL6" s="10">
        <v>2</v>
      </c>
      <c r="AM6" s="10">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72</v>
      </c>
      <c r="AN6" s="10">
        <f>SUM(Form_Responses[[#This Row],[1- I can trust persons and organizations related to development of robots ]:[5- If robots had emotions, I would be able to be friend with them]])</f>
        <v>16</v>
      </c>
      <c r="AO6" s="10">
        <f>SUM(Form_Responses[[#This Row],[6- I would feel uneasy if I was given a job where I had to use robots]:[10- I don’t want a robot to touch me]])</f>
        <v>8</v>
      </c>
      <c r="AP6" s="10">
        <f>SUM(Form_Responses[[#This Row],[11- Robots are necessary because they can do jobs that are too hard or too dangerous for people ]:[15- Robots are a good thing for society, because they help people]])</f>
        <v>19</v>
      </c>
      <c r="AQ6" s="10">
        <f>SUM(Form_Responses[[#This Row],[16- Robots may make us even lazier ]:[20- Unregulated use of robotics can lead to societal upheavals]])</f>
        <v>7</v>
      </c>
      <c r="AR6" s="11" t="s">
        <v>83</v>
      </c>
      <c r="AS6" s="80">
        <f>TA_NQY!F6+TA_NQO!F6</f>
        <v>282.00000000000574</v>
      </c>
      <c r="AT6" s="80">
        <f>TA_NQY!F13+TA_NQO!F13</f>
        <v>304.99999999999329</v>
      </c>
      <c r="AU6" s="6">
        <f>TA_NQY!G13+TA_NQO!G13</f>
        <v>15</v>
      </c>
      <c r="AV6" s="12">
        <v>1</v>
      </c>
      <c r="AW6" s="12">
        <v>5</v>
      </c>
      <c r="AX6" s="12">
        <v>2</v>
      </c>
      <c r="AY6" s="12">
        <v>10</v>
      </c>
      <c r="AZ6" s="12">
        <v>6</v>
      </c>
      <c r="BA6" s="12">
        <v>2</v>
      </c>
      <c r="BB6" s="12">
        <v>9</v>
      </c>
      <c r="BC6" s="12">
        <v>8</v>
      </c>
      <c r="BD6" s="12">
        <v>8</v>
      </c>
      <c r="BE6" s="12">
        <v>8</v>
      </c>
      <c r="BF6" s="12">
        <v>10</v>
      </c>
      <c r="BG6" s="12">
        <v>8</v>
      </c>
      <c r="BH6" s="11" t="s">
        <v>84</v>
      </c>
      <c r="BI6" s="80">
        <f>TA_QY!F13+TA_QO!F13</f>
        <v>433.00000000000693</v>
      </c>
      <c r="BJ6" s="6">
        <f>TA_QY!G13+TA_QO!G13</f>
        <v>19</v>
      </c>
      <c r="BK6" s="12">
        <v>6</v>
      </c>
      <c r="BL6" s="12">
        <v>6</v>
      </c>
      <c r="BM6" s="12">
        <v>8</v>
      </c>
      <c r="BN6" s="12">
        <v>9</v>
      </c>
      <c r="BO6" s="12">
        <v>7</v>
      </c>
      <c r="BP6" s="12">
        <v>5</v>
      </c>
      <c r="BQ6" s="12">
        <v>8</v>
      </c>
      <c r="BR6" s="12">
        <v>7</v>
      </c>
      <c r="BS6" s="12">
        <v>4</v>
      </c>
      <c r="BT6" s="12">
        <v>6</v>
      </c>
      <c r="BU6" s="12">
        <v>10</v>
      </c>
      <c r="BV6" s="12">
        <v>8</v>
      </c>
      <c r="BW6" s="2" t="s">
        <v>178</v>
      </c>
      <c r="BX6" s="2" t="s">
        <v>179</v>
      </c>
      <c r="BY6" s="2" t="s">
        <v>180</v>
      </c>
      <c r="BZ6" s="2" t="s">
        <v>102</v>
      </c>
      <c r="CA6" s="2" t="s">
        <v>181</v>
      </c>
      <c r="CB6" s="2" t="s">
        <v>182</v>
      </c>
      <c r="CC6" s="2" t="s">
        <v>183</v>
      </c>
      <c r="CD6" s="2" t="s">
        <v>184</v>
      </c>
      <c r="CE6" s="2" t="s">
        <v>185</v>
      </c>
      <c r="CF6" s="2" t="s">
        <v>186</v>
      </c>
    </row>
    <row r="7" spans="1:85" x14ac:dyDescent="0.3">
      <c r="A7" s="9">
        <v>45910.584917060187</v>
      </c>
      <c r="B7" s="22" t="s">
        <v>47</v>
      </c>
      <c r="C7" s="21" t="s">
        <v>36</v>
      </c>
      <c r="D7" s="10">
        <v>26</v>
      </c>
      <c r="E7" s="10" t="s">
        <v>37</v>
      </c>
      <c r="F7" s="10">
        <v>4</v>
      </c>
      <c r="G7" s="10">
        <v>3</v>
      </c>
      <c r="H7" s="10">
        <v>3</v>
      </c>
      <c r="I7" s="10">
        <v>3</v>
      </c>
      <c r="J7" s="10">
        <v>2</v>
      </c>
      <c r="K7" s="10">
        <v>3</v>
      </c>
      <c r="L7" s="10">
        <v>3</v>
      </c>
      <c r="M7" s="10">
        <v>3</v>
      </c>
      <c r="N7" s="10">
        <v>2</v>
      </c>
      <c r="O7" s="10">
        <v>3</v>
      </c>
      <c r="P7" s="10">
        <v>3</v>
      </c>
      <c r="Q7" s="10">
        <f>Form_Responses[[#This Row],[SUM]]/10</f>
        <v>3</v>
      </c>
      <c r="R7" s="10">
        <f>SUM(Form_Responses[[#This Row],[1- I can always manage to solve difficult problems if I try hard enough.]:[10- I can usually handle whatever comes my way.]])</f>
        <v>30</v>
      </c>
      <c r="S7" s="10">
        <v>5</v>
      </c>
      <c r="T7" s="10">
        <v>4</v>
      </c>
      <c r="U7" s="10">
        <v>5</v>
      </c>
      <c r="V7" s="10">
        <v>4</v>
      </c>
      <c r="W7" s="10">
        <v>3</v>
      </c>
      <c r="X7" s="10">
        <v>2</v>
      </c>
      <c r="Y7" s="10">
        <v>1</v>
      </c>
      <c r="Z7" s="10">
        <v>1</v>
      </c>
      <c r="AA7" s="10">
        <v>1</v>
      </c>
      <c r="AB7" s="10">
        <v>3</v>
      </c>
      <c r="AC7" s="10">
        <v>5</v>
      </c>
      <c r="AD7" s="10">
        <v>5</v>
      </c>
      <c r="AE7" s="10">
        <v>5</v>
      </c>
      <c r="AF7" s="10">
        <v>4</v>
      </c>
      <c r="AG7" s="10">
        <v>3</v>
      </c>
      <c r="AH7" s="10">
        <v>4</v>
      </c>
      <c r="AI7" s="10">
        <v>2</v>
      </c>
      <c r="AJ7" s="10">
        <v>3</v>
      </c>
      <c r="AK7" s="10">
        <v>4</v>
      </c>
      <c r="AL7" s="10">
        <v>4</v>
      </c>
      <c r="AM7" s="10">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71</v>
      </c>
      <c r="AN7" s="10">
        <f>SUM(Form_Responses[[#This Row],[1- I can trust persons and organizations related to development of robots ]:[5- If robots had emotions, I would be able to be friend with them]])</f>
        <v>20</v>
      </c>
      <c r="AO7" s="10">
        <f>SUM(Form_Responses[[#This Row],[6- I would feel uneasy if I was given a job where I had to use robots]:[10- I don’t want a robot to touch me]])</f>
        <v>9</v>
      </c>
      <c r="AP7" s="10">
        <f>SUM(Form_Responses[[#This Row],[11- Robots are necessary because they can do jobs that are too hard or too dangerous for people ]:[15- Robots are a good thing for society, because they help people]])</f>
        <v>21</v>
      </c>
      <c r="AQ7" s="10">
        <f>SUM(Form_Responses[[#This Row],[16- Robots may make us even lazier ]:[20- Unregulated use of robotics can lead to societal upheavals]])</f>
        <v>10</v>
      </c>
      <c r="AR7" s="11" t="s">
        <v>83</v>
      </c>
      <c r="AS7" s="80">
        <f>TA_NQY!F7+TA_NQO!F7</f>
        <v>342.99999999999284</v>
      </c>
      <c r="AT7" s="116">
        <f>TA_NQY!F15+TA_NQO!F15</f>
        <v>249.99999999999753</v>
      </c>
      <c r="AU7" s="6">
        <f>TA_NQY!G15+TA_NQO!G15</f>
        <v>13</v>
      </c>
      <c r="AV7" s="12">
        <v>5</v>
      </c>
      <c r="AW7" s="12">
        <v>5</v>
      </c>
      <c r="AX7" s="12">
        <v>6</v>
      </c>
      <c r="AY7" s="12">
        <v>9</v>
      </c>
      <c r="AZ7" s="12">
        <v>5</v>
      </c>
      <c r="BA7" s="12">
        <v>2</v>
      </c>
      <c r="BB7" s="12">
        <v>9</v>
      </c>
      <c r="BC7" s="12">
        <v>8</v>
      </c>
      <c r="BD7" s="12">
        <v>7</v>
      </c>
      <c r="BE7" s="12">
        <v>9</v>
      </c>
      <c r="BF7" s="12">
        <v>9</v>
      </c>
      <c r="BG7" s="12">
        <v>8</v>
      </c>
      <c r="BH7" s="11" t="s">
        <v>84</v>
      </c>
      <c r="BI7" s="80">
        <f>TA_QY!F15+TA_QO!F15</f>
        <v>356.00000000000131</v>
      </c>
      <c r="BJ7" s="6">
        <f>TA_QY!G15+TA_QO!G15</f>
        <v>19</v>
      </c>
      <c r="BK7" s="12">
        <v>8</v>
      </c>
      <c r="BL7" s="12">
        <v>4</v>
      </c>
      <c r="BM7" s="12">
        <v>8</v>
      </c>
      <c r="BN7" s="12">
        <v>9</v>
      </c>
      <c r="BO7" s="12">
        <v>7</v>
      </c>
      <c r="BP7" s="12">
        <v>2</v>
      </c>
      <c r="BQ7" s="12">
        <v>9</v>
      </c>
      <c r="BR7" s="12">
        <v>7</v>
      </c>
      <c r="BS7" s="12">
        <v>8</v>
      </c>
      <c r="BT7" s="12">
        <v>8</v>
      </c>
      <c r="BU7" s="12">
        <v>9</v>
      </c>
      <c r="BV7" s="12">
        <v>8</v>
      </c>
      <c r="BW7" s="2" t="s">
        <v>196</v>
      </c>
      <c r="BX7" s="2" t="s">
        <v>197</v>
      </c>
      <c r="BY7" s="2" t="s">
        <v>198</v>
      </c>
      <c r="BZ7" s="2" t="s">
        <v>199</v>
      </c>
      <c r="CA7" s="2" t="s">
        <v>200</v>
      </c>
      <c r="CB7" s="2" t="s">
        <v>201</v>
      </c>
      <c r="CC7" s="2" t="s">
        <v>202</v>
      </c>
      <c r="CD7" s="2" t="s">
        <v>203</v>
      </c>
      <c r="CE7" s="2" t="s">
        <v>204</v>
      </c>
      <c r="CF7" s="2" t="s">
        <v>205</v>
      </c>
    </row>
    <row r="8" spans="1:85" x14ac:dyDescent="0.3">
      <c r="A8" s="9">
        <v>45910.691854594908</v>
      </c>
      <c r="B8" s="22" t="s">
        <v>48</v>
      </c>
      <c r="C8" s="20" t="s">
        <v>36</v>
      </c>
      <c r="D8" s="12">
        <v>30</v>
      </c>
      <c r="E8" s="12" t="s">
        <v>37</v>
      </c>
      <c r="F8" s="12">
        <v>4</v>
      </c>
      <c r="G8" s="10">
        <v>4</v>
      </c>
      <c r="H8" s="10">
        <v>3</v>
      </c>
      <c r="I8" s="10">
        <v>3</v>
      </c>
      <c r="J8" s="10">
        <v>3</v>
      </c>
      <c r="K8" s="10">
        <v>4</v>
      </c>
      <c r="L8" s="10">
        <v>4</v>
      </c>
      <c r="M8" s="10">
        <v>4</v>
      </c>
      <c r="N8" s="10">
        <v>4</v>
      </c>
      <c r="O8" s="10">
        <v>3</v>
      </c>
      <c r="P8" s="10">
        <v>4</v>
      </c>
      <c r="Q8" s="10">
        <f>Form_Responses[[#This Row],[SUM]]/10</f>
        <v>3.2</v>
      </c>
      <c r="R8" s="10">
        <f>SUM(Form_Responses[[#This Row],[1- I can always manage to solve difficult problems if I try hard enough.]:[10- I can usually handle whatever comes my way.]])</f>
        <v>32</v>
      </c>
      <c r="S8" s="10">
        <v>4</v>
      </c>
      <c r="T8" s="10">
        <v>5</v>
      </c>
      <c r="U8" s="10">
        <v>5</v>
      </c>
      <c r="V8" s="10">
        <v>5</v>
      </c>
      <c r="W8" s="10">
        <v>2</v>
      </c>
      <c r="X8" s="10">
        <v>1</v>
      </c>
      <c r="Y8" s="10">
        <v>4</v>
      </c>
      <c r="Z8" s="10">
        <v>1</v>
      </c>
      <c r="AA8" s="10">
        <v>1</v>
      </c>
      <c r="AB8" s="10">
        <v>2</v>
      </c>
      <c r="AC8" s="10">
        <v>5</v>
      </c>
      <c r="AD8" s="10">
        <v>5</v>
      </c>
      <c r="AE8" s="10">
        <v>5</v>
      </c>
      <c r="AF8" s="10">
        <v>5</v>
      </c>
      <c r="AG8" s="10">
        <v>5</v>
      </c>
      <c r="AH8" s="10">
        <v>1</v>
      </c>
      <c r="AI8" s="10">
        <v>1</v>
      </c>
      <c r="AJ8" s="10">
        <v>1</v>
      </c>
      <c r="AK8" s="10">
        <v>2</v>
      </c>
      <c r="AL8" s="10">
        <v>2</v>
      </c>
      <c r="AM8" s="115">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63</v>
      </c>
      <c r="AN8" s="10">
        <f>SUM(Form_Responses[[#This Row],[1- I can trust persons and organizations related to development of robots ]:[5- If robots had emotions, I would be able to be friend with them]])</f>
        <v>25</v>
      </c>
      <c r="AO8" s="10">
        <f>SUM(Form_Responses[[#This Row],[6- I would feel uneasy if I was given a job where I had to use robots]:[10- I don’t want a robot to touch me]])</f>
        <v>5</v>
      </c>
      <c r="AP8" s="10">
        <f>SUM(Form_Responses[[#This Row],[11- Robots are necessary because they can do jobs that are too hard or too dangerous for people ]:[15- Robots are a good thing for society, because they help people]])</f>
        <v>24</v>
      </c>
      <c r="AQ8" s="10">
        <f>SUM(Form_Responses[[#This Row],[16- Robots may make us even lazier ]:[20- Unregulated use of robotics can lead to societal upheavals]])</f>
        <v>21</v>
      </c>
      <c r="AR8" s="11" t="s">
        <v>83</v>
      </c>
      <c r="AS8" s="80">
        <f>TA_NQY!F8+TA_NQO!F8</f>
        <v>346.99999999999511</v>
      </c>
      <c r="AT8" s="80">
        <f>TA_NQY!F16+TA_NQO!F16</f>
        <v>268.99999999998772</v>
      </c>
      <c r="AU8" s="6">
        <f>TA_NQY!G16+TA_NQO!G16</f>
        <v>15</v>
      </c>
      <c r="AV8" s="12">
        <v>2</v>
      </c>
      <c r="AW8" s="12">
        <v>5</v>
      </c>
      <c r="AX8" s="12">
        <v>5</v>
      </c>
      <c r="AY8" s="12">
        <v>10</v>
      </c>
      <c r="AZ8" s="12">
        <v>6</v>
      </c>
      <c r="BA8" s="12">
        <v>1</v>
      </c>
      <c r="BB8" s="12">
        <v>10</v>
      </c>
      <c r="BC8" s="12">
        <v>10</v>
      </c>
      <c r="BD8" s="12">
        <v>10</v>
      </c>
      <c r="BE8" s="12">
        <v>7</v>
      </c>
      <c r="BF8" s="12">
        <v>10</v>
      </c>
      <c r="BG8" s="12">
        <v>3</v>
      </c>
      <c r="BH8" s="11" t="s">
        <v>84</v>
      </c>
      <c r="BI8" s="80">
        <f>TA_QY!F16+TA_QO!F16</f>
        <v>375.99999999999801</v>
      </c>
      <c r="BJ8" s="6">
        <f>TA_QY!G16+TA_QO!G16</f>
        <v>22</v>
      </c>
      <c r="BK8" s="12">
        <v>4</v>
      </c>
      <c r="BL8" s="12">
        <v>3</v>
      </c>
      <c r="BM8" s="12">
        <v>3</v>
      </c>
      <c r="BN8" s="12">
        <v>10</v>
      </c>
      <c r="BO8" s="12">
        <v>2</v>
      </c>
      <c r="BP8" s="12">
        <v>1</v>
      </c>
      <c r="BQ8" s="12">
        <v>10</v>
      </c>
      <c r="BR8" s="12">
        <v>10</v>
      </c>
      <c r="BS8" s="12">
        <v>7</v>
      </c>
      <c r="BT8" s="12">
        <v>10</v>
      </c>
      <c r="BU8" s="12">
        <v>10</v>
      </c>
      <c r="BV8" s="12">
        <v>3</v>
      </c>
      <c r="BW8" s="2" t="s">
        <v>206</v>
      </c>
      <c r="BX8" s="2" t="s">
        <v>207</v>
      </c>
      <c r="BY8" s="2" t="s">
        <v>208</v>
      </c>
      <c r="BZ8" s="2" t="s">
        <v>209</v>
      </c>
      <c r="CA8" s="2" t="s">
        <v>210</v>
      </c>
      <c r="CB8" s="2" t="s">
        <v>211</v>
      </c>
      <c r="CC8" s="2" t="s">
        <v>212</v>
      </c>
      <c r="CD8" s="2" t="s">
        <v>213</v>
      </c>
      <c r="CE8" s="2" t="s">
        <v>214</v>
      </c>
      <c r="CF8" s="2" t="s">
        <v>215</v>
      </c>
    </row>
    <row r="9" spans="1:85" x14ac:dyDescent="0.3">
      <c r="A9" s="9">
        <v>45912.400994479161</v>
      </c>
      <c r="B9" s="22" t="s">
        <v>50</v>
      </c>
      <c r="C9" s="20" t="s">
        <v>39</v>
      </c>
      <c r="D9" s="12">
        <v>27</v>
      </c>
      <c r="E9" s="12" t="s">
        <v>37</v>
      </c>
      <c r="F9" s="12">
        <v>4</v>
      </c>
      <c r="G9" s="10">
        <v>3</v>
      </c>
      <c r="H9" s="10">
        <v>2</v>
      </c>
      <c r="I9" s="10">
        <v>1</v>
      </c>
      <c r="J9" s="10">
        <v>3</v>
      </c>
      <c r="K9" s="10">
        <v>4</v>
      </c>
      <c r="L9" s="10">
        <v>4</v>
      </c>
      <c r="M9" s="10">
        <v>2</v>
      </c>
      <c r="N9" s="10">
        <v>4</v>
      </c>
      <c r="O9" s="10">
        <v>4</v>
      </c>
      <c r="P9" s="10">
        <v>3</v>
      </c>
      <c r="Q9" s="10">
        <f>Form_Responses[[#This Row],[SUM]]/10</f>
        <v>3.9</v>
      </c>
      <c r="R9" s="10">
        <f>SUM(Form_Responses[[#This Row],[1- I can always manage to solve difficult problems if I try hard enough.]:[10- I can usually handle whatever comes my way.]])</f>
        <v>39</v>
      </c>
      <c r="S9" s="10">
        <v>2</v>
      </c>
      <c r="T9" s="10">
        <v>2</v>
      </c>
      <c r="U9" s="10">
        <v>2</v>
      </c>
      <c r="V9" s="10">
        <v>4</v>
      </c>
      <c r="W9" s="10">
        <v>5</v>
      </c>
      <c r="X9" s="10">
        <v>1</v>
      </c>
      <c r="Y9" s="10">
        <v>1</v>
      </c>
      <c r="Z9" s="10">
        <v>1</v>
      </c>
      <c r="AA9" s="10">
        <v>1</v>
      </c>
      <c r="AB9" s="10">
        <v>3</v>
      </c>
      <c r="AC9" s="10">
        <v>5</v>
      </c>
      <c r="AD9" s="10">
        <v>5</v>
      </c>
      <c r="AE9" s="10">
        <v>5</v>
      </c>
      <c r="AF9" s="10">
        <v>5</v>
      </c>
      <c r="AG9" s="10">
        <v>5</v>
      </c>
      <c r="AH9" s="10">
        <v>1</v>
      </c>
      <c r="AI9" s="10">
        <v>4</v>
      </c>
      <c r="AJ9" s="10">
        <v>2</v>
      </c>
      <c r="AK9" s="10">
        <v>4</v>
      </c>
      <c r="AL9" s="10">
        <v>5</v>
      </c>
      <c r="AM9" s="10">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64</v>
      </c>
      <c r="AN9" s="10">
        <f>SUM(Form_Responses[[#This Row],[1- I can trust persons and organizations related to development of robots ]:[5- If robots had emotions, I would be able to be friend with them]])</f>
        <v>20</v>
      </c>
      <c r="AO9" s="10">
        <f>SUM(Form_Responses[[#This Row],[6- I would feel uneasy if I was given a job where I had to use robots]:[10- I don’t want a robot to touch me]])</f>
        <v>17</v>
      </c>
      <c r="AP9" s="10">
        <f>SUM(Form_Responses[[#This Row],[11- Robots are necessary because they can do jobs that are too hard or too dangerous for people ]:[15- Robots are a good thing for society, because they help people]])</f>
        <v>21</v>
      </c>
      <c r="AQ9" s="10">
        <f>SUM(Form_Responses[[#This Row],[16- Robots may make us even lazier ]:[20- Unregulated use of robotics can lead to societal upheavals]])</f>
        <v>17</v>
      </c>
      <c r="AR9" s="11" t="s">
        <v>83</v>
      </c>
      <c r="AS9" s="80">
        <f>TA_NQY!F9+TA_NQO!F9</f>
        <v>340.99999999999898</v>
      </c>
      <c r="AT9" s="80">
        <f>TA_NQY!F18+TA_NQO!F18</f>
        <v>271.99999999999295</v>
      </c>
      <c r="AU9" s="6">
        <f>TA_NQY!G18+TA_NQO!G18</f>
        <v>15</v>
      </c>
      <c r="AV9" s="12">
        <v>1</v>
      </c>
      <c r="AW9" s="12">
        <v>1</v>
      </c>
      <c r="AX9" s="12">
        <v>3</v>
      </c>
      <c r="AY9" s="12">
        <v>10</v>
      </c>
      <c r="AZ9" s="12">
        <v>3</v>
      </c>
      <c r="BA9" s="12">
        <v>3</v>
      </c>
      <c r="BB9" s="12">
        <v>10</v>
      </c>
      <c r="BC9" s="12">
        <v>10</v>
      </c>
      <c r="BD9" s="12">
        <v>10</v>
      </c>
      <c r="BE9" s="12">
        <v>10</v>
      </c>
      <c r="BF9" s="12">
        <v>10</v>
      </c>
      <c r="BG9" s="12">
        <v>7</v>
      </c>
      <c r="BH9" s="11" t="s">
        <v>84</v>
      </c>
      <c r="BI9" s="80">
        <f>TA_QY!F18+TA_QO!F18</f>
        <v>413.00000000000063</v>
      </c>
      <c r="BJ9" s="6">
        <f>TA_QY!G18+TA_QO!G18</f>
        <v>18</v>
      </c>
      <c r="BK9" s="12">
        <v>4</v>
      </c>
      <c r="BL9" s="12">
        <v>2</v>
      </c>
      <c r="BM9" s="12">
        <v>5</v>
      </c>
      <c r="BN9" s="12">
        <v>8</v>
      </c>
      <c r="BO9" s="12">
        <v>7</v>
      </c>
      <c r="BP9" s="12">
        <v>4</v>
      </c>
      <c r="BQ9" s="12">
        <v>8</v>
      </c>
      <c r="BR9" s="12">
        <v>6</v>
      </c>
      <c r="BS9" s="12">
        <v>3</v>
      </c>
      <c r="BT9" s="12">
        <v>4</v>
      </c>
      <c r="BU9" s="12">
        <v>10</v>
      </c>
      <c r="BV9" s="12">
        <v>7</v>
      </c>
      <c r="BW9" s="2" t="s">
        <v>226</v>
      </c>
      <c r="BX9" s="2" t="s">
        <v>227</v>
      </c>
      <c r="BY9" s="2" t="s">
        <v>228</v>
      </c>
      <c r="BZ9" s="2" t="s">
        <v>229</v>
      </c>
      <c r="CA9" s="2" t="s">
        <v>230</v>
      </c>
      <c r="CB9" s="2" t="s">
        <v>230</v>
      </c>
      <c r="CC9" s="2" t="s">
        <v>231</v>
      </c>
      <c r="CD9" s="2" t="s">
        <v>232</v>
      </c>
      <c r="CE9" s="2" t="s">
        <v>233</v>
      </c>
      <c r="CF9" s="2" t="s">
        <v>234</v>
      </c>
    </row>
    <row r="10" spans="1:85" x14ac:dyDescent="0.3">
      <c r="A10" s="9">
        <v>45912.493647233801</v>
      </c>
      <c r="B10" s="22" t="s">
        <v>52</v>
      </c>
      <c r="C10" s="20" t="s">
        <v>39</v>
      </c>
      <c r="D10" s="12">
        <v>26</v>
      </c>
      <c r="E10" s="12" t="s">
        <v>37</v>
      </c>
      <c r="F10" s="12">
        <v>4</v>
      </c>
      <c r="G10" s="10">
        <v>4</v>
      </c>
      <c r="H10" s="10">
        <v>3</v>
      </c>
      <c r="I10" s="10">
        <v>4</v>
      </c>
      <c r="J10" s="10">
        <v>4</v>
      </c>
      <c r="K10" s="10">
        <v>3</v>
      </c>
      <c r="L10" s="10">
        <v>4</v>
      </c>
      <c r="M10" s="10">
        <v>4</v>
      </c>
      <c r="N10" s="10">
        <v>4</v>
      </c>
      <c r="O10" s="10">
        <v>4</v>
      </c>
      <c r="P10" s="10">
        <v>4</v>
      </c>
      <c r="Q10" s="10">
        <f>Form_Responses[[#This Row],[SUM]]/10</f>
        <v>3</v>
      </c>
      <c r="R10" s="10">
        <f>SUM(Form_Responses[[#This Row],[1- I can always manage to solve difficult problems if I try hard enough.]:[10- I can usually handle whatever comes my way.]])</f>
        <v>30</v>
      </c>
      <c r="S10" s="10">
        <v>4</v>
      </c>
      <c r="T10" s="10">
        <v>3</v>
      </c>
      <c r="U10" s="10">
        <v>3</v>
      </c>
      <c r="V10" s="10">
        <v>3</v>
      </c>
      <c r="W10" s="10">
        <v>4</v>
      </c>
      <c r="X10" s="10">
        <v>1</v>
      </c>
      <c r="Y10" s="10">
        <v>3</v>
      </c>
      <c r="Z10" s="10">
        <v>1</v>
      </c>
      <c r="AA10" s="10">
        <v>1</v>
      </c>
      <c r="AB10" s="10">
        <v>2</v>
      </c>
      <c r="AC10" s="10">
        <v>4</v>
      </c>
      <c r="AD10" s="10">
        <v>3</v>
      </c>
      <c r="AE10" s="10">
        <v>3</v>
      </c>
      <c r="AF10" s="10">
        <v>4</v>
      </c>
      <c r="AG10" s="10">
        <v>3</v>
      </c>
      <c r="AH10" s="10">
        <v>4</v>
      </c>
      <c r="AI10" s="10">
        <v>2</v>
      </c>
      <c r="AJ10" s="10">
        <v>2</v>
      </c>
      <c r="AK10" s="10">
        <v>5</v>
      </c>
      <c r="AL10" s="10">
        <v>3</v>
      </c>
      <c r="AM10" s="10">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62</v>
      </c>
      <c r="AN10" s="10">
        <f>SUM(Form_Responses[[#This Row],[1- I can trust persons and organizations related to development of robots ]:[5- If robots had emotions, I would be able to be friend with them]])</f>
        <v>8</v>
      </c>
      <c r="AO10" s="10">
        <f>SUM(Form_Responses[[#This Row],[6- I would feel uneasy if I was given a job where I had to use robots]:[10- I don’t want a robot to touch me]])</f>
        <v>7</v>
      </c>
      <c r="AP10" s="10">
        <f>SUM(Form_Responses[[#This Row],[11- Robots are necessary because they can do jobs that are too hard or too dangerous for people ]:[15- Robots are a good thing for society, because they help people]])</f>
        <v>23</v>
      </c>
      <c r="AQ10" s="10">
        <f>SUM(Form_Responses[[#This Row],[16- Robots may make us even lazier ]:[20- Unregulated use of robotics can lead to societal upheavals]])</f>
        <v>21</v>
      </c>
      <c r="AR10" s="11" t="s">
        <v>83</v>
      </c>
      <c r="AS10" s="80">
        <f>TA_NQY!F10+TA_NQO!F10</f>
        <v>264.99999999999989</v>
      </c>
      <c r="AT10" s="6">
        <f>TA_NQY!G10+TA_NQO!G10</f>
        <v>14</v>
      </c>
      <c r="AU10" s="12">
        <v>2</v>
      </c>
      <c r="AV10" s="12">
        <v>2</v>
      </c>
      <c r="AW10" s="12">
        <v>2</v>
      </c>
      <c r="AX10" s="12">
        <v>9</v>
      </c>
      <c r="AY10" s="12">
        <v>3</v>
      </c>
      <c r="AZ10" s="12">
        <v>1</v>
      </c>
      <c r="BA10" s="12">
        <v>9</v>
      </c>
      <c r="BB10" s="12">
        <v>8</v>
      </c>
      <c r="BC10" s="12">
        <v>8</v>
      </c>
      <c r="BD10" s="12">
        <v>8</v>
      </c>
      <c r="BE10" s="12">
        <v>10</v>
      </c>
      <c r="BF10" s="12">
        <v>2</v>
      </c>
      <c r="BG10" s="11" t="s">
        <v>84</v>
      </c>
      <c r="BH10" s="103">
        <f>TA_NQY!E10+TA_NQO!E10</f>
        <v>570.99999999999977</v>
      </c>
      <c r="BI10" s="104">
        <f>TA_QY!E10+TA_QO!E10</f>
        <v>123.999999999997</v>
      </c>
      <c r="BJ10" s="80">
        <f>TA_QY!F10+TA_QO!F10</f>
        <v>300.00000000000853</v>
      </c>
      <c r="BK10" s="6">
        <f>TA_QY!G10+TA_QO!G10</f>
        <v>14</v>
      </c>
      <c r="BL10" s="12">
        <v>3</v>
      </c>
      <c r="BM10" s="12">
        <v>3</v>
      </c>
      <c r="BN10" s="12">
        <v>5</v>
      </c>
      <c r="BO10" s="12">
        <v>9</v>
      </c>
      <c r="BP10" s="12">
        <v>6</v>
      </c>
      <c r="BQ10" s="12">
        <v>1</v>
      </c>
      <c r="BR10" s="12">
        <v>9</v>
      </c>
      <c r="BS10" s="12">
        <v>7</v>
      </c>
      <c r="BT10" s="12">
        <v>7</v>
      </c>
      <c r="BU10" s="12">
        <v>7</v>
      </c>
      <c r="BV10" s="12">
        <v>10</v>
      </c>
      <c r="BW10" s="12">
        <v>2</v>
      </c>
      <c r="BX10" s="109" t="s">
        <v>241</v>
      </c>
      <c r="BY10" s="2" t="s">
        <v>242</v>
      </c>
      <c r="BZ10" s="2" t="s">
        <v>243</v>
      </c>
      <c r="CA10" s="2" t="s">
        <v>244</v>
      </c>
      <c r="CB10" s="2" t="s">
        <v>245</v>
      </c>
      <c r="CC10" s="2" t="s">
        <v>246</v>
      </c>
      <c r="CD10" s="2" t="s">
        <v>247</v>
      </c>
      <c r="CE10" s="2" t="s">
        <v>248</v>
      </c>
      <c r="CF10" s="2" t="s">
        <v>249</v>
      </c>
      <c r="CG10" s="2" t="s">
        <v>250</v>
      </c>
    </row>
    <row r="11" spans="1:85" x14ac:dyDescent="0.3">
      <c r="A11" s="9">
        <v>45912.719724236114</v>
      </c>
      <c r="B11" s="22" t="s">
        <v>55</v>
      </c>
      <c r="C11" s="20" t="s">
        <v>39</v>
      </c>
      <c r="D11" s="12">
        <v>31</v>
      </c>
      <c r="E11" s="12" t="s">
        <v>37</v>
      </c>
      <c r="F11" s="12">
        <v>4</v>
      </c>
      <c r="G11" s="10">
        <v>3</v>
      </c>
      <c r="H11" s="10">
        <v>3</v>
      </c>
      <c r="I11" s="10">
        <v>3</v>
      </c>
      <c r="J11" s="10">
        <v>2</v>
      </c>
      <c r="K11" s="10">
        <v>2</v>
      </c>
      <c r="L11" s="10">
        <v>3</v>
      </c>
      <c r="M11" s="10">
        <v>2</v>
      </c>
      <c r="N11" s="10">
        <v>2</v>
      </c>
      <c r="O11" s="10">
        <v>2</v>
      </c>
      <c r="P11" s="10">
        <v>2</v>
      </c>
      <c r="Q11" s="10">
        <f>Form_Responses[[#This Row],[SUM]]/10</f>
        <v>3.4</v>
      </c>
      <c r="R11" s="10">
        <f>SUM(Form_Responses[[#This Row],[1- I can always manage to solve difficult problems if I try hard enough.]:[10- I can usually handle whatever comes my way.]])</f>
        <v>34</v>
      </c>
      <c r="S11" s="10">
        <v>4</v>
      </c>
      <c r="T11" s="10">
        <v>4</v>
      </c>
      <c r="U11" s="10">
        <v>4</v>
      </c>
      <c r="V11" s="10">
        <v>5</v>
      </c>
      <c r="W11" s="10">
        <v>5</v>
      </c>
      <c r="X11" s="10">
        <v>2</v>
      </c>
      <c r="Y11" s="10">
        <v>2</v>
      </c>
      <c r="Z11" s="10">
        <v>2</v>
      </c>
      <c r="AA11" s="10">
        <v>2</v>
      </c>
      <c r="AB11" s="10">
        <v>4</v>
      </c>
      <c r="AC11" s="10">
        <v>5</v>
      </c>
      <c r="AD11" s="10">
        <v>5</v>
      </c>
      <c r="AE11" s="10">
        <v>5</v>
      </c>
      <c r="AF11" s="10">
        <v>5</v>
      </c>
      <c r="AG11" s="10">
        <v>4</v>
      </c>
      <c r="AH11" s="10">
        <v>4</v>
      </c>
      <c r="AI11" s="10">
        <v>3</v>
      </c>
      <c r="AJ11" s="10">
        <v>3</v>
      </c>
      <c r="AK11" s="10">
        <v>5</v>
      </c>
      <c r="AL11" s="10">
        <v>3</v>
      </c>
      <c r="AM11" s="10">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73</v>
      </c>
      <c r="AN11" s="10">
        <f>SUM(Form_Responses[[#This Row],[1- I can trust persons and organizations related to development of robots ]:[5- If robots had emotions, I would be able to be friend with them]])</f>
        <v>15</v>
      </c>
      <c r="AO11" s="10">
        <f>SUM(Form_Responses[[#This Row],[6- I would feel uneasy if I was given a job where I had to use robots]:[10- I don’t want a robot to touch me]])</f>
        <v>6</v>
      </c>
      <c r="AP11" s="10">
        <f>SUM(Form_Responses[[#This Row],[11- Robots are necessary because they can do jobs that are too hard or too dangerous for people ]:[15- Robots are a good thing for society, because they help people]])</f>
        <v>24</v>
      </c>
      <c r="AQ11" s="10">
        <f>SUM(Form_Responses[[#This Row],[16- Robots may make us even lazier ]:[20- Unregulated use of robotics can lead to societal upheavals]])</f>
        <v>11</v>
      </c>
      <c r="AR11" s="11" t="s">
        <v>83</v>
      </c>
      <c r="AS11" s="80">
        <f>TA_NQY!F11+TA_NQO!F11</f>
        <v>310.99999999999426</v>
      </c>
      <c r="AT11" s="6">
        <f>TA_NQY!G11+TA_NQO!G11</f>
        <v>19</v>
      </c>
      <c r="AU11" s="12">
        <v>8</v>
      </c>
      <c r="AV11" s="12">
        <v>8</v>
      </c>
      <c r="AW11" s="12">
        <v>9</v>
      </c>
      <c r="AX11" s="12">
        <v>9</v>
      </c>
      <c r="AY11" s="12">
        <v>8</v>
      </c>
      <c r="AZ11" s="12">
        <v>1</v>
      </c>
      <c r="BA11" s="12">
        <v>9</v>
      </c>
      <c r="BB11" s="12">
        <v>10</v>
      </c>
      <c r="BC11" s="12">
        <v>10</v>
      </c>
      <c r="BD11" s="12">
        <v>10</v>
      </c>
      <c r="BE11" s="12">
        <v>9</v>
      </c>
      <c r="BF11" s="12">
        <v>3</v>
      </c>
      <c r="BG11" s="11" t="s">
        <v>84</v>
      </c>
      <c r="BH11" s="103">
        <f>TA_NQY!E11+TA_NQO!E11</f>
        <v>249.00000000001015</v>
      </c>
      <c r="BI11" s="104">
        <f>TA_QY!E11+TA_QO!E11</f>
        <v>138.99999999998977</v>
      </c>
      <c r="BJ11" s="80">
        <f>TA_QY!F11+TA_QO!F11</f>
        <v>374.00000000000409</v>
      </c>
      <c r="BK11" s="6">
        <f>TA_QY!G11+TA_QO!G11</f>
        <v>22</v>
      </c>
      <c r="BL11" s="12">
        <v>7</v>
      </c>
      <c r="BM11" s="12">
        <v>9</v>
      </c>
      <c r="BN11" s="12">
        <v>8</v>
      </c>
      <c r="BO11" s="12">
        <v>10</v>
      </c>
      <c r="BP11" s="12">
        <v>7</v>
      </c>
      <c r="BQ11" s="12">
        <v>2</v>
      </c>
      <c r="BR11" s="12">
        <v>9</v>
      </c>
      <c r="BS11" s="12">
        <v>10</v>
      </c>
      <c r="BT11" s="12">
        <v>9</v>
      </c>
      <c r="BU11" s="12">
        <v>9</v>
      </c>
      <c r="BV11" s="12">
        <v>9</v>
      </c>
      <c r="BW11" s="12">
        <v>4</v>
      </c>
      <c r="BX11" s="109" t="s">
        <v>275</v>
      </c>
      <c r="BY11" s="2" t="s">
        <v>276</v>
      </c>
      <c r="BZ11" s="2" t="s">
        <v>277</v>
      </c>
      <c r="CA11" s="2" t="s">
        <v>278</v>
      </c>
      <c r="CB11" s="2" t="s">
        <v>230</v>
      </c>
      <c r="CC11" s="2" t="s">
        <v>279</v>
      </c>
      <c r="CD11" s="2" t="s">
        <v>280</v>
      </c>
      <c r="CE11" s="2" t="s">
        <v>281</v>
      </c>
      <c r="CF11" s="2" t="s">
        <v>282</v>
      </c>
      <c r="CG11" s="2" t="s">
        <v>283</v>
      </c>
    </row>
    <row r="12" spans="1:85" x14ac:dyDescent="0.3">
      <c r="A12" s="9">
        <v>45915.492289108792</v>
      </c>
      <c r="B12" s="22" t="s">
        <v>56</v>
      </c>
      <c r="C12" s="21" t="s">
        <v>39</v>
      </c>
      <c r="D12" s="10">
        <v>25</v>
      </c>
      <c r="E12" s="10" t="s">
        <v>37</v>
      </c>
      <c r="F12" s="10">
        <v>4</v>
      </c>
      <c r="G12" s="10">
        <v>3</v>
      </c>
      <c r="H12" s="10">
        <v>3</v>
      </c>
      <c r="I12" s="10">
        <v>3</v>
      </c>
      <c r="J12" s="10">
        <v>4</v>
      </c>
      <c r="K12" s="10">
        <v>3</v>
      </c>
      <c r="L12" s="10">
        <v>4</v>
      </c>
      <c r="M12" s="10">
        <v>4</v>
      </c>
      <c r="N12" s="10">
        <v>4</v>
      </c>
      <c r="O12" s="10">
        <v>4</v>
      </c>
      <c r="P12" s="10">
        <v>3</v>
      </c>
      <c r="Q12" s="10">
        <f>Form_Responses[[#This Row],[SUM]]/10</f>
        <v>3.2</v>
      </c>
      <c r="R12" s="10">
        <f>SUM(Form_Responses[[#This Row],[1- I can always manage to solve difficult problems if I try hard enough.]:[10- I can usually handle whatever comes my way.]])</f>
        <v>32</v>
      </c>
      <c r="S12" s="10">
        <v>5</v>
      </c>
      <c r="T12" s="10">
        <v>4</v>
      </c>
      <c r="U12" s="10">
        <v>4</v>
      </c>
      <c r="V12" s="10">
        <v>1</v>
      </c>
      <c r="W12" s="10">
        <v>1</v>
      </c>
      <c r="X12" s="10">
        <v>1</v>
      </c>
      <c r="Y12" s="10">
        <v>2</v>
      </c>
      <c r="Z12" s="10">
        <v>1</v>
      </c>
      <c r="AA12" s="10">
        <v>1</v>
      </c>
      <c r="AB12" s="10">
        <v>1</v>
      </c>
      <c r="AC12" s="10">
        <v>3</v>
      </c>
      <c r="AD12" s="10">
        <v>4</v>
      </c>
      <c r="AE12" s="10">
        <v>5</v>
      </c>
      <c r="AF12" s="10">
        <v>4</v>
      </c>
      <c r="AG12" s="10">
        <v>5</v>
      </c>
      <c r="AH12" s="10">
        <v>3</v>
      </c>
      <c r="AI12" s="10">
        <v>2</v>
      </c>
      <c r="AJ12" s="10">
        <v>1</v>
      </c>
      <c r="AK12" s="10">
        <v>4</v>
      </c>
      <c r="AL12" s="10">
        <v>2</v>
      </c>
      <c r="AM12" s="10">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73</v>
      </c>
      <c r="AN12" s="10">
        <f>SUM(Form_Responses[[#This Row],[1- I can trust persons and organizations related to development of robots ]:[5- If robots had emotions, I would be able to be friend with them]])</f>
        <v>21</v>
      </c>
      <c r="AO12" s="10">
        <f>SUM(Form_Responses[[#This Row],[6- I would feel uneasy if I was given a job where I had to use robots]:[10- I don’t want a robot to touch me]])</f>
        <v>8</v>
      </c>
      <c r="AP12" s="10">
        <f>SUM(Form_Responses[[#This Row],[11- Robots are necessary because they can do jobs that are too hard or too dangerous for people ]:[15- Robots are a good thing for society, because they help people]])</f>
        <v>24</v>
      </c>
      <c r="AQ12" s="10">
        <f>SUM(Form_Responses[[#This Row],[16- Robots may make us even lazier ]:[20- Unregulated use of robotics can lead to societal upheavals]])</f>
        <v>11</v>
      </c>
      <c r="AR12" s="11" t="s">
        <v>83</v>
      </c>
      <c r="AS12" s="80">
        <f>TA_NQY!F12+TA_NQO!F12</f>
        <v>243.99999999999656</v>
      </c>
      <c r="AT12" s="80">
        <f>TA_NQY!F25+TA_NQO!F25</f>
        <v>294.99999999999977</v>
      </c>
      <c r="AU12" s="6">
        <f>TA_NQY!G25+TA_NQO!G25</f>
        <v>17</v>
      </c>
      <c r="AV12" s="12">
        <v>2</v>
      </c>
      <c r="AW12" s="12">
        <v>4</v>
      </c>
      <c r="AX12" s="12">
        <v>2</v>
      </c>
      <c r="AY12" s="12">
        <v>10</v>
      </c>
      <c r="AZ12" s="12">
        <v>3</v>
      </c>
      <c r="BA12" s="12">
        <v>1</v>
      </c>
      <c r="BB12" s="12">
        <v>9</v>
      </c>
      <c r="BC12" s="12">
        <v>10</v>
      </c>
      <c r="BD12" s="12">
        <v>8</v>
      </c>
      <c r="BE12" s="12">
        <v>8</v>
      </c>
      <c r="BF12" s="12">
        <v>9</v>
      </c>
      <c r="BG12" s="12">
        <v>6</v>
      </c>
      <c r="BH12" s="11" t="s">
        <v>84</v>
      </c>
      <c r="BI12" s="80">
        <f>TA_QY!F25+TA_QO!F25</f>
        <v>412.00000000000364</v>
      </c>
      <c r="BJ12" s="6">
        <f>TA_QY!G25+TA_QO!G25</f>
        <v>22</v>
      </c>
      <c r="BK12" s="12">
        <v>6</v>
      </c>
      <c r="BL12" s="12">
        <v>2</v>
      </c>
      <c r="BM12" s="12">
        <v>5</v>
      </c>
      <c r="BN12" s="12">
        <v>10</v>
      </c>
      <c r="BO12" s="12">
        <v>4</v>
      </c>
      <c r="BP12" s="12">
        <v>2</v>
      </c>
      <c r="BQ12" s="12">
        <v>10</v>
      </c>
      <c r="BR12" s="12">
        <v>10</v>
      </c>
      <c r="BS12" s="12">
        <v>9</v>
      </c>
      <c r="BT12" s="12">
        <v>9</v>
      </c>
      <c r="BU12" s="12">
        <v>10</v>
      </c>
      <c r="BV12" s="12">
        <v>2</v>
      </c>
      <c r="BW12" s="2" t="s">
        <v>196</v>
      </c>
      <c r="BX12" s="2" t="s">
        <v>284</v>
      </c>
      <c r="BY12" s="2" t="s">
        <v>285</v>
      </c>
      <c r="BZ12" s="2" t="s">
        <v>286</v>
      </c>
      <c r="CA12" s="2" t="s">
        <v>287</v>
      </c>
      <c r="CB12" s="2" t="s">
        <v>288</v>
      </c>
      <c r="CC12" s="2" t="s">
        <v>289</v>
      </c>
      <c r="CD12" s="2" t="s">
        <v>290</v>
      </c>
      <c r="CE12" s="2" t="s">
        <v>291</v>
      </c>
      <c r="CF12" s="2" t="s">
        <v>292</v>
      </c>
    </row>
    <row r="13" spans="1:85" x14ac:dyDescent="0.3">
      <c r="A13" s="9">
        <v>45915.572406168983</v>
      </c>
      <c r="B13" s="22" t="s">
        <v>57</v>
      </c>
      <c r="C13" s="20" t="s">
        <v>36</v>
      </c>
      <c r="D13" s="12">
        <v>24</v>
      </c>
      <c r="E13" s="12" t="s">
        <v>37</v>
      </c>
      <c r="F13" s="12">
        <v>3</v>
      </c>
      <c r="G13" s="10">
        <v>3</v>
      </c>
      <c r="H13" s="10">
        <v>3</v>
      </c>
      <c r="I13" s="10">
        <v>3</v>
      </c>
      <c r="J13" s="10">
        <v>3</v>
      </c>
      <c r="K13" s="10">
        <v>3</v>
      </c>
      <c r="L13" s="10">
        <v>4</v>
      </c>
      <c r="M13" s="10">
        <v>2</v>
      </c>
      <c r="N13" s="10">
        <v>4</v>
      </c>
      <c r="O13" s="10">
        <v>3</v>
      </c>
      <c r="P13" s="10">
        <v>3</v>
      </c>
      <c r="Q13" s="10">
        <f>Form_Responses[[#This Row],[SUM]]/10</f>
        <v>2.9</v>
      </c>
      <c r="R13" s="10">
        <f>SUM(Form_Responses[[#This Row],[1- I can always manage to solve difficult problems if I try hard enough.]:[10- I can usually handle whatever comes my way.]])</f>
        <v>29</v>
      </c>
      <c r="S13" s="10">
        <v>4</v>
      </c>
      <c r="T13" s="10">
        <v>4</v>
      </c>
      <c r="U13" s="10">
        <v>4</v>
      </c>
      <c r="V13" s="10">
        <v>3</v>
      </c>
      <c r="W13" s="10">
        <v>2</v>
      </c>
      <c r="X13" s="10">
        <v>1</v>
      </c>
      <c r="Y13" s="10">
        <v>1</v>
      </c>
      <c r="Z13" s="10">
        <v>1</v>
      </c>
      <c r="AA13" s="10">
        <v>1</v>
      </c>
      <c r="AB13" s="10">
        <v>1</v>
      </c>
      <c r="AC13" s="10">
        <v>5</v>
      </c>
      <c r="AD13" s="10">
        <v>5</v>
      </c>
      <c r="AE13" s="10">
        <v>5</v>
      </c>
      <c r="AF13" s="10">
        <v>4</v>
      </c>
      <c r="AG13" s="10">
        <v>4</v>
      </c>
      <c r="AH13" s="10">
        <v>2</v>
      </c>
      <c r="AI13" s="10">
        <v>2</v>
      </c>
      <c r="AJ13" s="10">
        <v>2</v>
      </c>
      <c r="AK13" s="10">
        <v>2</v>
      </c>
      <c r="AL13" s="10">
        <v>3</v>
      </c>
      <c r="AM13" s="10">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70</v>
      </c>
      <c r="AN13" s="10">
        <f>SUM(Form_Responses[[#This Row],[1- I can trust persons and organizations related to development of robots ]:[5- If robots had emotions, I would be able to be friend with them]])</f>
        <v>22</v>
      </c>
      <c r="AO13" s="10">
        <f>SUM(Form_Responses[[#This Row],[6- I would feel uneasy if I was given a job where I had to use robots]:[10- I don’t want a robot to touch me]])</f>
        <v>8</v>
      </c>
      <c r="AP13" s="10">
        <f>SUM(Form_Responses[[#This Row],[11- Robots are necessary because they can do jobs that are too hard or too dangerous for people ]:[15- Robots are a good thing for society, because they help people]])</f>
        <v>24</v>
      </c>
      <c r="AQ13" s="10">
        <f>SUM(Form_Responses[[#This Row],[16- Robots may make us even lazier ]:[20- Unregulated use of robotics can lead to societal upheavals]])</f>
        <v>14</v>
      </c>
      <c r="AR13" s="11" t="s">
        <v>83</v>
      </c>
      <c r="AS13" s="80">
        <f>TA_NQY!F13+TA_NQO!F13</f>
        <v>304.99999999999329</v>
      </c>
      <c r="AT13" s="116">
        <f>TA_NQY!F26+TA_NQO!F26</f>
        <v>220.00000000000242</v>
      </c>
      <c r="AU13" s="6">
        <f>TA_NQY!G26+TA_NQO!G26</f>
        <v>12</v>
      </c>
      <c r="AV13" s="12">
        <v>3</v>
      </c>
      <c r="AW13" s="12">
        <v>4</v>
      </c>
      <c r="AX13" s="12">
        <v>3</v>
      </c>
      <c r="AY13" s="12">
        <v>10</v>
      </c>
      <c r="AZ13" s="12">
        <v>3</v>
      </c>
      <c r="BA13" s="12">
        <v>2</v>
      </c>
      <c r="BB13" s="12">
        <v>6</v>
      </c>
      <c r="BC13" s="12">
        <v>7</v>
      </c>
      <c r="BD13" s="12">
        <v>8</v>
      </c>
      <c r="BE13" s="12">
        <v>7</v>
      </c>
      <c r="BF13" s="12">
        <v>9</v>
      </c>
      <c r="BG13" s="12">
        <v>3</v>
      </c>
      <c r="BH13" s="11" t="s">
        <v>84</v>
      </c>
      <c r="BI13" s="80">
        <f>TA_QY!F26+TA_QO!F26</f>
        <v>325.99999999998704</v>
      </c>
      <c r="BJ13" s="6">
        <f>TA_QY!G26+TA_QO!G26</f>
        <v>18</v>
      </c>
      <c r="BK13" s="12">
        <v>6</v>
      </c>
      <c r="BL13" s="12">
        <v>4</v>
      </c>
      <c r="BM13" s="12">
        <v>7</v>
      </c>
      <c r="BN13" s="12">
        <v>9</v>
      </c>
      <c r="BO13" s="12">
        <v>6</v>
      </c>
      <c r="BP13" s="12">
        <v>1</v>
      </c>
      <c r="BQ13" s="12">
        <v>8</v>
      </c>
      <c r="BR13" s="12">
        <v>8</v>
      </c>
      <c r="BS13" s="12">
        <v>7</v>
      </c>
      <c r="BT13" s="12">
        <v>7</v>
      </c>
      <c r="BU13" s="12">
        <v>9</v>
      </c>
      <c r="BV13" s="12">
        <v>6</v>
      </c>
      <c r="BW13" s="2" t="s">
        <v>293</v>
      </c>
      <c r="BX13" s="2" t="s">
        <v>294</v>
      </c>
      <c r="BY13" s="2" t="s">
        <v>295</v>
      </c>
      <c r="BZ13" s="2" t="s">
        <v>296</v>
      </c>
      <c r="CA13" s="2" t="s">
        <v>104</v>
      </c>
      <c r="CB13" s="2" t="s">
        <v>297</v>
      </c>
      <c r="CC13" s="2" t="s">
        <v>298</v>
      </c>
      <c r="CD13" s="2" t="s">
        <v>299</v>
      </c>
      <c r="CE13" s="2" t="s">
        <v>300</v>
      </c>
      <c r="CF13" s="2" t="s">
        <v>301</v>
      </c>
    </row>
    <row r="14" spans="1:85" x14ac:dyDescent="0.3">
      <c r="A14" s="9">
        <v>45916.480977569445</v>
      </c>
      <c r="B14" s="22" t="s">
        <v>58</v>
      </c>
      <c r="C14" s="21" t="s">
        <v>36</v>
      </c>
      <c r="D14" s="10">
        <v>29</v>
      </c>
      <c r="E14" s="10" t="s">
        <v>37</v>
      </c>
      <c r="F14" s="10">
        <v>4</v>
      </c>
      <c r="G14" s="10">
        <v>4</v>
      </c>
      <c r="H14" s="10">
        <v>4</v>
      </c>
      <c r="I14" s="10">
        <v>3</v>
      </c>
      <c r="J14" s="10">
        <v>3</v>
      </c>
      <c r="K14" s="10">
        <v>3</v>
      </c>
      <c r="L14" s="10">
        <v>4</v>
      </c>
      <c r="M14" s="10">
        <v>4</v>
      </c>
      <c r="N14" s="10">
        <v>4</v>
      </c>
      <c r="O14" s="10">
        <v>4</v>
      </c>
      <c r="P14" s="10">
        <v>4</v>
      </c>
      <c r="Q14" s="10">
        <f>Form_Responses[[#This Row],[SUM]]/10</f>
        <v>3</v>
      </c>
      <c r="R14" s="10">
        <f>SUM(Form_Responses[[#This Row],[1- I can always manage to solve difficult problems if I try hard enough.]:[10- I can usually handle whatever comes my way.]])</f>
        <v>30</v>
      </c>
      <c r="S14" s="10">
        <v>2</v>
      </c>
      <c r="T14" s="10">
        <v>2</v>
      </c>
      <c r="U14" s="10">
        <v>3</v>
      </c>
      <c r="V14" s="10">
        <v>2</v>
      </c>
      <c r="W14" s="10">
        <v>2</v>
      </c>
      <c r="X14" s="10">
        <v>3</v>
      </c>
      <c r="Y14" s="10">
        <v>3</v>
      </c>
      <c r="Z14" s="10">
        <v>1</v>
      </c>
      <c r="AA14" s="10">
        <v>1</v>
      </c>
      <c r="AB14" s="10">
        <v>2</v>
      </c>
      <c r="AC14" s="10">
        <v>5</v>
      </c>
      <c r="AD14" s="10">
        <v>5</v>
      </c>
      <c r="AE14" s="10">
        <v>4</v>
      </c>
      <c r="AF14" s="10">
        <v>5</v>
      </c>
      <c r="AG14" s="10">
        <v>2</v>
      </c>
      <c r="AH14" s="10">
        <v>5</v>
      </c>
      <c r="AI14" s="10">
        <v>5</v>
      </c>
      <c r="AJ14" s="10">
        <v>5</v>
      </c>
      <c r="AK14" s="10">
        <v>5</v>
      </c>
      <c r="AL14" s="10">
        <v>5</v>
      </c>
      <c r="AM14" s="10">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69</v>
      </c>
      <c r="AN14" s="10">
        <f>SUM(Form_Responses[[#This Row],[1- I can trust persons and organizations related to development of robots ]:[5- If robots had emotions, I would be able to be friend with them]])</f>
        <v>19</v>
      </c>
      <c r="AO14" s="10">
        <f>SUM(Form_Responses[[#This Row],[6- I would feel uneasy if I was given a job where I had to use robots]:[10- I don’t want a robot to touch me]])</f>
        <v>7</v>
      </c>
      <c r="AP14" s="10">
        <f>SUM(Form_Responses[[#This Row],[11- Robots are necessary because they can do jobs that are too hard or too dangerous for people ]:[15- Robots are a good thing for society, because they help people]])</f>
        <v>24</v>
      </c>
      <c r="AQ14" s="10">
        <f>SUM(Form_Responses[[#This Row],[16- Robots may make us even lazier ]:[20- Unregulated use of robotics can lead to societal upheavals]])</f>
        <v>15</v>
      </c>
      <c r="AR14" s="11" t="s">
        <v>83</v>
      </c>
      <c r="AS14" s="80">
        <f>TA_NQY!F14+TA_NQO!F14</f>
        <v>343.00000000000244</v>
      </c>
      <c r="AT14" s="6">
        <f>TA_NQY!G14+TA_NQO!G14</f>
        <v>20</v>
      </c>
      <c r="AU14" s="12">
        <v>2</v>
      </c>
      <c r="AV14" s="12">
        <v>2</v>
      </c>
      <c r="AW14" s="12">
        <v>3</v>
      </c>
      <c r="AX14" s="12">
        <v>10</v>
      </c>
      <c r="AY14" s="12">
        <v>3</v>
      </c>
      <c r="AZ14" s="12">
        <v>1</v>
      </c>
      <c r="BA14" s="12">
        <v>10</v>
      </c>
      <c r="BB14" s="12">
        <v>10</v>
      </c>
      <c r="BC14" s="12">
        <v>10</v>
      </c>
      <c r="BD14" s="12">
        <v>10</v>
      </c>
      <c r="BE14" s="12">
        <v>10</v>
      </c>
      <c r="BF14" s="12">
        <v>4</v>
      </c>
      <c r="BG14" s="11" t="s">
        <v>84</v>
      </c>
      <c r="BH14" s="103">
        <f>TA_NQY!E14+TA_NQO!E14</f>
        <v>724.99999999999181</v>
      </c>
      <c r="BI14" s="104">
        <f>TA_QY!E14+TA_QO!E14</f>
        <v>262.99999999999636</v>
      </c>
      <c r="BJ14" s="80">
        <f>TA_QY!F14+TA_QO!F14</f>
        <v>387.00000000000296</v>
      </c>
      <c r="BK14" s="6">
        <f>TA_QY!G14+TA_QO!G14</f>
        <v>20</v>
      </c>
      <c r="BL14" s="12">
        <v>4</v>
      </c>
      <c r="BM14" s="12">
        <v>2</v>
      </c>
      <c r="BN14" s="12">
        <v>5</v>
      </c>
      <c r="BO14" s="12">
        <v>10</v>
      </c>
      <c r="BP14" s="12">
        <v>5</v>
      </c>
      <c r="BQ14" s="12">
        <v>1</v>
      </c>
      <c r="BR14" s="12">
        <v>10</v>
      </c>
      <c r="BS14" s="12">
        <v>10</v>
      </c>
      <c r="BT14" s="12">
        <v>10</v>
      </c>
      <c r="BU14" s="12">
        <v>10</v>
      </c>
      <c r="BV14" s="12">
        <v>10</v>
      </c>
      <c r="BW14" s="12">
        <v>4</v>
      </c>
      <c r="BX14" s="2" t="s">
        <v>206</v>
      </c>
      <c r="BY14" s="2" t="s">
        <v>302</v>
      </c>
      <c r="BZ14" s="2" t="s">
        <v>303</v>
      </c>
      <c r="CA14" s="2" t="s">
        <v>304</v>
      </c>
      <c r="CB14" s="2" t="s">
        <v>305</v>
      </c>
      <c r="CC14" s="2" t="s">
        <v>306</v>
      </c>
      <c r="CD14" s="2" t="s">
        <v>307</v>
      </c>
      <c r="CE14" s="2" t="s">
        <v>308</v>
      </c>
      <c r="CF14" s="2" t="s">
        <v>43</v>
      </c>
      <c r="CG14" s="2" t="s">
        <v>309</v>
      </c>
    </row>
    <row r="15" spans="1:85" x14ac:dyDescent="0.3">
      <c r="A15" s="9">
        <v>45916.565919652778</v>
      </c>
      <c r="B15" s="22" t="s">
        <v>59</v>
      </c>
      <c r="C15" s="21" t="s">
        <v>39</v>
      </c>
      <c r="D15" s="10">
        <v>25</v>
      </c>
      <c r="E15" s="10" t="s">
        <v>37</v>
      </c>
      <c r="F15" s="10">
        <v>2</v>
      </c>
      <c r="G15" s="10">
        <v>3</v>
      </c>
      <c r="H15" s="10">
        <v>2</v>
      </c>
      <c r="I15" s="10">
        <v>3</v>
      </c>
      <c r="J15" s="10">
        <v>3</v>
      </c>
      <c r="K15" s="10">
        <v>4</v>
      </c>
      <c r="L15" s="10">
        <v>4</v>
      </c>
      <c r="M15" s="10">
        <v>2</v>
      </c>
      <c r="N15" s="10">
        <v>3</v>
      </c>
      <c r="O15" s="10">
        <v>3</v>
      </c>
      <c r="P15" s="10">
        <v>3</v>
      </c>
      <c r="Q15" s="10">
        <f>Form_Responses[[#This Row],[SUM]]/10</f>
        <v>2.8</v>
      </c>
      <c r="R15" s="10">
        <f>SUM(Form_Responses[[#This Row],[1- I can always manage to solve difficult problems if I try hard enough.]:[10- I can usually handle whatever comes my way.]])</f>
        <v>28</v>
      </c>
      <c r="S15" s="10">
        <v>4</v>
      </c>
      <c r="T15" s="10">
        <v>3</v>
      </c>
      <c r="U15" s="10">
        <v>2</v>
      </c>
      <c r="V15" s="10">
        <v>2</v>
      </c>
      <c r="W15" s="10">
        <v>1</v>
      </c>
      <c r="X15" s="10">
        <v>1</v>
      </c>
      <c r="Y15" s="10">
        <v>4</v>
      </c>
      <c r="Z15" s="10">
        <v>2</v>
      </c>
      <c r="AA15" s="10">
        <v>1</v>
      </c>
      <c r="AB15" s="10">
        <v>4</v>
      </c>
      <c r="AC15" s="10">
        <v>5</v>
      </c>
      <c r="AD15" s="10">
        <v>5</v>
      </c>
      <c r="AE15" s="10">
        <v>5</v>
      </c>
      <c r="AF15" s="10">
        <v>5</v>
      </c>
      <c r="AG15" s="10">
        <v>3</v>
      </c>
      <c r="AH15" s="10">
        <v>5</v>
      </c>
      <c r="AI15" s="10">
        <v>4</v>
      </c>
      <c r="AJ15" s="10">
        <v>5</v>
      </c>
      <c r="AK15" s="10">
        <v>5</v>
      </c>
      <c r="AL15" s="10">
        <v>4</v>
      </c>
      <c r="AM15" s="10">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65</v>
      </c>
      <c r="AN15" s="10">
        <f>SUM(Form_Responses[[#This Row],[1- I can trust persons and organizations related to development of robots ]:[5- If robots had emotions, I would be able to be friend with them]])</f>
        <v>21</v>
      </c>
      <c r="AO15" s="10">
        <f>SUM(Form_Responses[[#This Row],[6- I would feel uneasy if I was given a job where I had to use robots]:[10- I don’t want a robot to touch me]])</f>
        <v>8</v>
      </c>
      <c r="AP15" s="10">
        <f>SUM(Form_Responses[[#This Row],[11- Robots are necessary because they can do jobs that are too hard or too dangerous for people ]:[15- Robots are a good thing for society, because they help people]])</f>
        <v>22</v>
      </c>
      <c r="AQ15" s="10">
        <f>SUM(Form_Responses[[#This Row],[16- Robots may make us even lazier ]:[20- Unregulated use of robotics can lead to societal upheavals]])</f>
        <v>17</v>
      </c>
      <c r="AR15" s="11" t="s">
        <v>83</v>
      </c>
      <c r="AS15" s="80">
        <f>TA_NQY!F15+TA_NQO!F15</f>
        <v>249.99999999999753</v>
      </c>
      <c r="AT15" s="80">
        <f>TA_NQY!F28+TA_NQO!F28</f>
        <v>336.00000000001415</v>
      </c>
      <c r="AU15" s="6">
        <f>TA_NQY!G28+TA_NQO!G28</f>
        <v>16</v>
      </c>
      <c r="AV15" s="12">
        <v>4</v>
      </c>
      <c r="AW15" s="12">
        <v>3</v>
      </c>
      <c r="AX15" s="12">
        <v>6</v>
      </c>
      <c r="AY15" s="12">
        <v>10</v>
      </c>
      <c r="AZ15" s="12">
        <v>6</v>
      </c>
      <c r="BA15" s="12">
        <v>2</v>
      </c>
      <c r="BB15" s="12">
        <v>9</v>
      </c>
      <c r="BC15" s="12">
        <v>7</v>
      </c>
      <c r="BD15" s="12">
        <v>8</v>
      </c>
      <c r="BE15" s="12">
        <v>8</v>
      </c>
      <c r="BF15" s="12">
        <v>10</v>
      </c>
      <c r="BG15" s="12">
        <v>5</v>
      </c>
      <c r="BH15" s="11" t="s">
        <v>84</v>
      </c>
      <c r="BI15" s="80">
        <f>TA_QY!F28+TA_QO!F28</f>
        <v>420.00000000000813</v>
      </c>
      <c r="BJ15" s="6">
        <f>TA_QY!G28+TA_QO!G28</f>
        <v>20</v>
      </c>
      <c r="BK15" s="12">
        <v>7</v>
      </c>
      <c r="BL15" s="12">
        <v>3</v>
      </c>
      <c r="BM15" s="12">
        <v>5</v>
      </c>
      <c r="BN15" s="12">
        <v>10</v>
      </c>
      <c r="BO15" s="12">
        <v>6</v>
      </c>
      <c r="BP15" s="12">
        <v>7</v>
      </c>
      <c r="BQ15" s="12">
        <v>8</v>
      </c>
      <c r="BR15" s="12">
        <v>9</v>
      </c>
      <c r="BS15" s="12">
        <v>9</v>
      </c>
      <c r="BT15" s="12">
        <v>9</v>
      </c>
      <c r="BU15" s="12">
        <v>9</v>
      </c>
      <c r="BV15" s="12">
        <v>3</v>
      </c>
      <c r="BW15" s="2" t="s">
        <v>310</v>
      </c>
      <c r="BX15" s="2" t="s">
        <v>311</v>
      </c>
      <c r="BY15" s="2" t="s">
        <v>312</v>
      </c>
      <c r="BZ15" s="2" t="s">
        <v>313</v>
      </c>
      <c r="CA15" s="2" t="s">
        <v>314</v>
      </c>
      <c r="CB15" s="2" t="s">
        <v>315</v>
      </c>
      <c r="CC15" s="2" t="s">
        <v>316</v>
      </c>
      <c r="CD15" s="2" t="s">
        <v>317</v>
      </c>
      <c r="CE15" s="2" t="s">
        <v>102</v>
      </c>
      <c r="CF15" s="2" t="s">
        <v>318</v>
      </c>
    </row>
    <row r="16" spans="1:85" x14ac:dyDescent="0.3">
      <c r="A16" s="9">
        <v>45917.607987812502</v>
      </c>
      <c r="B16" s="22" t="s">
        <v>63</v>
      </c>
      <c r="C16" s="21" t="s">
        <v>36</v>
      </c>
      <c r="D16" s="10">
        <v>23</v>
      </c>
      <c r="E16" s="10" t="s">
        <v>43</v>
      </c>
      <c r="F16" s="10">
        <v>4</v>
      </c>
      <c r="G16" s="10">
        <v>3</v>
      </c>
      <c r="H16" s="10">
        <v>3</v>
      </c>
      <c r="I16" s="10">
        <v>3</v>
      </c>
      <c r="J16" s="10">
        <v>3</v>
      </c>
      <c r="K16" s="10">
        <v>3</v>
      </c>
      <c r="L16" s="10">
        <v>3</v>
      </c>
      <c r="M16" s="10">
        <v>4</v>
      </c>
      <c r="N16" s="10">
        <v>2</v>
      </c>
      <c r="O16" s="10">
        <v>3</v>
      </c>
      <c r="P16" s="10">
        <v>3</v>
      </c>
      <c r="Q16" s="10">
        <f>Form_Responses[[#This Row],[SUM]]/10</f>
        <v>3.6</v>
      </c>
      <c r="R16" s="10">
        <f>SUM(Form_Responses[[#This Row],[1- I can always manage to solve difficult problems if I try hard enough.]:[10- I can usually handle whatever comes my way.]])</f>
        <v>36</v>
      </c>
      <c r="S16" s="10">
        <v>4</v>
      </c>
      <c r="T16" s="10">
        <v>3</v>
      </c>
      <c r="U16" s="10">
        <v>4</v>
      </c>
      <c r="V16" s="10">
        <v>3</v>
      </c>
      <c r="W16" s="10">
        <v>4</v>
      </c>
      <c r="X16" s="10">
        <v>2</v>
      </c>
      <c r="Y16" s="10">
        <v>2</v>
      </c>
      <c r="Z16" s="10">
        <v>1</v>
      </c>
      <c r="AA16" s="10">
        <v>1</v>
      </c>
      <c r="AB16" s="10">
        <v>3</v>
      </c>
      <c r="AC16" s="10">
        <v>4</v>
      </c>
      <c r="AD16" s="10">
        <v>5</v>
      </c>
      <c r="AE16" s="10">
        <v>5</v>
      </c>
      <c r="AF16" s="10">
        <v>4</v>
      </c>
      <c r="AG16" s="10">
        <v>4</v>
      </c>
      <c r="AH16" s="10">
        <v>2</v>
      </c>
      <c r="AI16" s="10">
        <v>3</v>
      </c>
      <c r="AJ16" s="10">
        <v>2</v>
      </c>
      <c r="AK16" s="10">
        <v>4</v>
      </c>
      <c r="AL16" s="10">
        <v>3</v>
      </c>
      <c r="AM16" s="10">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78</v>
      </c>
      <c r="AN16" s="10">
        <f>SUM(Form_Responses[[#This Row],[1- I can trust persons and organizations related to development of robots ]:[5- If robots had emotions, I would be able to be friend with them]])</f>
        <v>21</v>
      </c>
      <c r="AO16" s="10">
        <f>SUM(Form_Responses[[#This Row],[6- I would feel uneasy if I was given a job where I had to use robots]:[10- I don’t want a robot to touch me]])</f>
        <v>9</v>
      </c>
      <c r="AP16" s="10">
        <f>SUM(Form_Responses[[#This Row],[11- Robots are necessary because they can do jobs that are too hard or too dangerous for people ]:[15- Robots are a good thing for society, because they help people]])</f>
        <v>25</v>
      </c>
      <c r="AQ16" s="10">
        <f>SUM(Form_Responses[[#This Row],[16- Robots may make us even lazier ]:[20- Unregulated use of robotics can lead to societal upheavals]])</f>
        <v>7</v>
      </c>
      <c r="AR16" s="11" t="s">
        <v>83</v>
      </c>
      <c r="AS16" s="80">
        <f>TA_NQY!F16+TA_NQO!F16</f>
        <v>268.99999999998772</v>
      </c>
      <c r="AT16" s="116">
        <f>TA_NQY!F32+TA_NQO!F32</f>
        <v>236.00000000001131</v>
      </c>
      <c r="AU16" s="6">
        <f>TA_NQY!G32+TA_NQO!G32</f>
        <v>13</v>
      </c>
      <c r="AV16" s="12">
        <v>2</v>
      </c>
      <c r="AW16" s="12">
        <v>3</v>
      </c>
      <c r="AX16" s="12">
        <v>5</v>
      </c>
      <c r="AY16" s="12">
        <v>8</v>
      </c>
      <c r="AZ16" s="12">
        <v>5</v>
      </c>
      <c r="BA16" s="12">
        <v>2</v>
      </c>
      <c r="BB16" s="12">
        <v>7</v>
      </c>
      <c r="BC16" s="12">
        <v>8</v>
      </c>
      <c r="BD16" s="12">
        <v>6</v>
      </c>
      <c r="BE16" s="12">
        <v>5</v>
      </c>
      <c r="BF16" s="12">
        <v>9</v>
      </c>
      <c r="BG16" s="12">
        <v>7</v>
      </c>
      <c r="BH16" s="11" t="s">
        <v>84</v>
      </c>
      <c r="BI16" s="80">
        <f>TA_QY!F32+TA_QO!F32</f>
        <v>373.00000000000716</v>
      </c>
      <c r="BJ16" s="6">
        <f>TA_QY!G32+TA_QO!G32</f>
        <v>17</v>
      </c>
      <c r="BK16" s="12">
        <v>7</v>
      </c>
      <c r="BL16" s="12">
        <v>3</v>
      </c>
      <c r="BM16" s="12">
        <v>7</v>
      </c>
      <c r="BN16" s="12">
        <v>8</v>
      </c>
      <c r="BO16" s="12">
        <v>3</v>
      </c>
      <c r="BP16" s="12">
        <v>2</v>
      </c>
      <c r="BQ16" s="12">
        <v>8</v>
      </c>
      <c r="BR16" s="12">
        <v>9</v>
      </c>
      <c r="BS16" s="12">
        <v>7</v>
      </c>
      <c r="BT16" s="12">
        <v>6</v>
      </c>
      <c r="BU16" s="12">
        <v>9</v>
      </c>
      <c r="BV16" s="12">
        <v>7</v>
      </c>
      <c r="BW16" s="2" t="s">
        <v>345</v>
      </c>
      <c r="BX16" s="2" t="s">
        <v>346</v>
      </c>
      <c r="BY16" s="2" t="s">
        <v>347</v>
      </c>
      <c r="BZ16" s="2" t="s">
        <v>348</v>
      </c>
      <c r="CA16" s="2" t="s">
        <v>230</v>
      </c>
      <c r="CB16" s="2" t="s">
        <v>349</v>
      </c>
      <c r="CC16" s="2" t="s">
        <v>350</v>
      </c>
      <c r="CD16" s="2" t="s">
        <v>351</v>
      </c>
      <c r="CE16" s="2" t="s">
        <v>352</v>
      </c>
      <c r="CF16" s="2" t="s">
        <v>353</v>
      </c>
    </row>
    <row r="17" spans="1:84" x14ac:dyDescent="0.3">
      <c r="A17" s="9">
        <v>45918.561457800926</v>
      </c>
      <c r="B17" s="22" t="s">
        <v>64</v>
      </c>
      <c r="C17" s="21" t="s">
        <v>39</v>
      </c>
      <c r="D17" s="10">
        <v>28</v>
      </c>
      <c r="E17" s="10" t="s">
        <v>37</v>
      </c>
      <c r="F17" s="10">
        <v>3</v>
      </c>
      <c r="G17" s="10">
        <v>4</v>
      </c>
      <c r="H17" s="10">
        <v>2</v>
      </c>
      <c r="I17" s="10">
        <v>3</v>
      </c>
      <c r="J17" s="10">
        <v>4</v>
      </c>
      <c r="K17" s="10">
        <v>3</v>
      </c>
      <c r="L17" s="10">
        <v>3</v>
      </c>
      <c r="M17" s="10">
        <v>3</v>
      </c>
      <c r="N17" s="10">
        <v>4</v>
      </c>
      <c r="O17" s="10">
        <v>3</v>
      </c>
      <c r="P17" s="10">
        <v>3</v>
      </c>
      <c r="Q17" s="10">
        <f>Form_Responses[[#This Row],[SUM]]/10</f>
        <v>3.3</v>
      </c>
      <c r="R17" s="10">
        <f>SUM(Form_Responses[[#This Row],[1- I can always manage to solve difficult problems if I try hard enough.]:[10- I can usually handle whatever comes my way.]])</f>
        <v>33</v>
      </c>
      <c r="S17" s="10">
        <v>4</v>
      </c>
      <c r="T17" s="10">
        <v>3</v>
      </c>
      <c r="U17" s="10">
        <v>4</v>
      </c>
      <c r="V17" s="10">
        <v>3</v>
      </c>
      <c r="W17" s="10">
        <v>2</v>
      </c>
      <c r="X17" s="10">
        <v>1</v>
      </c>
      <c r="Y17" s="10">
        <v>1</v>
      </c>
      <c r="Z17" s="10">
        <v>1</v>
      </c>
      <c r="AA17" s="10">
        <v>2</v>
      </c>
      <c r="AB17" s="10">
        <v>4</v>
      </c>
      <c r="AC17" s="10">
        <v>3</v>
      </c>
      <c r="AD17" s="10">
        <v>4</v>
      </c>
      <c r="AE17" s="10">
        <v>4</v>
      </c>
      <c r="AF17" s="10">
        <v>3</v>
      </c>
      <c r="AG17" s="10">
        <v>4</v>
      </c>
      <c r="AH17" s="10">
        <v>2</v>
      </c>
      <c r="AI17" s="10">
        <v>1</v>
      </c>
      <c r="AJ17" s="10">
        <v>1</v>
      </c>
      <c r="AK17" s="10">
        <v>2</v>
      </c>
      <c r="AL17" s="10">
        <v>2</v>
      </c>
      <c r="AM17" s="41">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57</v>
      </c>
      <c r="AN17" s="41">
        <f>SUM(Form_Responses[[#This Row],[1- I can trust persons and organizations related to development of robots ]:[5- If robots had emotions, I would be able to be friend with them]])</f>
        <v>18</v>
      </c>
      <c r="AO17" s="41">
        <f>SUM(Form_Responses[[#This Row],[6- I would feel uneasy if I was given a job where I had to use robots]:[10- I don’t want a robot to touch me]])</f>
        <v>12</v>
      </c>
      <c r="AP17" s="41">
        <f>SUM(Form_Responses[[#This Row],[11- Robots are necessary because they can do jobs that are too hard or too dangerous for people ]:[15- Robots are a good thing for society, because they help people]])</f>
        <v>18</v>
      </c>
      <c r="AQ17" s="41">
        <f>SUM(Form_Responses[[#This Row],[16- Robots may make us even lazier ]:[20- Unregulated use of robotics can lead to societal upheavals]])</f>
        <v>21</v>
      </c>
      <c r="AR17" s="13" t="s">
        <v>83</v>
      </c>
      <c r="AS17" s="81">
        <f>TA_NQY!F17+TA_NQO!F17</f>
        <v>287.00000000000011</v>
      </c>
      <c r="AT17" s="81">
        <f>TA_NQY!F34+TA_NQO!F34</f>
        <v>345.00000000000597</v>
      </c>
      <c r="AU17" s="113">
        <f>TA_NQY!G34+TA_NQO!G34</f>
        <v>20</v>
      </c>
      <c r="AV17" s="14">
        <v>1</v>
      </c>
      <c r="AW17" s="14">
        <v>5</v>
      </c>
      <c r="AX17" s="14">
        <v>2</v>
      </c>
      <c r="AY17" s="14">
        <v>7</v>
      </c>
      <c r="AZ17" s="14">
        <v>3</v>
      </c>
      <c r="BA17" s="14">
        <v>2</v>
      </c>
      <c r="BB17" s="14">
        <v>7</v>
      </c>
      <c r="BC17" s="14">
        <v>7</v>
      </c>
      <c r="BD17" s="14">
        <v>8</v>
      </c>
      <c r="BE17" s="14">
        <v>7</v>
      </c>
      <c r="BF17" s="14">
        <v>10</v>
      </c>
      <c r="BG17" s="14">
        <v>8</v>
      </c>
      <c r="BH17" s="11" t="s">
        <v>84</v>
      </c>
      <c r="BI17" s="80">
        <f>TA_QY!F34+TA_QO!F34</f>
        <v>386.00000000000597</v>
      </c>
      <c r="BJ17" s="6">
        <f>TA_QY!G34+TA_QO!G34</f>
        <v>22</v>
      </c>
      <c r="BK17" s="12">
        <v>6</v>
      </c>
      <c r="BL17" s="12">
        <v>6</v>
      </c>
      <c r="BM17" s="12">
        <v>7</v>
      </c>
      <c r="BN17" s="12">
        <v>5</v>
      </c>
      <c r="BO17" s="12">
        <v>4</v>
      </c>
      <c r="BP17" s="12">
        <v>1</v>
      </c>
      <c r="BQ17" s="12">
        <v>6</v>
      </c>
      <c r="BR17" s="12">
        <v>6</v>
      </c>
      <c r="BS17" s="12">
        <v>7</v>
      </c>
      <c r="BT17" s="12">
        <v>7</v>
      </c>
      <c r="BU17" s="12">
        <v>9</v>
      </c>
      <c r="BV17" s="12">
        <v>9</v>
      </c>
      <c r="BW17" s="2" t="s">
        <v>196</v>
      </c>
      <c r="BX17" s="2" t="s">
        <v>360</v>
      </c>
      <c r="BY17" s="2" t="s">
        <v>361</v>
      </c>
      <c r="BZ17" s="2" t="s">
        <v>362</v>
      </c>
      <c r="CA17" s="2" t="s">
        <v>37</v>
      </c>
      <c r="CB17" s="2" t="s">
        <v>363</v>
      </c>
      <c r="CC17" s="2" t="s">
        <v>364</v>
      </c>
      <c r="CD17" s="2" t="s">
        <v>365</v>
      </c>
      <c r="CE17" s="2" t="s">
        <v>43</v>
      </c>
      <c r="CF17" s="2" t="s">
        <v>366</v>
      </c>
    </row>
  </sheetData>
  <mergeCells count="5">
    <mergeCell ref="B1:F1"/>
    <mergeCell ref="G1:P1"/>
    <mergeCell ref="Q1:AL1"/>
    <mergeCell ref="AO1:AZ1"/>
    <mergeCell ref="BB1:BI1"/>
  </mergeCells>
  <phoneticPr fontId="4" type="noConversion"/>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D46CC-DF95-4D59-9C96-006AF5A36006}">
  <dimension ref="A1:AP40"/>
  <sheetViews>
    <sheetView zoomScale="97" zoomScaleNormal="100" workbookViewId="0">
      <pane xSplit="2" ySplit="2" topLeftCell="C3" activePane="bottomRight" state="frozen"/>
      <selection pane="topRight" activeCell="C1" sqref="C1"/>
      <selection pane="bottomLeft" activeCell="A3" sqref="A3"/>
      <selection pane="bottomRight" activeCell="C43" sqref="C43"/>
    </sheetView>
  </sheetViews>
  <sheetFormatPr defaultRowHeight="14.4" x14ac:dyDescent="0.3"/>
  <cols>
    <col min="1" max="1" width="55.6640625" customWidth="1"/>
    <col min="2" max="2" width="21.5546875" customWidth="1"/>
    <col min="3" max="3" width="12.77734375" customWidth="1"/>
    <col min="4" max="4" width="16.5546875" customWidth="1"/>
    <col min="5" max="5" width="13.21875" customWidth="1"/>
    <col min="6" max="6" width="12.21875" customWidth="1"/>
    <col min="7" max="7" width="15.109375" customWidth="1"/>
    <col min="8" max="8" width="12.88671875" customWidth="1"/>
    <col min="9" max="9" width="16" customWidth="1"/>
    <col min="10" max="10" width="11.109375" customWidth="1"/>
    <col min="11" max="11" width="11.21875" customWidth="1"/>
    <col min="12" max="12" width="10.33203125" customWidth="1"/>
    <col min="13" max="13" width="14.5546875" customWidth="1"/>
    <col min="14" max="14" width="14" customWidth="1"/>
    <col min="15" max="15" width="16.6640625" customWidth="1"/>
    <col min="16" max="16" width="17.6640625" customWidth="1"/>
    <col min="17" max="17" width="13.77734375" customWidth="1"/>
    <col min="18" max="18" width="9.21875" customWidth="1"/>
    <col min="19" max="19" width="14.33203125" customWidth="1"/>
    <col min="20" max="20" width="13.77734375" customWidth="1"/>
    <col min="21" max="21" width="15.33203125" customWidth="1"/>
    <col min="22" max="22" width="15.77734375" customWidth="1"/>
    <col min="23" max="23" width="18.33203125" customWidth="1"/>
    <col min="24" max="24" width="16.44140625" customWidth="1"/>
    <col min="25" max="25" width="17.5546875" customWidth="1"/>
    <col min="26" max="26" width="18.88671875" customWidth="1"/>
    <col min="27" max="27" width="18.77734375" customWidth="1"/>
    <col min="28" max="28" width="17.109375" customWidth="1"/>
    <col min="29" max="29" width="14.21875" customWidth="1"/>
    <col min="30" max="30" width="15" customWidth="1"/>
    <col min="31" max="31" width="15.88671875" customWidth="1"/>
    <col min="32" max="32" width="19.109375" customWidth="1"/>
    <col min="33" max="33" width="37.21875" customWidth="1"/>
    <col min="34" max="34" width="25.6640625" customWidth="1"/>
    <col min="35" max="35" width="28.6640625" customWidth="1"/>
    <col min="36" max="36" width="23" customWidth="1"/>
    <col min="37" max="37" width="30.6640625" customWidth="1"/>
    <col min="38" max="38" width="32.109375" customWidth="1"/>
    <col min="39" max="39" width="21.44140625" customWidth="1"/>
    <col min="40" max="40" width="26.44140625" customWidth="1"/>
    <col min="41" max="41" width="42.6640625" customWidth="1"/>
    <col min="42" max="42" width="42.33203125" customWidth="1"/>
  </cols>
  <sheetData>
    <row r="1" spans="1:42" ht="21" x14ac:dyDescent="0.4">
      <c r="B1" s="107" t="s">
        <v>67</v>
      </c>
      <c r="C1" s="107"/>
      <c r="D1" s="46"/>
      <c r="E1" s="146"/>
      <c r="F1" s="146"/>
      <c r="G1" s="146" t="s">
        <v>98</v>
      </c>
      <c r="H1" s="146"/>
      <c r="I1" s="146"/>
      <c r="J1" s="146"/>
      <c r="K1" s="46"/>
      <c r="L1" s="111" t="s">
        <v>99</v>
      </c>
      <c r="M1" s="111"/>
      <c r="N1" s="111"/>
      <c r="O1" s="111"/>
      <c r="P1" s="111"/>
      <c r="Q1" s="111"/>
      <c r="R1" s="111"/>
      <c r="S1" s="111"/>
      <c r="T1" s="111"/>
      <c r="V1" s="46"/>
      <c r="W1" s="46"/>
      <c r="Z1" s="45" t="s">
        <v>377</v>
      </c>
    </row>
    <row r="2" spans="1:42" s="165" customFormat="1" ht="55.8" thickBot="1" x14ac:dyDescent="0.35">
      <c r="A2" s="157" t="s">
        <v>0</v>
      </c>
      <c r="B2" s="158" t="s">
        <v>1</v>
      </c>
      <c r="C2" s="159" t="s">
        <v>6667</v>
      </c>
      <c r="D2" s="160" t="s">
        <v>6668</v>
      </c>
      <c r="E2" s="161" t="s">
        <v>3173</v>
      </c>
      <c r="F2" s="161" t="s">
        <v>6626</v>
      </c>
      <c r="G2" s="161" t="s">
        <v>3169</v>
      </c>
      <c r="H2" s="161" t="s">
        <v>3170</v>
      </c>
      <c r="I2" s="162" t="s">
        <v>6669</v>
      </c>
      <c r="J2" s="162" t="s">
        <v>6670</v>
      </c>
      <c r="K2" s="162" t="s">
        <v>6671</v>
      </c>
      <c r="L2" s="162" t="s">
        <v>6672</v>
      </c>
      <c r="M2" s="162" t="s">
        <v>6673</v>
      </c>
      <c r="N2" s="162" t="s">
        <v>6674</v>
      </c>
      <c r="O2" s="162" t="s">
        <v>6675</v>
      </c>
      <c r="P2" s="162" t="s">
        <v>6676</v>
      </c>
      <c r="Q2" s="162" t="s">
        <v>6677</v>
      </c>
      <c r="R2" s="162" t="s">
        <v>6678</v>
      </c>
      <c r="S2" s="163" t="s">
        <v>6679</v>
      </c>
      <c r="T2" s="162" t="s">
        <v>6680</v>
      </c>
      <c r="U2" s="162" t="s">
        <v>6681</v>
      </c>
      <c r="V2" s="162" t="s">
        <v>6682</v>
      </c>
      <c r="W2" s="162" t="s">
        <v>6683</v>
      </c>
      <c r="X2" s="162" t="s">
        <v>6684</v>
      </c>
      <c r="Y2" s="162" t="s">
        <v>6716</v>
      </c>
      <c r="Z2" s="162" t="s">
        <v>6720</v>
      </c>
      <c r="AA2" s="162" t="s">
        <v>6717</v>
      </c>
      <c r="AB2" s="162" t="s">
        <v>6721</v>
      </c>
      <c r="AC2" s="162" t="s">
        <v>6718</v>
      </c>
      <c r="AD2" s="162" t="s">
        <v>6722</v>
      </c>
      <c r="AE2" s="162" t="s">
        <v>6719</v>
      </c>
      <c r="AF2" s="162" t="s">
        <v>6723</v>
      </c>
      <c r="AG2" s="87" t="s">
        <v>367</v>
      </c>
      <c r="AH2" s="87" t="s">
        <v>368</v>
      </c>
      <c r="AI2" s="87" t="s">
        <v>369</v>
      </c>
      <c r="AJ2" s="87" t="s">
        <v>370</v>
      </c>
      <c r="AK2" s="87" t="s">
        <v>371</v>
      </c>
      <c r="AL2" s="87" t="s">
        <v>372</v>
      </c>
      <c r="AM2" s="87" t="s">
        <v>373</v>
      </c>
      <c r="AN2" s="87" t="s">
        <v>374</v>
      </c>
      <c r="AO2" s="87" t="s">
        <v>375</v>
      </c>
      <c r="AP2" s="164" t="s">
        <v>376</v>
      </c>
    </row>
    <row r="3" spans="1:42" x14ac:dyDescent="0.3">
      <c r="A3" s="53" t="s">
        <v>6686</v>
      </c>
      <c r="B3" s="154" t="s">
        <v>40</v>
      </c>
      <c r="C3" s="150">
        <v>39</v>
      </c>
      <c r="D3" s="10">
        <v>64</v>
      </c>
      <c r="E3" s="80">
        <f>TA_NQY!F9+TA_NQO!F9</f>
        <v>340.99999999999898</v>
      </c>
      <c r="F3" s="144">
        <v>301.00000000000546</v>
      </c>
      <c r="G3" s="113">
        <f>TA_NQY!G9+TA_NQO!G9</f>
        <v>20</v>
      </c>
      <c r="H3" s="6">
        <v>19</v>
      </c>
      <c r="I3" s="12">
        <v>1</v>
      </c>
      <c r="J3" s="12">
        <v>6</v>
      </c>
      <c r="K3" s="12">
        <v>2</v>
      </c>
      <c r="L3" s="12">
        <v>3</v>
      </c>
      <c r="M3" s="12">
        <v>3</v>
      </c>
      <c r="N3" s="12">
        <v>7</v>
      </c>
      <c r="O3" s="12">
        <v>10</v>
      </c>
      <c r="P3" s="12">
        <v>9</v>
      </c>
      <c r="Q3" s="12">
        <v>2</v>
      </c>
      <c r="R3" s="12">
        <v>8</v>
      </c>
      <c r="S3" s="12">
        <v>1</v>
      </c>
      <c r="T3" s="12">
        <v>6</v>
      </c>
      <c r="U3" s="12">
        <v>10</v>
      </c>
      <c r="V3" s="12">
        <v>9</v>
      </c>
      <c r="W3" s="12">
        <v>10</v>
      </c>
      <c r="X3" s="12">
        <v>9</v>
      </c>
      <c r="Y3" s="12">
        <v>10</v>
      </c>
      <c r="Z3" s="12">
        <v>8</v>
      </c>
      <c r="AA3" s="12">
        <v>10</v>
      </c>
      <c r="AB3" s="12">
        <v>9</v>
      </c>
      <c r="AC3" s="12">
        <v>10</v>
      </c>
      <c r="AD3" s="12">
        <v>10</v>
      </c>
      <c r="AE3" s="12">
        <v>2</v>
      </c>
      <c r="AF3" s="12">
        <v>3</v>
      </c>
      <c r="AG3" s="2" t="s">
        <v>144</v>
      </c>
      <c r="AH3" s="2" t="s">
        <v>145</v>
      </c>
      <c r="AI3" s="2" t="s">
        <v>146</v>
      </c>
      <c r="AJ3" s="2" t="s">
        <v>147</v>
      </c>
      <c r="AK3" s="2" t="s">
        <v>148</v>
      </c>
      <c r="AL3" s="2" t="s">
        <v>149</v>
      </c>
      <c r="AM3" s="2" t="s">
        <v>150</v>
      </c>
      <c r="AN3" s="2" t="s">
        <v>151</v>
      </c>
      <c r="AO3" s="2" t="s">
        <v>152</v>
      </c>
      <c r="AP3" s="2" t="s">
        <v>153</v>
      </c>
    </row>
    <row r="4" spans="1:42" x14ac:dyDescent="0.3">
      <c r="A4" s="53" t="s">
        <v>6687</v>
      </c>
      <c r="B4" s="151" t="s">
        <v>41</v>
      </c>
      <c r="C4" s="10">
        <v>30</v>
      </c>
      <c r="D4" s="10">
        <v>62</v>
      </c>
      <c r="E4" s="80">
        <f>TA_NQY!F10+TA_NQO!F10</f>
        <v>264.99999999999989</v>
      </c>
      <c r="F4" s="144">
        <v>300.00000000000853</v>
      </c>
      <c r="G4" s="6">
        <f>TA_NQY!G10+TA_NQO!G10</f>
        <v>14</v>
      </c>
      <c r="H4" s="116">
        <v>14</v>
      </c>
      <c r="I4" s="12">
        <v>3</v>
      </c>
      <c r="J4" s="12">
        <v>9</v>
      </c>
      <c r="K4" s="12">
        <v>6</v>
      </c>
      <c r="L4" s="12">
        <v>7</v>
      </c>
      <c r="M4" s="12">
        <v>8</v>
      </c>
      <c r="N4" s="12">
        <v>9</v>
      </c>
      <c r="O4" s="12">
        <v>4</v>
      </c>
      <c r="P4" s="12">
        <v>10</v>
      </c>
      <c r="Q4" s="12">
        <v>4</v>
      </c>
      <c r="R4" s="12">
        <v>7</v>
      </c>
      <c r="S4" s="12">
        <v>7</v>
      </c>
      <c r="T4" s="12">
        <v>5</v>
      </c>
      <c r="U4" s="12">
        <v>8</v>
      </c>
      <c r="V4" s="12">
        <v>10</v>
      </c>
      <c r="W4" s="12">
        <v>8</v>
      </c>
      <c r="X4" s="12">
        <v>10</v>
      </c>
      <c r="Y4" s="12">
        <v>6</v>
      </c>
      <c r="Z4" s="12">
        <v>10</v>
      </c>
      <c r="AA4" s="12">
        <v>3</v>
      </c>
      <c r="AB4" s="12">
        <v>10</v>
      </c>
      <c r="AC4" s="12">
        <v>10</v>
      </c>
      <c r="AD4" s="12">
        <v>10</v>
      </c>
      <c r="AE4" s="12">
        <v>4</v>
      </c>
      <c r="AF4" s="12">
        <v>5</v>
      </c>
      <c r="AG4" s="2" t="s">
        <v>135</v>
      </c>
      <c r="AH4" s="2" t="s">
        <v>154</v>
      </c>
      <c r="AI4" s="2" t="s">
        <v>155</v>
      </c>
      <c r="AJ4" s="2" t="s">
        <v>156</v>
      </c>
      <c r="AK4" s="2" t="s">
        <v>37</v>
      </c>
      <c r="AL4" s="2" t="s">
        <v>37</v>
      </c>
      <c r="AM4" s="2" t="s">
        <v>157</v>
      </c>
      <c r="AN4" s="2" t="s">
        <v>158</v>
      </c>
      <c r="AO4" s="2" t="s">
        <v>159</v>
      </c>
      <c r="AP4" s="2" t="s">
        <v>160</v>
      </c>
    </row>
    <row r="5" spans="1:42" x14ac:dyDescent="0.3">
      <c r="A5" s="53" t="s">
        <v>6688</v>
      </c>
      <c r="B5" s="156" t="s">
        <v>42</v>
      </c>
      <c r="C5" s="10">
        <v>34</v>
      </c>
      <c r="D5" s="10">
        <v>73</v>
      </c>
      <c r="E5" s="80">
        <f>TA_NQY!F11+TA_NQO!F11</f>
        <v>310.99999999999426</v>
      </c>
      <c r="F5" s="80">
        <v>374.00000000000409</v>
      </c>
      <c r="G5" s="6">
        <f>TA_NQY!G11+TA_NQO!G11</f>
        <v>19</v>
      </c>
      <c r="H5" s="118">
        <v>22</v>
      </c>
      <c r="I5" s="12">
        <v>2</v>
      </c>
      <c r="J5" s="12">
        <v>5</v>
      </c>
      <c r="K5" s="12">
        <v>2</v>
      </c>
      <c r="L5" s="12">
        <v>3</v>
      </c>
      <c r="M5" s="12">
        <v>2</v>
      </c>
      <c r="N5" s="12">
        <v>4</v>
      </c>
      <c r="O5" s="12">
        <v>8</v>
      </c>
      <c r="P5" s="12">
        <v>7</v>
      </c>
      <c r="Q5" s="12">
        <v>3</v>
      </c>
      <c r="R5" s="12">
        <v>4</v>
      </c>
      <c r="S5" s="12">
        <v>1</v>
      </c>
      <c r="T5" s="12">
        <v>1</v>
      </c>
      <c r="U5" s="12">
        <v>9</v>
      </c>
      <c r="V5" s="12">
        <v>9</v>
      </c>
      <c r="W5" s="12">
        <v>6</v>
      </c>
      <c r="X5" s="12">
        <v>8</v>
      </c>
      <c r="Y5" s="12">
        <v>4</v>
      </c>
      <c r="Z5" s="12">
        <v>8</v>
      </c>
      <c r="AA5" s="12">
        <v>7</v>
      </c>
      <c r="AB5" s="12">
        <v>8</v>
      </c>
      <c r="AC5" s="12">
        <v>10</v>
      </c>
      <c r="AD5" s="12">
        <v>8</v>
      </c>
      <c r="AE5" s="12">
        <v>4</v>
      </c>
      <c r="AF5" s="12">
        <v>3</v>
      </c>
      <c r="AG5" s="2" t="s">
        <v>161</v>
      </c>
      <c r="AH5" s="2" t="s">
        <v>162</v>
      </c>
      <c r="AI5" s="2" t="s">
        <v>163</v>
      </c>
      <c r="AJ5" s="2" t="s">
        <v>164</v>
      </c>
      <c r="AK5" s="2" t="s">
        <v>165</v>
      </c>
      <c r="AL5" s="2" t="s">
        <v>166</v>
      </c>
      <c r="AM5" s="2" t="s">
        <v>167</v>
      </c>
      <c r="AN5" s="2" t="s">
        <v>168</v>
      </c>
      <c r="AO5" s="2" t="s">
        <v>169</v>
      </c>
      <c r="AP5" s="2" t="s">
        <v>170</v>
      </c>
    </row>
    <row r="6" spans="1:42" x14ac:dyDescent="0.3">
      <c r="A6" s="53" t="s">
        <v>6689</v>
      </c>
      <c r="B6" s="155" t="s">
        <v>44</v>
      </c>
      <c r="C6" s="10">
        <v>32</v>
      </c>
      <c r="D6" s="10">
        <v>73</v>
      </c>
      <c r="E6" s="116">
        <f>TA_NQY!F12+TA_NQO!F12</f>
        <v>243.99999999999656</v>
      </c>
      <c r="F6" s="118">
        <v>668.00000000000205</v>
      </c>
      <c r="G6" s="116">
        <f>TA_NQY!G12+TA_NQO!G12</f>
        <v>10</v>
      </c>
      <c r="H6" s="6">
        <v>17</v>
      </c>
      <c r="I6" s="12">
        <v>3</v>
      </c>
      <c r="J6" s="12">
        <v>7</v>
      </c>
      <c r="K6" s="12">
        <v>6</v>
      </c>
      <c r="L6" s="12">
        <v>4</v>
      </c>
      <c r="M6" s="12">
        <v>6</v>
      </c>
      <c r="N6" s="12">
        <v>5</v>
      </c>
      <c r="O6" s="12">
        <v>10</v>
      </c>
      <c r="P6" s="12">
        <v>6</v>
      </c>
      <c r="Q6" s="12">
        <v>6</v>
      </c>
      <c r="R6" s="12">
        <v>6</v>
      </c>
      <c r="S6" s="12">
        <v>3</v>
      </c>
      <c r="T6" s="12">
        <v>5</v>
      </c>
      <c r="U6" s="12">
        <v>9</v>
      </c>
      <c r="V6" s="12">
        <v>7</v>
      </c>
      <c r="W6" s="12">
        <v>10</v>
      </c>
      <c r="X6" s="12">
        <v>10</v>
      </c>
      <c r="Y6" s="12">
        <v>8</v>
      </c>
      <c r="Z6" s="12">
        <v>7</v>
      </c>
      <c r="AA6" s="12">
        <v>8</v>
      </c>
      <c r="AB6" s="12">
        <v>6</v>
      </c>
      <c r="AC6" s="12">
        <v>10</v>
      </c>
      <c r="AD6" s="12">
        <v>10</v>
      </c>
      <c r="AE6" s="12">
        <v>6</v>
      </c>
      <c r="AF6" s="12">
        <v>7</v>
      </c>
      <c r="AG6" s="2" t="s">
        <v>171</v>
      </c>
      <c r="AH6" s="2" t="s">
        <v>172</v>
      </c>
      <c r="AI6" s="2" t="s">
        <v>173</v>
      </c>
      <c r="AJ6" s="2" t="s">
        <v>174</v>
      </c>
      <c r="AK6" s="2" t="s">
        <v>104</v>
      </c>
      <c r="AL6" s="2" t="s">
        <v>104</v>
      </c>
      <c r="AM6" s="2" t="s">
        <v>175</v>
      </c>
      <c r="AN6" s="2" t="s">
        <v>176</v>
      </c>
      <c r="AO6" s="2" t="s">
        <v>102</v>
      </c>
      <c r="AP6" s="2" t="s">
        <v>177</v>
      </c>
    </row>
    <row r="7" spans="1:42" x14ac:dyDescent="0.3">
      <c r="A7" s="53" t="s">
        <v>6690</v>
      </c>
      <c r="B7" s="151" t="s">
        <v>46</v>
      </c>
      <c r="C7" s="10">
        <v>30</v>
      </c>
      <c r="D7" s="10">
        <v>69</v>
      </c>
      <c r="E7" s="80">
        <f>TA_NQY!F14+TA_NQO!F14</f>
        <v>343.00000000000244</v>
      </c>
      <c r="F7" s="80">
        <v>387.00000000000296</v>
      </c>
      <c r="G7" s="113">
        <f>TA_NQY!G14+TA_NQO!G14</f>
        <v>20</v>
      </c>
      <c r="H7" s="113">
        <v>20</v>
      </c>
      <c r="I7" s="12">
        <v>2</v>
      </c>
      <c r="J7" s="12">
        <v>5</v>
      </c>
      <c r="K7" s="12">
        <v>3</v>
      </c>
      <c r="L7" s="12">
        <v>3</v>
      </c>
      <c r="M7" s="12">
        <v>3</v>
      </c>
      <c r="N7" s="12">
        <v>5</v>
      </c>
      <c r="O7" s="12">
        <v>9</v>
      </c>
      <c r="P7" s="12">
        <v>10</v>
      </c>
      <c r="Q7" s="12">
        <v>3</v>
      </c>
      <c r="R7" s="12">
        <v>6</v>
      </c>
      <c r="S7" s="12">
        <v>1</v>
      </c>
      <c r="T7" s="12">
        <v>1</v>
      </c>
      <c r="U7" s="12">
        <v>10</v>
      </c>
      <c r="V7" s="12">
        <v>10</v>
      </c>
      <c r="W7" s="12">
        <v>10</v>
      </c>
      <c r="X7" s="12">
        <v>10</v>
      </c>
      <c r="Y7" s="12">
        <v>10</v>
      </c>
      <c r="Z7" s="12">
        <v>9</v>
      </c>
      <c r="AA7" s="12">
        <v>10</v>
      </c>
      <c r="AB7" s="12">
        <v>10</v>
      </c>
      <c r="AC7" s="12">
        <v>10</v>
      </c>
      <c r="AD7" s="12">
        <v>10</v>
      </c>
      <c r="AE7" s="12">
        <v>4</v>
      </c>
      <c r="AF7" s="12">
        <v>7</v>
      </c>
      <c r="AG7" s="2" t="s">
        <v>187</v>
      </c>
      <c r="AH7" s="2" t="s">
        <v>188</v>
      </c>
      <c r="AI7" s="2" t="s">
        <v>189</v>
      </c>
      <c r="AJ7" s="2" t="s">
        <v>102</v>
      </c>
      <c r="AK7" s="2" t="s">
        <v>190</v>
      </c>
      <c r="AL7" s="2" t="s">
        <v>191</v>
      </c>
      <c r="AM7" s="2" t="s">
        <v>192</v>
      </c>
      <c r="AN7" s="2" t="s">
        <v>193</v>
      </c>
      <c r="AO7" s="2" t="s">
        <v>194</v>
      </c>
      <c r="AP7" s="2" t="s">
        <v>195</v>
      </c>
    </row>
    <row r="8" spans="1:42" x14ac:dyDescent="0.3">
      <c r="A8" s="53" t="s">
        <v>6688</v>
      </c>
      <c r="B8" s="156" t="s">
        <v>47</v>
      </c>
      <c r="C8" s="10">
        <v>28</v>
      </c>
      <c r="D8" s="10">
        <v>65</v>
      </c>
      <c r="E8" s="116">
        <f>TA_NQY!F15+TA_NQO!F15</f>
        <v>249.99999999999753</v>
      </c>
      <c r="F8" s="80">
        <v>356.00000000000131</v>
      </c>
      <c r="G8" s="6">
        <f>TA_NQY!G15+TA_NQO!G15</f>
        <v>13</v>
      </c>
      <c r="H8" s="6">
        <v>19</v>
      </c>
      <c r="I8" s="12">
        <v>5</v>
      </c>
      <c r="J8" s="12">
        <v>8</v>
      </c>
      <c r="K8" s="12">
        <v>5</v>
      </c>
      <c r="L8" s="12">
        <v>4</v>
      </c>
      <c r="M8" s="12">
        <v>6</v>
      </c>
      <c r="N8" s="12">
        <v>8</v>
      </c>
      <c r="O8" s="12">
        <v>9</v>
      </c>
      <c r="P8" s="12">
        <v>9</v>
      </c>
      <c r="Q8" s="12">
        <v>5</v>
      </c>
      <c r="R8" s="12">
        <v>7</v>
      </c>
      <c r="S8" s="12">
        <v>2</v>
      </c>
      <c r="T8" s="12">
        <v>2</v>
      </c>
      <c r="U8" s="12">
        <v>9</v>
      </c>
      <c r="V8" s="12">
        <v>9</v>
      </c>
      <c r="W8" s="12">
        <v>8</v>
      </c>
      <c r="X8" s="12">
        <v>7</v>
      </c>
      <c r="Y8" s="12">
        <v>7</v>
      </c>
      <c r="Z8" s="12">
        <v>8</v>
      </c>
      <c r="AA8" s="12">
        <v>9</v>
      </c>
      <c r="AB8" s="12">
        <v>8</v>
      </c>
      <c r="AC8" s="12">
        <v>9</v>
      </c>
      <c r="AD8" s="12">
        <v>9</v>
      </c>
      <c r="AE8" s="12">
        <v>8</v>
      </c>
      <c r="AF8" s="12">
        <v>8</v>
      </c>
      <c r="AG8" s="2" t="s">
        <v>196</v>
      </c>
      <c r="AH8" s="2" t="s">
        <v>197</v>
      </c>
      <c r="AI8" s="2" t="s">
        <v>198</v>
      </c>
      <c r="AJ8" s="2" t="s">
        <v>199</v>
      </c>
      <c r="AK8" s="2" t="s">
        <v>200</v>
      </c>
      <c r="AL8" s="2" t="s">
        <v>201</v>
      </c>
      <c r="AM8" s="2" t="s">
        <v>202</v>
      </c>
      <c r="AN8" s="2" t="s">
        <v>203</v>
      </c>
      <c r="AO8" s="2" t="s">
        <v>204</v>
      </c>
      <c r="AP8" s="2" t="s">
        <v>205</v>
      </c>
    </row>
    <row r="9" spans="1:42" x14ac:dyDescent="0.3">
      <c r="A9" s="53" t="s">
        <v>6691</v>
      </c>
      <c r="B9" s="156" t="s">
        <v>48</v>
      </c>
      <c r="C9" s="10">
        <v>36</v>
      </c>
      <c r="D9" s="150">
        <v>78</v>
      </c>
      <c r="E9" s="80">
        <f>TA_NQY!F16+TA_NQO!F16</f>
        <v>268.99999999998772</v>
      </c>
      <c r="F9" s="80">
        <v>375.99999999999801</v>
      </c>
      <c r="G9" s="6">
        <f>TA_NQY!G16+TA_NQO!G16</f>
        <v>15</v>
      </c>
      <c r="H9" s="118">
        <v>22</v>
      </c>
      <c r="I9" s="12">
        <v>2</v>
      </c>
      <c r="J9" s="12">
        <v>4</v>
      </c>
      <c r="K9" s="12">
        <v>5</v>
      </c>
      <c r="L9" s="12">
        <v>3</v>
      </c>
      <c r="M9" s="12">
        <v>5</v>
      </c>
      <c r="N9" s="12">
        <v>3</v>
      </c>
      <c r="O9" s="12">
        <v>10</v>
      </c>
      <c r="P9" s="12">
        <v>10</v>
      </c>
      <c r="Q9" s="12">
        <v>6</v>
      </c>
      <c r="R9" s="12">
        <v>2</v>
      </c>
      <c r="S9" s="12">
        <v>1</v>
      </c>
      <c r="T9" s="12">
        <v>1</v>
      </c>
      <c r="U9" s="12">
        <v>10</v>
      </c>
      <c r="V9" s="12">
        <v>10</v>
      </c>
      <c r="W9" s="12">
        <v>10</v>
      </c>
      <c r="X9" s="12">
        <v>10</v>
      </c>
      <c r="Y9" s="12">
        <v>10</v>
      </c>
      <c r="Z9" s="12">
        <v>7</v>
      </c>
      <c r="AA9" s="12">
        <v>7</v>
      </c>
      <c r="AB9" s="12">
        <v>10</v>
      </c>
      <c r="AC9" s="12">
        <v>10</v>
      </c>
      <c r="AD9" s="12">
        <v>10</v>
      </c>
      <c r="AE9" s="12">
        <v>3</v>
      </c>
      <c r="AF9" s="12">
        <v>3</v>
      </c>
      <c r="AG9" s="2" t="s">
        <v>206</v>
      </c>
      <c r="AH9" s="2" t="s">
        <v>207</v>
      </c>
      <c r="AI9" s="2" t="s">
        <v>208</v>
      </c>
      <c r="AJ9" s="2" t="s">
        <v>209</v>
      </c>
      <c r="AK9" s="2" t="s">
        <v>210</v>
      </c>
      <c r="AL9" s="2" t="s">
        <v>211</v>
      </c>
      <c r="AM9" s="2" t="s">
        <v>212</v>
      </c>
      <c r="AN9" s="2" t="s">
        <v>213</v>
      </c>
      <c r="AO9" s="2" t="s">
        <v>214</v>
      </c>
      <c r="AP9" s="2" t="s">
        <v>215</v>
      </c>
    </row>
    <row r="10" spans="1:42" x14ac:dyDescent="0.3">
      <c r="A10" s="53" t="s">
        <v>6692</v>
      </c>
      <c r="B10" s="153" t="s">
        <v>49</v>
      </c>
      <c r="C10" s="10">
        <v>33</v>
      </c>
      <c r="D10" s="112">
        <v>57</v>
      </c>
      <c r="E10" s="80">
        <f>TA_NQY!F17+TA_NQO!F17</f>
        <v>287.00000000000011</v>
      </c>
      <c r="F10" s="80">
        <v>359.00000000000176</v>
      </c>
      <c r="G10" s="6">
        <f>TA_NQY!G17+TA_NQO!G17</f>
        <v>17</v>
      </c>
      <c r="H10" s="6">
        <v>16</v>
      </c>
      <c r="I10" s="12">
        <v>4</v>
      </c>
      <c r="J10" s="12">
        <v>8</v>
      </c>
      <c r="K10" s="12">
        <v>6</v>
      </c>
      <c r="L10" s="12">
        <v>5</v>
      </c>
      <c r="M10" s="12">
        <v>6</v>
      </c>
      <c r="N10" s="12">
        <v>7</v>
      </c>
      <c r="O10" s="12">
        <v>9</v>
      </c>
      <c r="P10" s="12">
        <v>9</v>
      </c>
      <c r="Q10" s="12">
        <v>5</v>
      </c>
      <c r="R10" s="12">
        <v>7</v>
      </c>
      <c r="S10" s="12">
        <v>1</v>
      </c>
      <c r="T10" s="12">
        <v>2</v>
      </c>
      <c r="U10" s="12">
        <v>8</v>
      </c>
      <c r="V10" s="12">
        <v>9</v>
      </c>
      <c r="W10" s="12">
        <v>9</v>
      </c>
      <c r="X10" s="12">
        <v>6</v>
      </c>
      <c r="Y10" s="12">
        <v>8</v>
      </c>
      <c r="Z10" s="12">
        <v>9</v>
      </c>
      <c r="AA10" s="12">
        <v>8</v>
      </c>
      <c r="AB10" s="12">
        <v>9</v>
      </c>
      <c r="AC10" s="12">
        <v>8</v>
      </c>
      <c r="AD10" s="12">
        <v>8</v>
      </c>
      <c r="AE10" s="12">
        <v>6</v>
      </c>
      <c r="AF10" s="12">
        <v>7</v>
      </c>
      <c r="AG10" s="2" t="s">
        <v>216</v>
      </c>
      <c r="AH10" s="2" t="s">
        <v>217</v>
      </c>
      <c r="AI10" s="2" t="s">
        <v>218</v>
      </c>
      <c r="AJ10" s="2" t="s">
        <v>219</v>
      </c>
      <c r="AK10" s="2" t="s">
        <v>220</v>
      </c>
      <c r="AL10" s="2" t="s">
        <v>221</v>
      </c>
      <c r="AM10" s="2" t="s">
        <v>222</v>
      </c>
      <c r="AN10" s="2" t="s">
        <v>223</v>
      </c>
      <c r="AO10" s="2" t="s">
        <v>224</v>
      </c>
      <c r="AP10" s="2" t="s">
        <v>225</v>
      </c>
    </row>
    <row r="11" spans="1:42" x14ac:dyDescent="0.3">
      <c r="A11" s="53" t="s">
        <v>6692</v>
      </c>
      <c r="B11" s="153" t="s">
        <v>51</v>
      </c>
      <c r="C11" s="10">
        <v>29</v>
      </c>
      <c r="D11" s="10">
        <v>66</v>
      </c>
      <c r="E11" s="118">
        <f>TA_NQY!F19+TA_NQO!F19</f>
        <v>400.99999999999875</v>
      </c>
      <c r="F11" s="118">
        <v>471.99999999999864</v>
      </c>
      <c r="G11" s="118">
        <f>TA_NQY!G19+TA_NQO!G19</f>
        <v>22</v>
      </c>
      <c r="H11" s="6">
        <v>19</v>
      </c>
      <c r="I11" s="12">
        <v>2</v>
      </c>
      <c r="J11" s="12">
        <v>6</v>
      </c>
      <c r="K11" s="12">
        <v>2</v>
      </c>
      <c r="L11" s="12">
        <v>4</v>
      </c>
      <c r="M11" s="12">
        <v>2</v>
      </c>
      <c r="N11" s="12">
        <v>7</v>
      </c>
      <c r="O11" s="12">
        <v>9</v>
      </c>
      <c r="P11" s="12">
        <v>7</v>
      </c>
      <c r="Q11" s="12">
        <v>4</v>
      </c>
      <c r="R11" s="12">
        <v>7</v>
      </c>
      <c r="S11" s="12">
        <v>1</v>
      </c>
      <c r="T11" s="12">
        <v>3</v>
      </c>
      <c r="U11" s="12">
        <v>8</v>
      </c>
      <c r="V11" s="12">
        <v>7</v>
      </c>
      <c r="W11" s="12">
        <v>3</v>
      </c>
      <c r="X11" s="12">
        <v>2</v>
      </c>
      <c r="Y11" s="12">
        <v>8</v>
      </c>
      <c r="Z11" s="12">
        <v>6</v>
      </c>
      <c r="AA11" s="12">
        <v>8</v>
      </c>
      <c r="AB11" s="12">
        <v>6</v>
      </c>
      <c r="AC11" s="12">
        <v>8</v>
      </c>
      <c r="AD11" s="12">
        <v>9</v>
      </c>
      <c r="AE11" s="12">
        <v>2</v>
      </c>
      <c r="AF11" s="12">
        <v>2</v>
      </c>
      <c r="AG11" s="2" t="s">
        <v>135</v>
      </c>
      <c r="AH11" s="2" t="s">
        <v>235</v>
      </c>
      <c r="AI11" s="2" t="s">
        <v>236</v>
      </c>
      <c r="AJ11" s="2" t="s">
        <v>43</v>
      </c>
      <c r="AK11" s="2" t="s">
        <v>37</v>
      </c>
      <c r="AL11" s="2" t="s">
        <v>237</v>
      </c>
      <c r="AM11" s="2" t="s">
        <v>238</v>
      </c>
      <c r="AN11" s="2" t="s">
        <v>239</v>
      </c>
      <c r="AO11" s="2" t="s">
        <v>43</v>
      </c>
      <c r="AP11" s="2" t="s">
        <v>240</v>
      </c>
    </row>
    <row r="12" spans="1:42" s="147" customFormat="1" x14ac:dyDescent="0.3">
      <c r="A12" s="53" t="s">
        <v>6693</v>
      </c>
      <c r="B12" s="148" t="s">
        <v>52</v>
      </c>
      <c r="C12" s="10">
        <v>38</v>
      </c>
      <c r="D12" s="10">
        <v>61</v>
      </c>
      <c r="E12" s="80">
        <f>TA_NQY!F20+TA_NQO!F20</f>
        <v>346.00000000001251</v>
      </c>
      <c r="F12" s="80">
        <v>395.99999999999955</v>
      </c>
      <c r="G12" s="80">
        <f>TA_NQY!G20+TA_NQO!G20</f>
        <v>20</v>
      </c>
      <c r="H12" s="118">
        <v>22</v>
      </c>
      <c r="I12" s="12">
        <v>2</v>
      </c>
      <c r="J12" s="12">
        <v>3</v>
      </c>
      <c r="K12" s="12">
        <v>2</v>
      </c>
      <c r="L12" s="12">
        <v>3</v>
      </c>
      <c r="M12" s="12">
        <v>2</v>
      </c>
      <c r="N12" s="12">
        <v>5</v>
      </c>
      <c r="O12" s="12">
        <v>9</v>
      </c>
      <c r="P12" s="12">
        <v>9</v>
      </c>
      <c r="Q12" s="12">
        <v>3</v>
      </c>
      <c r="R12" s="12">
        <v>6</v>
      </c>
      <c r="S12" s="12">
        <v>1</v>
      </c>
      <c r="T12" s="12">
        <v>1</v>
      </c>
      <c r="U12" s="12">
        <v>9</v>
      </c>
      <c r="V12" s="12">
        <v>9</v>
      </c>
      <c r="W12" s="12">
        <v>8</v>
      </c>
      <c r="X12" s="12">
        <v>7</v>
      </c>
      <c r="Y12" s="12">
        <v>8</v>
      </c>
      <c r="Z12" s="12">
        <v>7</v>
      </c>
      <c r="AA12" s="12">
        <v>8</v>
      </c>
      <c r="AB12" s="12">
        <v>7</v>
      </c>
      <c r="AC12" s="12">
        <v>10</v>
      </c>
      <c r="AD12" s="12">
        <v>10</v>
      </c>
      <c r="AE12" s="12">
        <v>2</v>
      </c>
      <c r="AF12" s="12">
        <v>2</v>
      </c>
      <c r="AG12" s="149" t="s">
        <v>241</v>
      </c>
      <c r="AH12" s="11" t="s">
        <v>242</v>
      </c>
      <c r="AI12" s="11" t="s">
        <v>243</v>
      </c>
      <c r="AJ12" s="11" t="s">
        <v>244</v>
      </c>
      <c r="AK12" s="11" t="s">
        <v>245</v>
      </c>
      <c r="AL12" s="11" t="s">
        <v>246</v>
      </c>
      <c r="AM12" s="11" t="s">
        <v>247</v>
      </c>
      <c r="AN12" s="11" t="s">
        <v>248</v>
      </c>
      <c r="AO12" s="11" t="s">
        <v>249</v>
      </c>
      <c r="AP12" s="11" t="s">
        <v>250</v>
      </c>
    </row>
    <row r="13" spans="1:42" x14ac:dyDescent="0.3">
      <c r="A13" s="53" t="s">
        <v>6694</v>
      </c>
      <c r="B13" s="119" t="s">
        <v>53</v>
      </c>
      <c r="C13" s="10">
        <v>34</v>
      </c>
      <c r="D13" s="10">
        <v>65</v>
      </c>
      <c r="E13" s="118">
        <f>TA_NQY!F21+TA_NQO!F21</f>
        <v>409.00000000000318</v>
      </c>
      <c r="F13" s="80">
        <v>402.00000000000529</v>
      </c>
      <c r="G13" s="118">
        <f>TA_NQY!G21+TA_NQO!G21</f>
        <v>22</v>
      </c>
      <c r="H13" s="118">
        <v>22</v>
      </c>
      <c r="I13" s="12">
        <v>8</v>
      </c>
      <c r="J13" s="12">
        <v>4</v>
      </c>
      <c r="K13" s="12">
        <v>3</v>
      </c>
      <c r="L13" s="12">
        <v>3</v>
      </c>
      <c r="M13" s="12">
        <v>8</v>
      </c>
      <c r="N13" s="12">
        <v>4</v>
      </c>
      <c r="O13" s="12">
        <v>10</v>
      </c>
      <c r="P13" s="12">
        <v>10</v>
      </c>
      <c r="Q13" s="12">
        <v>3</v>
      </c>
      <c r="R13" s="12">
        <v>10</v>
      </c>
      <c r="S13" s="12">
        <v>8</v>
      </c>
      <c r="T13" s="12">
        <v>3</v>
      </c>
      <c r="U13" s="12">
        <v>10</v>
      </c>
      <c r="V13" s="12">
        <v>10</v>
      </c>
      <c r="W13" s="12">
        <v>10</v>
      </c>
      <c r="X13" s="12">
        <v>10</v>
      </c>
      <c r="Y13" s="12">
        <v>10</v>
      </c>
      <c r="Z13" s="12">
        <v>9</v>
      </c>
      <c r="AA13" s="12">
        <v>10</v>
      </c>
      <c r="AB13" s="12">
        <v>10</v>
      </c>
      <c r="AC13" s="12">
        <v>9</v>
      </c>
      <c r="AD13" s="12">
        <v>10</v>
      </c>
      <c r="AE13" s="12">
        <v>1</v>
      </c>
      <c r="AF13" s="12">
        <v>1</v>
      </c>
      <c r="AG13" s="2" t="s">
        <v>251</v>
      </c>
      <c r="AH13" s="2" t="s">
        <v>252</v>
      </c>
      <c r="AI13" s="2" t="s">
        <v>253</v>
      </c>
      <c r="AJ13" s="2" t="s">
        <v>254</v>
      </c>
      <c r="AK13" s="2" t="s">
        <v>255</v>
      </c>
      <c r="AL13" s="2" t="s">
        <v>256</v>
      </c>
      <c r="AM13" s="2" t="s">
        <v>257</v>
      </c>
      <c r="AN13" s="2" t="s">
        <v>258</v>
      </c>
      <c r="AO13" s="2" t="s">
        <v>259</v>
      </c>
      <c r="AP13" s="2" t="s">
        <v>260</v>
      </c>
    </row>
    <row r="14" spans="1:42" s="147" customFormat="1" x14ac:dyDescent="0.3">
      <c r="A14" s="53" t="s">
        <v>6695</v>
      </c>
      <c r="B14" s="120" t="s">
        <v>66</v>
      </c>
      <c r="C14" s="10">
        <v>34</v>
      </c>
      <c r="D14" s="10">
        <v>62</v>
      </c>
      <c r="E14" s="80">
        <f>TA_NQY!F22+TA_NQO!F22</f>
        <v>369.9999999999971</v>
      </c>
      <c r="F14" s="118">
        <v>561.00000000000136</v>
      </c>
      <c r="G14" s="118">
        <f>TA_NQY!G22+TA_NQO!G22</f>
        <v>22</v>
      </c>
      <c r="H14" s="118">
        <v>22</v>
      </c>
      <c r="I14" s="12">
        <v>1</v>
      </c>
      <c r="J14" s="12">
        <v>3</v>
      </c>
      <c r="K14" s="12">
        <v>4</v>
      </c>
      <c r="L14" s="12">
        <v>3</v>
      </c>
      <c r="M14" s="12">
        <v>3</v>
      </c>
      <c r="N14" s="12">
        <v>4</v>
      </c>
      <c r="O14" s="12">
        <v>3</v>
      </c>
      <c r="P14" s="12">
        <v>8</v>
      </c>
      <c r="Q14" s="12">
        <v>1</v>
      </c>
      <c r="R14" s="12">
        <v>5</v>
      </c>
      <c r="S14" s="12">
        <v>1</v>
      </c>
      <c r="T14" s="12">
        <v>7</v>
      </c>
      <c r="U14" s="12">
        <v>3</v>
      </c>
      <c r="V14" s="12">
        <v>6</v>
      </c>
      <c r="W14" s="12">
        <v>2</v>
      </c>
      <c r="X14" s="12">
        <v>7</v>
      </c>
      <c r="Y14" s="12">
        <v>4</v>
      </c>
      <c r="Z14" s="12">
        <v>5</v>
      </c>
      <c r="AA14" s="12">
        <v>4</v>
      </c>
      <c r="AB14" s="12">
        <v>3</v>
      </c>
      <c r="AC14" s="12">
        <v>1</v>
      </c>
      <c r="AD14" s="12">
        <v>1</v>
      </c>
      <c r="AE14" s="12">
        <v>1</v>
      </c>
      <c r="AF14" s="12">
        <v>1</v>
      </c>
      <c r="AG14" s="149" t="s">
        <v>261</v>
      </c>
      <c r="AH14" s="11" t="s">
        <v>262</v>
      </c>
      <c r="AI14" s="11" t="s">
        <v>263</v>
      </c>
      <c r="AJ14" s="11" t="s">
        <v>264</v>
      </c>
      <c r="AK14" s="11" t="s">
        <v>102</v>
      </c>
      <c r="AL14" s="11" t="s">
        <v>102</v>
      </c>
      <c r="AM14" s="11" t="s">
        <v>265</v>
      </c>
      <c r="AN14" s="11" t="s">
        <v>266</v>
      </c>
      <c r="AO14" s="11" t="s">
        <v>267</v>
      </c>
      <c r="AP14" s="11" t="s">
        <v>268</v>
      </c>
    </row>
    <row r="15" spans="1:42" x14ac:dyDescent="0.3">
      <c r="A15" s="53" t="s">
        <v>6696</v>
      </c>
      <c r="B15" s="152" t="s">
        <v>54</v>
      </c>
      <c r="C15" s="10">
        <v>32</v>
      </c>
      <c r="D15" s="10">
        <v>72</v>
      </c>
      <c r="E15" s="80">
        <f>TA_NQY!F23+TA_NQO!F23</f>
        <v>334.99999999999801</v>
      </c>
      <c r="F15" s="144">
        <v>300.00000000000853</v>
      </c>
      <c r="G15" s="113">
        <f>TA_NQY!G23+TA_NQO!G23</f>
        <v>20</v>
      </c>
      <c r="H15" s="6">
        <v>18</v>
      </c>
      <c r="I15" s="12">
        <v>2</v>
      </c>
      <c r="J15" s="12">
        <v>4</v>
      </c>
      <c r="K15" s="12">
        <v>2</v>
      </c>
      <c r="L15" s="12">
        <v>2</v>
      </c>
      <c r="M15" s="12">
        <v>2</v>
      </c>
      <c r="N15" s="12">
        <v>5</v>
      </c>
      <c r="O15" s="12">
        <v>10</v>
      </c>
      <c r="P15" s="12">
        <v>8</v>
      </c>
      <c r="Q15" s="12">
        <v>2</v>
      </c>
      <c r="R15" s="12">
        <v>5</v>
      </c>
      <c r="S15" s="12">
        <v>1</v>
      </c>
      <c r="T15" s="12">
        <v>3</v>
      </c>
      <c r="U15" s="12">
        <v>10</v>
      </c>
      <c r="V15" s="12">
        <v>10</v>
      </c>
      <c r="W15" s="12">
        <v>8</v>
      </c>
      <c r="X15" s="12">
        <v>9</v>
      </c>
      <c r="Y15" s="12">
        <v>8</v>
      </c>
      <c r="Z15" s="12">
        <v>9</v>
      </c>
      <c r="AA15" s="12">
        <v>7</v>
      </c>
      <c r="AB15" s="12">
        <v>8</v>
      </c>
      <c r="AC15" s="12">
        <v>10</v>
      </c>
      <c r="AD15" s="12">
        <v>10</v>
      </c>
      <c r="AE15" s="12">
        <v>7</v>
      </c>
      <c r="AF15" s="12">
        <v>8</v>
      </c>
      <c r="AG15" s="2" t="s">
        <v>187</v>
      </c>
      <c r="AH15" s="2" t="s">
        <v>269</v>
      </c>
      <c r="AI15" s="2" t="s">
        <v>270</v>
      </c>
      <c r="AJ15" s="2" t="s">
        <v>271</v>
      </c>
      <c r="AK15" s="2" t="s">
        <v>104</v>
      </c>
      <c r="AL15" s="2" t="s">
        <v>272</v>
      </c>
      <c r="AM15" s="2" t="s">
        <v>104</v>
      </c>
      <c r="AN15" s="2" t="s">
        <v>273</v>
      </c>
      <c r="AO15" s="2" t="s">
        <v>102</v>
      </c>
      <c r="AP15" s="2" t="s">
        <v>274</v>
      </c>
    </row>
    <row r="16" spans="1:42" s="147" customFormat="1" x14ac:dyDescent="0.3">
      <c r="A16" s="53" t="s">
        <v>6697</v>
      </c>
      <c r="B16" s="148" t="s">
        <v>55</v>
      </c>
      <c r="C16" s="112">
        <v>24</v>
      </c>
      <c r="D16" s="10">
        <v>66</v>
      </c>
      <c r="E16" s="80">
        <f>TA_NQY!F24+TA_NQO!F24</f>
        <v>305.0000000000029</v>
      </c>
      <c r="F16" s="80">
        <v>409.99999999999056</v>
      </c>
      <c r="G16" s="80">
        <f>TA_NQY!G24+TA_NQO!G24</f>
        <v>16</v>
      </c>
      <c r="H16" s="80">
        <v>16</v>
      </c>
      <c r="I16" s="12">
        <v>8</v>
      </c>
      <c r="J16" s="12">
        <v>7</v>
      </c>
      <c r="K16" s="12">
        <v>8</v>
      </c>
      <c r="L16" s="12">
        <v>9</v>
      </c>
      <c r="M16" s="12">
        <v>9</v>
      </c>
      <c r="N16" s="12">
        <v>8</v>
      </c>
      <c r="O16" s="12">
        <v>9</v>
      </c>
      <c r="P16" s="12">
        <v>10</v>
      </c>
      <c r="Q16" s="12">
        <v>8</v>
      </c>
      <c r="R16" s="12">
        <v>7</v>
      </c>
      <c r="S16" s="12">
        <v>1</v>
      </c>
      <c r="T16" s="12">
        <v>2</v>
      </c>
      <c r="U16" s="12">
        <v>9</v>
      </c>
      <c r="V16" s="12">
        <v>9</v>
      </c>
      <c r="W16" s="12">
        <v>10</v>
      </c>
      <c r="X16" s="12">
        <v>10</v>
      </c>
      <c r="Y16" s="12">
        <v>10</v>
      </c>
      <c r="Z16" s="12">
        <v>9</v>
      </c>
      <c r="AA16" s="12">
        <v>10</v>
      </c>
      <c r="AB16" s="12">
        <v>9</v>
      </c>
      <c r="AC16" s="12">
        <v>9</v>
      </c>
      <c r="AD16" s="12">
        <v>9</v>
      </c>
      <c r="AE16" s="12">
        <v>3</v>
      </c>
      <c r="AF16" s="12">
        <v>4</v>
      </c>
      <c r="AG16" s="149" t="s">
        <v>275</v>
      </c>
      <c r="AH16" s="11" t="s">
        <v>276</v>
      </c>
      <c r="AI16" s="11" t="s">
        <v>277</v>
      </c>
      <c r="AJ16" s="11" t="s">
        <v>278</v>
      </c>
      <c r="AK16" s="11" t="s">
        <v>230</v>
      </c>
      <c r="AL16" s="11" t="s">
        <v>279</v>
      </c>
      <c r="AM16" s="11" t="s">
        <v>280</v>
      </c>
      <c r="AN16" s="11" t="s">
        <v>281</v>
      </c>
      <c r="AO16" s="11" t="s">
        <v>282</v>
      </c>
      <c r="AP16" s="11" t="s">
        <v>283</v>
      </c>
    </row>
    <row r="17" spans="1:42" x14ac:dyDescent="0.3">
      <c r="A17" s="53" t="s">
        <v>6688</v>
      </c>
      <c r="B17" s="156" t="s">
        <v>56</v>
      </c>
      <c r="C17" s="10">
        <v>35</v>
      </c>
      <c r="D17" s="10">
        <v>69</v>
      </c>
      <c r="E17" s="80">
        <f>TA_NQY!F25+TA_NQO!F25</f>
        <v>294.99999999999977</v>
      </c>
      <c r="F17" s="80">
        <v>412.00000000000364</v>
      </c>
      <c r="G17" s="6">
        <f>TA_NQY!G25+TA_NQO!G25</f>
        <v>17</v>
      </c>
      <c r="H17" s="118">
        <v>22</v>
      </c>
      <c r="I17" s="12">
        <v>2</v>
      </c>
      <c r="J17" s="12">
        <v>6</v>
      </c>
      <c r="K17" s="12">
        <v>4</v>
      </c>
      <c r="L17" s="12">
        <v>2</v>
      </c>
      <c r="M17" s="12">
        <v>2</v>
      </c>
      <c r="N17" s="12">
        <v>5</v>
      </c>
      <c r="O17" s="12">
        <v>10</v>
      </c>
      <c r="P17" s="12">
        <v>10</v>
      </c>
      <c r="Q17" s="12">
        <v>3</v>
      </c>
      <c r="R17" s="12">
        <v>4</v>
      </c>
      <c r="S17" s="12">
        <v>1</v>
      </c>
      <c r="T17" s="12">
        <v>2</v>
      </c>
      <c r="U17" s="12">
        <v>9</v>
      </c>
      <c r="V17" s="12">
        <v>10</v>
      </c>
      <c r="W17" s="12">
        <v>10</v>
      </c>
      <c r="X17" s="12">
        <v>10</v>
      </c>
      <c r="Y17" s="12">
        <v>8</v>
      </c>
      <c r="Z17" s="12">
        <v>9</v>
      </c>
      <c r="AA17" s="12">
        <v>8</v>
      </c>
      <c r="AB17" s="12">
        <v>9</v>
      </c>
      <c r="AC17" s="12">
        <v>9</v>
      </c>
      <c r="AD17" s="12">
        <v>10</v>
      </c>
      <c r="AE17" s="12">
        <v>6</v>
      </c>
      <c r="AF17" s="12">
        <v>2</v>
      </c>
      <c r="AG17" s="2" t="s">
        <v>196</v>
      </c>
      <c r="AH17" s="2" t="s">
        <v>284</v>
      </c>
      <c r="AI17" s="2" t="s">
        <v>285</v>
      </c>
      <c r="AJ17" s="2" t="s">
        <v>286</v>
      </c>
      <c r="AK17" s="2" t="s">
        <v>287</v>
      </c>
      <c r="AL17" s="2" t="s">
        <v>288</v>
      </c>
      <c r="AM17" s="2" t="s">
        <v>289</v>
      </c>
      <c r="AN17" s="2" t="s">
        <v>290</v>
      </c>
      <c r="AO17" s="2" t="s">
        <v>291</v>
      </c>
      <c r="AP17" s="2" t="s">
        <v>292</v>
      </c>
    </row>
    <row r="18" spans="1:42" x14ac:dyDescent="0.3">
      <c r="A18" s="53" t="s">
        <v>6688</v>
      </c>
      <c r="B18" s="156" t="s">
        <v>57</v>
      </c>
      <c r="C18" s="10">
        <v>31</v>
      </c>
      <c r="D18" s="10">
        <v>72</v>
      </c>
      <c r="E18" s="116">
        <f>TA_NQY!F26+TA_NQO!F26</f>
        <v>220.00000000000242</v>
      </c>
      <c r="F18" s="80">
        <v>325.99999999998704</v>
      </c>
      <c r="G18" s="6">
        <f>TA_NQY!G26+TA_NQO!G26</f>
        <v>12</v>
      </c>
      <c r="H18" s="6">
        <v>18</v>
      </c>
      <c r="I18" s="12">
        <v>3</v>
      </c>
      <c r="J18" s="12">
        <v>6</v>
      </c>
      <c r="K18" s="12">
        <v>4</v>
      </c>
      <c r="L18" s="12">
        <v>4</v>
      </c>
      <c r="M18" s="12">
        <v>3</v>
      </c>
      <c r="N18" s="12">
        <v>7</v>
      </c>
      <c r="O18" s="12">
        <v>10</v>
      </c>
      <c r="P18" s="12">
        <v>9</v>
      </c>
      <c r="Q18" s="12">
        <v>3</v>
      </c>
      <c r="R18" s="12">
        <v>6</v>
      </c>
      <c r="S18" s="12">
        <v>2</v>
      </c>
      <c r="T18" s="12">
        <v>1</v>
      </c>
      <c r="U18" s="12">
        <v>6</v>
      </c>
      <c r="V18" s="12">
        <v>8</v>
      </c>
      <c r="W18" s="12">
        <v>7</v>
      </c>
      <c r="X18" s="12">
        <v>8</v>
      </c>
      <c r="Y18" s="12">
        <v>8</v>
      </c>
      <c r="Z18" s="12">
        <v>7</v>
      </c>
      <c r="AA18" s="12">
        <v>7</v>
      </c>
      <c r="AB18" s="12">
        <v>7</v>
      </c>
      <c r="AC18" s="12">
        <v>9</v>
      </c>
      <c r="AD18" s="12">
        <v>9</v>
      </c>
      <c r="AE18" s="12">
        <v>3</v>
      </c>
      <c r="AF18" s="12">
        <v>6</v>
      </c>
      <c r="AG18" s="2" t="s">
        <v>293</v>
      </c>
      <c r="AH18" s="2" t="s">
        <v>294</v>
      </c>
      <c r="AI18" s="2" t="s">
        <v>295</v>
      </c>
      <c r="AJ18" s="2" t="s">
        <v>296</v>
      </c>
      <c r="AK18" s="2" t="s">
        <v>104</v>
      </c>
      <c r="AL18" s="2" t="s">
        <v>297</v>
      </c>
      <c r="AM18" s="2" t="s">
        <v>298</v>
      </c>
      <c r="AN18" s="2" t="s">
        <v>299</v>
      </c>
      <c r="AO18" s="2" t="s">
        <v>300</v>
      </c>
      <c r="AP18" s="2" t="s">
        <v>301</v>
      </c>
    </row>
    <row r="19" spans="1:42" x14ac:dyDescent="0.3">
      <c r="A19" s="53" t="s">
        <v>6698</v>
      </c>
      <c r="B19" s="117" t="s">
        <v>58</v>
      </c>
      <c r="C19" s="10">
        <v>37</v>
      </c>
      <c r="D19" s="112">
        <v>56</v>
      </c>
      <c r="E19" s="116">
        <f>TA_NQY!F27+TA_NQO!F27</f>
        <v>239.99999999999915</v>
      </c>
      <c r="F19" s="144">
        <v>259.99999999999591</v>
      </c>
      <c r="G19" s="116">
        <f>TA_NQY!G27+TA_NQO!G27</f>
        <v>11</v>
      </c>
      <c r="H19" s="116">
        <v>12</v>
      </c>
      <c r="I19" s="12">
        <v>2</v>
      </c>
      <c r="J19" s="12">
        <v>4</v>
      </c>
      <c r="K19" s="12">
        <v>2</v>
      </c>
      <c r="L19" s="12">
        <v>2</v>
      </c>
      <c r="M19" s="12">
        <v>3</v>
      </c>
      <c r="N19" s="12">
        <v>5</v>
      </c>
      <c r="O19" s="12">
        <v>10</v>
      </c>
      <c r="P19" s="12">
        <v>10</v>
      </c>
      <c r="Q19" s="12">
        <v>3</v>
      </c>
      <c r="R19" s="12">
        <v>5</v>
      </c>
      <c r="S19" s="12">
        <v>1</v>
      </c>
      <c r="T19" s="12">
        <v>1</v>
      </c>
      <c r="U19" s="12">
        <v>10</v>
      </c>
      <c r="V19" s="12">
        <v>10</v>
      </c>
      <c r="W19" s="12">
        <v>10</v>
      </c>
      <c r="X19" s="12">
        <v>10</v>
      </c>
      <c r="Y19" s="12">
        <v>10</v>
      </c>
      <c r="Z19" s="12">
        <v>10</v>
      </c>
      <c r="AA19" s="12">
        <v>10</v>
      </c>
      <c r="AB19" s="12">
        <v>10</v>
      </c>
      <c r="AC19" s="12">
        <v>10</v>
      </c>
      <c r="AD19" s="12">
        <v>10</v>
      </c>
      <c r="AE19" s="12">
        <v>4</v>
      </c>
      <c r="AF19" s="12">
        <v>4</v>
      </c>
      <c r="AG19" s="2" t="s">
        <v>206</v>
      </c>
      <c r="AH19" s="2" t="s">
        <v>302</v>
      </c>
      <c r="AI19" s="2" t="s">
        <v>303</v>
      </c>
      <c r="AJ19" s="2" t="s">
        <v>304</v>
      </c>
      <c r="AK19" s="2" t="s">
        <v>305</v>
      </c>
      <c r="AL19" s="2" t="s">
        <v>306</v>
      </c>
      <c r="AM19" s="2" t="s">
        <v>307</v>
      </c>
      <c r="AN19" s="2" t="s">
        <v>308</v>
      </c>
      <c r="AO19" s="2" t="s">
        <v>43</v>
      </c>
      <c r="AP19" s="2" t="s">
        <v>309</v>
      </c>
    </row>
    <row r="20" spans="1:42" x14ac:dyDescent="0.3">
      <c r="A20" s="53" t="s">
        <v>6699</v>
      </c>
      <c r="B20" s="151" t="s">
        <v>60</v>
      </c>
      <c r="C20" s="112">
        <v>26</v>
      </c>
      <c r="D20" s="10">
        <v>72</v>
      </c>
      <c r="E20" s="118">
        <f>TA_NQY!F29+TA_NQO!F29</f>
        <v>387.00000000000296</v>
      </c>
      <c r="F20" s="80">
        <v>370.99999999999403</v>
      </c>
      <c r="G20" s="6">
        <f>TA_NQY!G29+TA_NQO!G29</f>
        <v>17</v>
      </c>
      <c r="H20" s="6">
        <v>17</v>
      </c>
      <c r="I20" s="12">
        <v>3</v>
      </c>
      <c r="J20" s="12">
        <v>6</v>
      </c>
      <c r="K20" s="12">
        <v>2</v>
      </c>
      <c r="L20" s="12">
        <v>2</v>
      </c>
      <c r="M20" s="12">
        <v>5</v>
      </c>
      <c r="N20" s="12">
        <v>5</v>
      </c>
      <c r="O20" s="12">
        <v>10</v>
      </c>
      <c r="P20" s="12">
        <v>9</v>
      </c>
      <c r="Q20" s="12">
        <v>6</v>
      </c>
      <c r="R20" s="12">
        <v>4</v>
      </c>
      <c r="S20" s="12">
        <v>4</v>
      </c>
      <c r="T20" s="12">
        <v>7</v>
      </c>
      <c r="U20" s="12">
        <v>10</v>
      </c>
      <c r="V20" s="12">
        <v>8</v>
      </c>
      <c r="W20" s="12">
        <v>6</v>
      </c>
      <c r="X20" s="12">
        <v>8</v>
      </c>
      <c r="Y20" s="12">
        <v>9</v>
      </c>
      <c r="Z20" s="12">
        <v>8</v>
      </c>
      <c r="AA20" s="12">
        <v>9</v>
      </c>
      <c r="AB20" s="12">
        <v>7</v>
      </c>
      <c r="AC20" s="12">
        <v>9</v>
      </c>
      <c r="AD20" s="12">
        <v>10</v>
      </c>
      <c r="AE20" s="12">
        <v>8</v>
      </c>
      <c r="AF20" s="12">
        <v>9</v>
      </c>
      <c r="AG20" s="2" t="s">
        <v>161</v>
      </c>
      <c r="AH20" s="2" t="s">
        <v>319</v>
      </c>
      <c r="AI20" s="2" t="s">
        <v>320</v>
      </c>
      <c r="AJ20" s="2" t="s">
        <v>321</v>
      </c>
      <c r="AK20" s="2" t="s">
        <v>322</v>
      </c>
      <c r="AL20" s="2" t="s">
        <v>323</v>
      </c>
      <c r="AM20" s="2" t="s">
        <v>324</v>
      </c>
      <c r="AN20" s="2" t="s">
        <v>325</v>
      </c>
      <c r="AO20" s="2" t="s">
        <v>326</v>
      </c>
      <c r="AP20" s="2" t="s">
        <v>327</v>
      </c>
    </row>
    <row r="21" spans="1:42" x14ac:dyDescent="0.3">
      <c r="A21" s="53" t="s">
        <v>6688</v>
      </c>
      <c r="B21" s="114" t="s">
        <v>61</v>
      </c>
      <c r="C21" s="150">
        <v>39</v>
      </c>
      <c r="D21" s="10">
        <v>68</v>
      </c>
      <c r="E21" s="80">
        <f>TA_NQY!F30+TA_NQO!F30</f>
        <v>310.99999999999426</v>
      </c>
      <c r="F21" s="80">
        <v>416.99999999999801</v>
      </c>
      <c r="G21" s="6">
        <f>TA_NQY!G30+TA_NQO!G30</f>
        <v>18</v>
      </c>
      <c r="H21" s="6">
        <v>20</v>
      </c>
      <c r="I21" s="12">
        <v>2</v>
      </c>
      <c r="J21" s="12">
        <v>4</v>
      </c>
      <c r="K21" s="12">
        <v>2</v>
      </c>
      <c r="L21" s="12">
        <v>2</v>
      </c>
      <c r="M21" s="12">
        <v>3</v>
      </c>
      <c r="N21" s="12">
        <v>6</v>
      </c>
      <c r="O21" s="12">
        <v>10</v>
      </c>
      <c r="P21" s="12">
        <v>10</v>
      </c>
      <c r="Q21" s="12">
        <v>5</v>
      </c>
      <c r="R21" s="12">
        <v>7</v>
      </c>
      <c r="S21" s="12">
        <v>3</v>
      </c>
      <c r="T21" s="12">
        <v>5</v>
      </c>
      <c r="U21" s="12">
        <v>10</v>
      </c>
      <c r="V21" s="12">
        <v>9</v>
      </c>
      <c r="W21" s="12">
        <v>10</v>
      </c>
      <c r="X21" s="12">
        <v>9</v>
      </c>
      <c r="Y21" s="12">
        <v>10</v>
      </c>
      <c r="Z21" s="12">
        <v>8</v>
      </c>
      <c r="AA21" s="12">
        <v>10</v>
      </c>
      <c r="AB21" s="12">
        <v>9</v>
      </c>
      <c r="AC21" s="12">
        <v>9</v>
      </c>
      <c r="AD21" s="12">
        <v>9</v>
      </c>
      <c r="AE21" s="12">
        <v>6</v>
      </c>
      <c r="AF21" s="12">
        <v>7</v>
      </c>
      <c r="AG21" s="2" t="s">
        <v>328</v>
      </c>
      <c r="AH21" s="2" t="s">
        <v>329</v>
      </c>
      <c r="AI21" s="2" t="s">
        <v>330</v>
      </c>
      <c r="AJ21" s="2" t="s">
        <v>331</v>
      </c>
      <c r="AK21" s="2" t="s">
        <v>104</v>
      </c>
      <c r="AL21" s="2" t="s">
        <v>104</v>
      </c>
      <c r="AM21" s="2" t="s">
        <v>332</v>
      </c>
      <c r="AN21" s="2" t="s">
        <v>333</v>
      </c>
      <c r="AO21" s="2" t="s">
        <v>334</v>
      </c>
      <c r="AP21" s="2" t="s">
        <v>335</v>
      </c>
    </row>
    <row r="22" spans="1:42" x14ac:dyDescent="0.3">
      <c r="A22" s="53" t="s">
        <v>6700</v>
      </c>
      <c r="B22" s="152" t="s">
        <v>62</v>
      </c>
      <c r="C22" s="10">
        <v>31</v>
      </c>
      <c r="D22" s="10">
        <v>64</v>
      </c>
      <c r="E22" s="80">
        <f>TA_NQY!F31+TA_NQO!F31</f>
        <v>297.99999999999545</v>
      </c>
      <c r="F22" s="144">
        <v>280.9999999999992</v>
      </c>
      <c r="G22" s="6">
        <f>TA_NQY!G31+TA_NQO!G31</f>
        <v>17</v>
      </c>
      <c r="H22" s="6">
        <v>16</v>
      </c>
      <c r="I22" s="12">
        <v>6</v>
      </c>
      <c r="J22" s="12">
        <v>9</v>
      </c>
      <c r="K22" s="12">
        <v>3</v>
      </c>
      <c r="L22" s="12">
        <v>4</v>
      </c>
      <c r="M22" s="12">
        <v>3</v>
      </c>
      <c r="N22" s="12">
        <v>7</v>
      </c>
      <c r="O22" s="12">
        <v>10</v>
      </c>
      <c r="P22" s="12">
        <v>9</v>
      </c>
      <c r="Q22" s="12">
        <v>8</v>
      </c>
      <c r="R22" s="12">
        <v>9</v>
      </c>
      <c r="S22" s="12">
        <v>8</v>
      </c>
      <c r="T22" s="12">
        <v>4</v>
      </c>
      <c r="U22" s="12">
        <v>7</v>
      </c>
      <c r="V22" s="12">
        <v>8</v>
      </c>
      <c r="W22" s="12">
        <v>8</v>
      </c>
      <c r="X22" s="12">
        <v>9</v>
      </c>
      <c r="Y22" s="12">
        <v>6</v>
      </c>
      <c r="Z22" s="12">
        <v>10</v>
      </c>
      <c r="AA22" s="12">
        <v>6</v>
      </c>
      <c r="AB22" s="12">
        <v>9</v>
      </c>
      <c r="AC22" s="12">
        <v>8</v>
      </c>
      <c r="AD22" s="12">
        <v>10</v>
      </c>
      <c r="AE22" s="12">
        <v>8</v>
      </c>
      <c r="AF22" s="12">
        <v>10</v>
      </c>
      <c r="AG22" s="2" t="s">
        <v>336</v>
      </c>
      <c r="AH22" s="2" t="s">
        <v>337</v>
      </c>
      <c r="AI22" s="2" t="s">
        <v>338</v>
      </c>
      <c r="AJ22" s="2" t="s">
        <v>43</v>
      </c>
      <c r="AK22" s="2" t="s">
        <v>339</v>
      </c>
      <c r="AL22" s="2" t="s">
        <v>340</v>
      </c>
      <c r="AM22" s="2" t="s">
        <v>341</v>
      </c>
      <c r="AN22" s="2" t="s">
        <v>342</v>
      </c>
      <c r="AO22" s="2" t="s">
        <v>343</v>
      </c>
      <c r="AP22" s="2" t="s">
        <v>344</v>
      </c>
    </row>
    <row r="23" spans="1:42" x14ac:dyDescent="0.3">
      <c r="A23" s="53" t="s">
        <v>6688</v>
      </c>
      <c r="B23" s="156" t="s">
        <v>63</v>
      </c>
      <c r="C23" s="10">
        <v>30</v>
      </c>
      <c r="D23" s="10">
        <v>68</v>
      </c>
      <c r="E23" s="116">
        <f>TA_NQY!F32+TA_NQO!F32</f>
        <v>236.00000000001131</v>
      </c>
      <c r="F23" s="80">
        <v>373.00000000000716</v>
      </c>
      <c r="G23" s="6">
        <f>TA_NQY!G32+TA_NQO!G32</f>
        <v>13</v>
      </c>
      <c r="H23" s="6">
        <v>17</v>
      </c>
      <c r="I23" s="12">
        <v>2</v>
      </c>
      <c r="J23" s="12">
        <v>7</v>
      </c>
      <c r="K23" s="12">
        <v>3</v>
      </c>
      <c r="L23" s="12">
        <v>3</v>
      </c>
      <c r="M23" s="12">
        <v>5</v>
      </c>
      <c r="N23" s="12">
        <v>7</v>
      </c>
      <c r="O23" s="12">
        <v>8</v>
      </c>
      <c r="P23" s="12">
        <v>8</v>
      </c>
      <c r="Q23" s="12">
        <v>5</v>
      </c>
      <c r="R23" s="12">
        <v>3</v>
      </c>
      <c r="S23" s="12">
        <v>2</v>
      </c>
      <c r="T23" s="12">
        <v>2</v>
      </c>
      <c r="U23" s="12">
        <v>7</v>
      </c>
      <c r="V23" s="12">
        <v>8</v>
      </c>
      <c r="W23" s="12">
        <v>8</v>
      </c>
      <c r="X23" s="12">
        <v>9</v>
      </c>
      <c r="Y23" s="12">
        <v>6</v>
      </c>
      <c r="Z23" s="12">
        <v>7</v>
      </c>
      <c r="AA23" s="12">
        <v>5</v>
      </c>
      <c r="AB23" s="12">
        <v>6</v>
      </c>
      <c r="AC23" s="12">
        <v>9</v>
      </c>
      <c r="AD23" s="12">
        <v>9</v>
      </c>
      <c r="AE23" s="12">
        <v>7</v>
      </c>
      <c r="AF23" s="12">
        <v>7</v>
      </c>
      <c r="AG23" s="2" t="s">
        <v>345</v>
      </c>
      <c r="AH23" s="2" t="s">
        <v>346</v>
      </c>
      <c r="AI23" s="2" t="s">
        <v>347</v>
      </c>
      <c r="AJ23" s="2" t="s">
        <v>348</v>
      </c>
      <c r="AK23" s="2" t="s">
        <v>230</v>
      </c>
      <c r="AL23" s="2" t="s">
        <v>349</v>
      </c>
      <c r="AM23" s="2" t="s">
        <v>350</v>
      </c>
      <c r="AN23" s="2" t="s">
        <v>351</v>
      </c>
      <c r="AO23" s="2" t="s">
        <v>352</v>
      </c>
      <c r="AP23" s="2" t="s">
        <v>353</v>
      </c>
    </row>
    <row r="24" spans="1:42" x14ac:dyDescent="0.3">
      <c r="A24" s="53" t="s">
        <v>6701</v>
      </c>
      <c r="B24" s="120" t="s">
        <v>65</v>
      </c>
      <c r="C24" s="10">
        <v>34</v>
      </c>
      <c r="D24" s="10">
        <v>71</v>
      </c>
      <c r="E24" s="118">
        <f>TA_NQY!F33+TA_NQO!F33</f>
        <v>382.99999999998636</v>
      </c>
      <c r="F24" s="80">
        <v>391.99999999999733</v>
      </c>
      <c r="G24" s="118">
        <f>TA_NQY!G33+TA_NQO!G33</f>
        <v>22</v>
      </c>
      <c r="H24" s="118">
        <v>22</v>
      </c>
      <c r="I24" s="12">
        <v>3</v>
      </c>
      <c r="J24" s="12">
        <v>4</v>
      </c>
      <c r="K24" s="12">
        <v>3</v>
      </c>
      <c r="L24" s="12">
        <v>3</v>
      </c>
      <c r="M24" s="12">
        <v>4</v>
      </c>
      <c r="N24" s="12">
        <v>4</v>
      </c>
      <c r="O24" s="12">
        <v>10</v>
      </c>
      <c r="P24" s="12">
        <v>9</v>
      </c>
      <c r="Q24" s="12">
        <v>3</v>
      </c>
      <c r="R24" s="12">
        <v>4</v>
      </c>
      <c r="S24" s="12">
        <v>1</v>
      </c>
      <c r="T24" s="12">
        <v>2</v>
      </c>
      <c r="U24" s="12">
        <v>9</v>
      </c>
      <c r="V24" s="12">
        <v>9</v>
      </c>
      <c r="W24" s="12">
        <v>10</v>
      </c>
      <c r="X24" s="12">
        <v>10</v>
      </c>
      <c r="Y24" s="12">
        <v>10</v>
      </c>
      <c r="Z24" s="12">
        <v>10</v>
      </c>
      <c r="AA24" s="12">
        <v>10</v>
      </c>
      <c r="AB24" s="12">
        <v>10</v>
      </c>
      <c r="AC24" s="12">
        <v>10</v>
      </c>
      <c r="AD24" s="12">
        <v>9</v>
      </c>
      <c r="AE24" s="12">
        <v>2</v>
      </c>
      <c r="AF24" s="12">
        <v>2</v>
      </c>
      <c r="AG24" s="2" t="s">
        <v>354</v>
      </c>
      <c r="AH24" s="2" t="s">
        <v>355</v>
      </c>
      <c r="AI24" s="2" t="s">
        <v>356</v>
      </c>
      <c r="AJ24" s="2" t="s">
        <v>102</v>
      </c>
      <c r="AK24" s="2" t="s">
        <v>104</v>
      </c>
      <c r="AL24" s="2" t="s">
        <v>104</v>
      </c>
      <c r="AM24" s="2" t="s">
        <v>357</v>
      </c>
      <c r="AN24" s="2" t="s">
        <v>358</v>
      </c>
      <c r="AO24" s="2" t="s">
        <v>102</v>
      </c>
      <c r="AP24" s="2" t="s">
        <v>359</v>
      </c>
    </row>
    <row r="25" spans="1:42" x14ac:dyDescent="0.3">
      <c r="A25" s="53" t="s">
        <v>6688</v>
      </c>
      <c r="B25" s="156" t="s">
        <v>64</v>
      </c>
      <c r="C25" s="10">
        <v>32</v>
      </c>
      <c r="D25" s="41">
        <v>70</v>
      </c>
      <c r="E25" s="81">
        <f>TA_NQY!F34+TA_NQO!F34</f>
        <v>345.00000000000597</v>
      </c>
      <c r="F25" s="80">
        <v>386.00000000000597</v>
      </c>
      <c r="G25" s="113">
        <f>TA_NQY!G34+TA_NQO!G34</f>
        <v>20</v>
      </c>
      <c r="H25" s="118">
        <v>22</v>
      </c>
      <c r="I25" s="14">
        <v>1</v>
      </c>
      <c r="J25" s="12">
        <v>6</v>
      </c>
      <c r="K25" s="14">
        <v>5</v>
      </c>
      <c r="L25" s="12">
        <v>6</v>
      </c>
      <c r="M25" s="14">
        <v>2</v>
      </c>
      <c r="N25" s="12">
        <v>7</v>
      </c>
      <c r="O25" s="14">
        <v>7</v>
      </c>
      <c r="P25" s="12">
        <v>5</v>
      </c>
      <c r="Q25" s="14">
        <v>3</v>
      </c>
      <c r="R25" s="12">
        <v>4</v>
      </c>
      <c r="S25" s="14">
        <v>2</v>
      </c>
      <c r="T25" s="12">
        <v>1</v>
      </c>
      <c r="U25" s="14">
        <v>7</v>
      </c>
      <c r="V25" s="12">
        <v>6</v>
      </c>
      <c r="W25" s="14">
        <v>7</v>
      </c>
      <c r="X25" s="12">
        <v>6</v>
      </c>
      <c r="Y25" s="14">
        <v>8</v>
      </c>
      <c r="Z25" s="12">
        <v>7</v>
      </c>
      <c r="AA25" s="14">
        <v>7</v>
      </c>
      <c r="AB25" s="12">
        <v>7</v>
      </c>
      <c r="AC25" s="14">
        <v>10</v>
      </c>
      <c r="AD25" s="12">
        <v>9</v>
      </c>
      <c r="AE25" s="14">
        <v>8</v>
      </c>
      <c r="AF25" s="12">
        <v>9</v>
      </c>
      <c r="AG25" s="2" t="s">
        <v>196</v>
      </c>
      <c r="AH25" s="2" t="s">
        <v>360</v>
      </c>
      <c r="AI25" s="2" t="s">
        <v>361</v>
      </c>
      <c r="AJ25" s="2" t="s">
        <v>362</v>
      </c>
      <c r="AK25" s="2" t="s">
        <v>37</v>
      </c>
      <c r="AL25" s="2" t="s">
        <v>363</v>
      </c>
      <c r="AM25" s="2" t="s">
        <v>364</v>
      </c>
      <c r="AN25" s="2" t="s">
        <v>365</v>
      </c>
      <c r="AO25" s="2" t="s">
        <v>43</v>
      </c>
      <c r="AP25" s="2" t="s">
        <v>366</v>
      </c>
    </row>
    <row r="31" spans="1:42" x14ac:dyDescent="0.3">
      <c r="A31" t="s">
        <v>6685</v>
      </c>
    </row>
    <row r="32" spans="1:42" x14ac:dyDescent="0.3">
      <c r="A32" t="s">
        <v>6688</v>
      </c>
      <c r="B32" t="s">
        <v>6715</v>
      </c>
    </row>
    <row r="33" spans="1:2" x14ac:dyDescent="0.3">
      <c r="A33" t="s">
        <v>6703</v>
      </c>
      <c r="B33" s="171" t="s">
        <v>6713</v>
      </c>
    </row>
    <row r="34" spans="1:2" x14ac:dyDescent="0.3">
      <c r="A34" t="s">
        <v>6702</v>
      </c>
      <c r="B34" s="170" t="s">
        <v>6710</v>
      </c>
    </row>
    <row r="35" spans="1:2" x14ac:dyDescent="0.3">
      <c r="A35" t="s">
        <v>6704</v>
      </c>
      <c r="B35" s="169" t="s">
        <v>40</v>
      </c>
    </row>
    <row r="36" spans="1:2" x14ac:dyDescent="0.3">
      <c r="A36" t="s">
        <v>6705</v>
      </c>
      <c r="B36" s="120" t="s">
        <v>6714</v>
      </c>
    </row>
    <row r="37" spans="1:2" x14ac:dyDescent="0.3">
      <c r="A37" t="s">
        <v>6706</v>
      </c>
      <c r="B37" s="166" t="s">
        <v>6712</v>
      </c>
    </row>
    <row r="38" spans="1:2" x14ac:dyDescent="0.3">
      <c r="A38" t="s">
        <v>6709</v>
      </c>
      <c r="B38" s="168" t="s">
        <v>44</v>
      </c>
    </row>
    <row r="39" spans="1:2" x14ac:dyDescent="0.3">
      <c r="A39" t="s">
        <v>6707</v>
      </c>
      <c r="B39" s="167" t="s">
        <v>6711</v>
      </c>
    </row>
    <row r="40" spans="1:2" x14ac:dyDescent="0.3">
      <c r="A40" t="s">
        <v>6708</v>
      </c>
      <c r="B40" s="145" t="s">
        <v>58</v>
      </c>
    </row>
  </sheetData>
  <mergeCells count="1">
    <mergeCell ref="L1:T1"/>
  </mergeCells>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G40"/>
  <sheetViews>
    <sheetView zoomScale="97" zoomScaleNormal="100" workbookViewId="0">
      <pane xSplit="2" ySplit="2" topLeftCell="AG3" activePane="bottomRight" state="frozen"/>
      <selection pane="topRight" activeCell="C1" sqref="C1"/>
      <selection pane="bottomLeft" activeCell="A3" sqref="A3"/>
      <selection pane="bottomRight" activeCell="A27" sqref="A27:XFD27"/>
    </sheetView>
  </sheetViews>
  <sheetFormatPr defaultRowHeight="14.4" x14ac:dyDescent="0.3"/>
  <cols>
    <col min="1" max="1" width="19.6640625" customWidth="1"/>
    <col min="3" max="3" width="13.33203125" customWidth="1"/>
    <col min="4" max="4" width="17.109375" customWidth="1"/>
    <col min="5" max="5" width="17.44140625" customWidth="1"/>
    <col min="6" max="6" width="15" customWidth="1"/>
    <col min="7" max="7" width="17.5546875" customWidth="1"/>
    <col min="8" max="8" width="14.77734375" customWidth="1"/>
    <col min="9" max="9" width="19.44140625" customWidth="1"/>
    <col min="10" max="10" width="17.5546875" customWidth="1"/>
    <col min="11" max="11" width="16.6640625" customWidth="1"/>
    <col min="12" max="12" width="15.109375" customWidth="1"/>
    <col min="13" max="13" width="17.88671875" customWidth="1"/>
    <col min="14" max="14" width="19.44140625" customWidth="1"/>
    <col min="15" max="15" width="17.33203125" customWidth="1"/>
    <col min="16" max="16" width="15.88671875" customWidth="1"/>
    <col min="17" max="17" width="16.5546875" customWidth="1"/>
    <col min="18" max="18" width="9.6640625" customWidth="1"/>
    <col min="19" max="19" width="17.5546875" customWidth="1"/>
    <col min="20" max="20" width="24.21875" customWidth="1"/>
    <col min="21" max="21" width="13.33203125" customWidth="1"/>
    <col min="22" max="22" width="14.109375" customWidth="1"/>
    <col min="23" max="23" width="22" customWidth="1"/>
    <col min="24" max="24" width="23.77734375" customWidth="1"/>
    <col min="25" max="25" width="14.33203125" customWidth="1"/>
    <col min="26" max="26" width="14.6640625" customWidth="1"/>
    <col min="27" max="27" width="15.109375" customWidth="1"/>
    <col min="29" max="29" width="17.6640625" customWidth="1"/>
    <col min="30" max="30" width="13.77734375" customWidth="1"/>
    <col min="31" max="31" width="15.6640625" customWidth="1"/>
    <col min="32" max="32" width="17.44140625" customWidth="1"/>
    <col min="33" max="33" width="12.88671875" customWidth="1"/>
    <col min="34" max="34" width="14.88671875" customWidth="1"/>
    <col min="35" max="35" width="21.6640625" customWidth="1"/>
    <col min="36" max="36" width="26.109375" customWidth="1"/>
    <col min="37" max="37" width="25.109375" customWidth="1"/>
    <col min="38" max="38" width="26.109375" customWidth="1"/>
    <col min="39" max="39" width="11.5546875" customWidth="1"/>
    <col min="40" max="40" width="11.77734375" customWidth="1"/>
    <col min="41" max="41" width="12.109375" customWidth="1"/>
    <col min="42" max="42" width="10.88671875" customWidth="1"/>
    <col min="43" max="43" width="11.109375" customWidth="1"/>
    <col min="45" max="45" width="10.5546875" customWidth="1"/>
    <col min="46" max="46" width="15.5546875" customWidth="1"/>
    <col min="47" max="47" width="13.21875" customWidth="1"/>
    <col min="48" max="48" width="12.21875" customWidth="1"/>
    <col min="49" max="49" width="11.88671875" customWidth="1"/>
    <col min="50" max="50" width="12.88671875" customWidth="1"/>
    <col min="51" max="51" width="16" customWidth="1"/>
    <col min="52" max="52" width="11.109375" customWidth="1"/>
    <col min="53" max="53" width="11.21875" customWidth="1"/>
    <col min="54" max="54" width="10.33203125" customWidth="1"/>
    <col min="55" max="55" width="14.5546875" customWidth="1"/>
    <col min="56" max="56" width="14" customWidth="1"/>
    <col min="57" max="57" width="16.6640625" customWidth="1"/>
    <col min="58" max="58" width="17.6640625" customWidth="1"/>
    <col min="59" max="59" width="13.77734375" customWidth="1"/>
    <col min="60" max="60" width="26.21875" customWidth="1"/>
    <col min="61" max="61" width="22.109375" customWidth="1"/>
    <col min="62" max="62" width="27.109375" customWidth="1"/>
    <col min="63" max="63" width="23.33203125" customWidth="1"/>
    <col min="64" max="64" width="22" customWidth="1"/>
    <col min="65" max="65" width="18.88671875" customWidth="1"/>
    <col min="66" max="66" width="20.21875" customWidth="1"/>
    <col min="67" max="67" width="21.33203125" customWidth="1"/>
    <col min="68" max="68" width="27.33203125" customWidth="1"/>
    <col min="69" max="69" width="31.109375" customWidth="1"/>
    <col min="70" max="70" width="44.6640625" customWidth="1"/>
    <col min="71" max="71" width="40.44140625" customWidth="1"/>
    <col min="72" max="72" width="33.33203125" customWidth="1"/>
    <col min="73" max="73" width="16.44140625" customWidth="1"/>
    <col min="74" max="74" width="17.5546875" customWidth="1"/>
    <col min="75" max="75" width="18.88671875" customWidth="1"/>
    <col min="76" max="76" width="59.44140625" customWidth="1"/>
    <col min="77" max="77" width="59.77734375" customWidth="1"/>
    <col min="78" max="78" width="24.109375" customWidth="1"/>
    <col min="79" max="79" width="24" customWidth="1"/>
    <col min="80" max="80" width="33.44140625" customWidth="1"/>
    <col min="81" max="81" width="36.109375" customWidth="1"/>
    <col min="82" max="82" width="34.88671875" customWidth="1"/>
    <col min="83" max="83" width="36.109375" customWidth="1"/>
    <col min="84" max="84" width="30.6640625" customWidth="1"/>
    <col min="85" max="85" width="28.88671875" customWidth="1"/>
  </cols>
  <sheetData>
    <row r="1" spans="1:85" ht="21" x14ac:dyDescent="0.4">
      <c r="B1" s="111" t="s">
        <v>67</v>
      </c>
      <c r="C1" s="111"/>
      <c r="D1" s="111"/>
      <c r="E1" s="111"/>
      <c r="F1" s="111"/>
      <c r="G1" s="111" t="s">
        <v>68</v>
      </c>
      <c r="H1" s="111"/>
      <c r="I1" s="111"/>
      <c r="J1" s="111"/>
      <c r="K1" s="111"/>
      <c r="L1" s="111"/>
      <c r="M1" s="111"/>
      <c r="N1" s="111"/>
      <c r="O1" s="111"/>
      <c r="P1" s="111"/>
      <c r="Q1" s="111" t="s">
        <v>69</v>
      </c>
      <c r="R1" s="111"/>
      <c r="S1" s="111"/>
      <c r="T1" s="111"/>
      <c r="U1" s="111"/>
      <c r="V1" s="111"/>
      <c r="W1" s="111"/>
      <c r="X1" s="111"/>
      <c r="Y1" s="111"/>
      <c r="Z1" s="111"/>
      <c r="AA1" s="111"/>
      <c r="AB1" s="111"/>
      <c r="AC1" s="111"/>
      <c r="AD1" s="111"/>
      <c r="AE1" s="111"/>
      <c r="AF1" s="111"/>
      <c r="AG1" s="111"/>
      <c r="AH1" s="111"/>
      <c r="AI1" s="111"/>
      <c r="AJ1" s="111"/>
      <c r="AK1" s="111"/>
      <c r="AL1" s="111"/>
      <c r="AM1" s="46"/>
      <c r="AN1" s="46"/>
      <c r="AO1" s="111" t="s">
        <v>98</v>
      </c>
      <c r="AP1" s="111"/>
      <c r="AQ1" s="111"/>
      <c r="AR1" s="111"/>
      <c r="AS1" s="111"/>
      <c r="AT1" s="111"/>
      <c r="AU1" s="111"/>
      <c r="AV1" s="111"/>
      <c r="AW1" s="111"/>
      <c r="AX1" s="111"/>
      <c r="AY1" s="111"/>
      <c r="AZ1" s="111"/>
      <c r="BA1" s="46"/>
      <c r="BB1" s="111" t="s">
        <v>99</v>
      </c>
      <c r="BC1" s="111"/>
      <c r="BD1" s="111"/>
      <c r="BE1" s="111"/>
      <c r="BF1" s="111"/>
      <c r="BG1" s="111"/>
      <c r="BH1" s="111"/>
      <c r="BI1" s="111"/>
      <c r="BJ1" s="111"/>
      <c r="BK1" s="111"/>
      <c r="BL1" s="111"/>
      <c r="BM1" s="111"/>
      <c r="BN1" s="46"/>
      <c r="BO1" s="46"/>
      <c r="BP1" s="46"/>
      <c r="BQ1" s="46"/>
      <c r="BS1" s="46"/>
      <c r="BT1" s="46"/>
      <c r="BW1" s="45" t="s">
        <v>377</v>
      </c>
    </row>
    <row r="2" spans="1:85" s="1" customFormat="1" ht="133.19999999999999" thickBot="1" x14ac:dyDescent="0.35">
      <c r="A2" s="17" t="s">
        <v>0</v>
      </c>
      <c r="B2" s="18" t="s">
        <v>1</v>
      </c>
      <c r="C2" s="29" t="s">
        <v>32</v>
      </c>
      <c r="D2" s="29" t="s">
        <v>33</v>
      </c>
      <c r="E2" s="29" t="s">
        <v>34</v>
      </c>
      <c r="F2" s="30" t="s">
        <v>35</v>
      </c>
      <c r="G2" s="31" t="s">
        <v>2</v>
      </c>
      <c r="H2" s="32" t="s">
        <v>3</v>
      </c>
      <c r="I2" s="32" t="s">
        <v>4</v>
      </c>
      <c r="J2" s="32" t="s">
        <v>5</v>
      </c>
      <c r="K2" s="32" t="s">
        <v>6</v>
      </c>
      <c r="L2" s="32" t="s">
        <v>7</v>
      </c>
      <c r="M2" s="32" t="s">
        <v>8</v>
      </c>
      <c r="N2" s="32" t="s">
        <v>9</v>
      </c>
      <c r="O2" s="32" t="s">
        <v>10</v>
      </c>
      <c r="P2" s="32" t="s">
        <v>11</v>
      </c>
      <c r="Q2" s="43" t="s">
        <v>379</v>
      </c>
      <c r="R2" s="43" t="s">
        <v>378</v>
      </c>
      <c r="S2" s="33" t="s">
        <v>12</v>
      </c>
      <c r="T2" s="33" t="s">
        <v>13</v>
      </c>
      <c r="U2" s="33" t="s">
        <v>14</v>
      </c>
      <c r="V2" s="33" t="s">
        <v>15</v>
      </c>
      <c r="W2" s="33" t="s">
        <v>16</v>
      </c>
      <c r="X2" s="33" t="s">
        <v>17</v>
      </c>
      <c r="Y2" s="33" t="s">
        <v>18</v>
      </c>
      <c r="Z2" s="33" t="s">
        <v>19</v>
      </c>
      <c r="AA2" s="33" t="s">
        <v>20</v>
      </c>
      <c r="AB2" s="33" t="s">
        <v>21</v>
      </c>
      <c r="AC2" s="33" t="s">
        <v>22</v>
      </c>
      <c r="AD2" s="33" t="s">
        <v>23</v>
      </c>
      <c r="AE2" s="33" t="s">
        <v>24</v>
      </c>
      <c r="AF2" s="33" t="s">
        <v>25</v>
      </c>
      <c r="AG2" s="33" t="s">
        <v>26</v>
      </c>
      <c r="AH2" s="33" t="s">
        <v>27</v>
      </c>
      <c r="AI2" s="33" t="s">
        <v>28</v>
      </c>
      <c r="AJ2" s="33" t="s">
        <v>29</v>
      </c>
      <c r="AK2" s="33" t="s">
        <v>30</v>
      </c>
      <c r="AL2" s="33" t="s">
        <v>31</v>
      </c>
      <c r="AM2" s="42" t="s">
        <v>382</v>
      </c>
      <c r="AN2" s="42" t="s">
        <v>384</v>
      </c>
      <c r="AO2" s="42" t="s">
        <v>385</v>
      </c>
      <c r="AP2" s="42" t="s">
        <v>386</v>
      </c>
      <c r="AQ2" s="42" t="s">
        <v>387</v>
      </c>
      <c r="AR2" s="34" t="s">
        <v>70</v>
      </c>
      <c r="AS2" s="34" t="s">
        <v>3173</v>
      </c>
      <c r="AT2" s="34" t="s">
        <v>3169</v>
      </c>
      <c r="AU2" s="35" t="s">
        <v>71</v>
      </c>
      <c r="AV2" s="35" t="s">
        <v>72</v>
      </c>
      <c r="AW2" s="35" t="s">
        <v>73</v>
      </c>
      <c r="AX2" s="35" t="s">
        <v>74</v>
      </c>
      <c r="AY2" s="35" t="s">
        <v>75</v>
      </c>
      <c r="AZ2" s="35" t="s">
        <v>76</v>
      </c>
      <c r="BA2" s="35" t="s">
        <v>77</v>
      </c>
      <c r="BB2" s="35" t="s">
        <v>78</v>
      </c>
      <c r="BC2" s="35" t="s">
        <v>79</v>
      </c>
      <c r="BD2" s="35" t="s">
        <v>80</v>
      </c>
      <c r="BE2" s="35" t="s">
        <v>81</v>
      </c>
      <c r="BF2" s="36" t="s">
        <v>82</v>
      </c>
      <c r="BG2" s="34" t="s">
        <v>85</v>
      </c>
      <c r="BH2" s="106" t="s">
        <v>6665</v>
      </c>
      <c r="BI2" s="105" t="s">
        <v>6666</v>
      </c>
      <c r="BJ2" s="34" t="s">
        <v>6626</v>
      </c>
      <c r="BK2" s="34" t="s">
        <v>3170</v>
      </c>
      <c r="BL2" s="37" t="s">
        <v>87</v>
      </c>
      <c r="BM2" s="37" t="s">
        <v>88</v>
      </c>
      <c r="BN2" s="37" t="s">
        <v>89</v>
      </c>
      <c r="BO2" s="37" t="s">
        <v>90</v>
      </c>
      <c r="BP2" s="37" t="s">
        <v>91</v>
      </c>
      <c r="BQ2" s="37" t="s">
        <v>92</v>
      </c>
      <c r="BR2" s="37" t="s">
        <v>93</v>
      </c>
      <c r="BS2" s="37" t="s">
        <v>94</v>
      </c>
      <c r="BT2" s="37" t="s">
        <v>86</v>
      </c>
      <c r="BU2" s="37" t="s">
        <v>95</v>
      </c>
      <c r="BV2" s="37" t="s">
        <v>96</v>
      </c>
      <c r="BW2" s="38" t="s">
        <v>97</v>
      </c>
      <c r="BX2" s="39" t="s">
        <v>367</v>
      </c>
      <c r="BY2" s="39" t="s">
        <v>368</v>
      </c>
      <c r="BZ2" s="39" t="s">
        <v>369</v>
      </c>
      <c r="CA2" s="39" t="s">
        <v>370</v>
      </c>
      <c r="CB2" s="39" t="s">
        <v>371</v>
      </c>
      <c r="CC2" s="39" t="s">
        <v>372</v>
      </c>
      <c r="CD2" s="39" t="s">
        <v>373</v>
      </c>
      <c r="CE2" s="39" t="s">
        <v>374</v>
      </c>
      <c r="CF2" s="39" t="s">
        <v>375</v>
      </c>
      <c r="CG2" s="40" t="s">
        <v>376</v>
      </c>
    </row>
    <row r="3" spans="1:85" x14ac:dyDescent="0.3">
      <c r="A3" s="15">
        <v>45881.446388668977</v>
      </c>
      <c r="B3" s="27">
        <v>1</v>
      </c>
      <c r="C3" s="24" t="s">
        <v>36</v>
      </c>
      <c r="D3" s="6">
        <v>26</v>
      </c>
      <c r="E3" s="6" t="s">
        <v>37</v>
      </c>
      <c r="F3" s="6">
        <v>2</v>
      </c>
      <c r="G3" s="16">
        <v>3</v>
      </c>
      <c r="H3" s="16">
        <v>3</v>
      </c>
      <c r="I3" s="16">
        <v>3</v>
      </c>
      <c r="J3" s="16">
        <v>3</v>
      </c>
      <c r="K3" s="16">
        <v>3</v>
      </c>
      <c r="L3" s="16">
        <v>4</v>
      </c>
      <c r="M3" s="16">
        <v>3</v>
      </c>
      <c r="N3" s="16">
        <v>3</v>
      </c>
      <c r="O3" s="16">
        <v>3</v>
      </c>
      <c r="P3" s="16">
        <v>3</v>
      </c>
      <c r="Q3" s="16">
        <f>Form_Responses[[#This Row],[SUM]]/10</f>
        <v>3.1</v>
      </c>
      <c r="R3" s="16">
        <f>SUM(Form_Responses[[#This Row],[1- I can always manage to solve difficult problems if I try hard enough.]:[10- I can usually handle whatever comes my way.]])</f>
        <v>31</v>
      </c>
      <c r="S3" s="16">
        <v>3</v>
      </c>
      <c r="T3" s="16">
        <v>2</v>
      </c>
      <c r="U3" s="16">
        <v>2</v>
      </c>
      <c r="V3" s="16">
        <v>2</v>
      </c>
      <c r="W3" s="16">
        <v>1</v>
      </c>
      <c r="X3" s="16">
        <v>3</v>
      </c>
      <c r="Y3" s="16">
        <v>2</v>
      </c>
      <c r="Z3" s="16">
        <v>1</v>
      </c>
      <c r="AA3" s="16">
        <v>1</v>
      </c>
      <c r="AB3" s="16">
        <v>2</v>
      </c>
      <c r="AC3" s="16">
        <v>4</v>
      </c>
      <c r="AD3" s="16">
        <v>5</v>
      </c>
      <c r="AE3" s="16">
        <v>5</v>
      </c>
      <c r="AF3" s="16">
        <v>5</v>
      </c>
      <c r="AG3" s="16">
        <v>3</v>
      </c>
      <c r="AH3" s="16">
        <v>3</v>
      </c>
      <c r="AI3" s="16">
        <v>2</v>
      </c>
      <c r="AJ3" s="16">
        <v>3</v>
      </c>
      <c r="AK3" s="16">
        <v>5</v>
      </c>
      <c r="AL3" s="16">
        <v>5</v>
      </c>
      <c r="AM3" s="16">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64</v>
      </c>
      <c r="AN3" s="16">
        <f>SUM(Form_Responses[[#This Row],[1- I can trust persons and organizations related to development of robots ]:[5- If robots had emotions, I would be able to be friend with them]])</f>
        <v>10</v>
      </c>
      <c r="AO3" s="16">
        <f>SUM(Form_Responses[[#This Row],[6- I would feel uneasy if I was given a job where I had to use robots]:[10- I don’t want a robot to touch me]])</f>
        <v>9</v>
      </c>
      <c r="AP3" s="16">
        <f>SUM(Form_Responses[[#This Row],[11- Robots are necessary because they can do jobs that are too hard or too dangerous for people ]:[15- Robots are a good thing for society, because they help people]])</f>
        <v>22</v>
      </c>
      <c r="AQ3" s="16">
        <f>SUM(Form_Responses[[#This Row],[16- Robots may make us even lazier ]:[20- Unregulated use of robotics can lead to societal upheavals]])</f>
        <v>18</v>
      </c>
      <c r="AR3" s="5" t="s">
        <v>83</v>
      </c>
      <c r="AS3" s="6">
        <f>TA_NQY!F3+TA_NQO!F3</f>
        <v>332.00000000000716</v>
      </c>
      <c r="AT3" s="6">
        <f>TA_NQY!G3+TA_NQO!G3</f>
        <v>16</v>
      </c>
      <c r="AU3" s="6">
        <v>2</v>
      </c>
      <c r="AV3" s="6">
        <v>1</v>
      </c>
      <c r="AW3" s="6">
        <v>4</v>
      </c>
      <c r="AX3" s="6">
        <v>10</v>
      </c>
      <c r="AY3" s="6">
        <v>1</v>
      </c>
      <c r="AZ3" s="6">
        <v>1</v>
      </c>
      <c r="BA3" s="6">
        <v>3</v>
      </c>
      <c r="BB3" s="6">
        <v>9</v>
      </c>
      <c r="BC3" s="6">
        <v>4</v>
      </c>
      <c r="BD3" s="6">
        <v>4</v>
      </c>
      <c r="BE3" s="6">
        <v>3</v>
      </c>
      <c r="BF3" s="6">
        <v>9</v>
      </c>
      <c r="BG3" s="5" t="s">
        <v>84</v>
      </c>
      <c r="BH3" s="103">
        <f>TA_NQY!E3+TA_NQO!E3</f>
        <v>182.99999999999505</v>
      </c>
      <c r="BI3" s="104">
        <f>TA_QY!E3+TA_QO!E3</f>
        <v>101.00000000000459</v>
      </c>
      <c r="BJ3" s="6">
        <f>TA_QY!F3+TA_QO!F3</f>
        <v>340.99999999999415</v>
      </c>
      <c r="BK3" s="6">
        <f>TA_QY!G3+TA_QO!G3</f>
        <v>13</v>
      </c>
      <c r="BL3" s="6">
        <v>3</v>
      </c>
      <c r="BM3" s="6">
        <v>2</v>
      </c>
      <c r="BN3" s="6">
        <v>6</v>
      </c>
      <c r="BO3" s="6">
        <v>9</v>
      </c>
      <c r="BP3" s="6">
        <v>4</v>
      </c>
      <c r="BQ3" s="6">
        <v>1</v>
      </c>
      <c r="BR3" s="6">
        <v>5</v>
      </c>
      <c r="BS3" s="6">
        <v>5</v>
      </c>
      <c r="BT3" s="6">
        <v>6</v>
      </c>
      <c r="BU3" s="6">
        <v>5</v>
      </c>
      <c r="BV3" s="6">
        <v>3</v>
      </c>
      <c r="BW3" s="6">
        <v>8</v>
      </c>
      <c r="BX3" s="5"/>
      <c r="BY3" s="5" t="s">
        <v>100</v>
      </c>
      <c r="BZ3" s="5" t="s">
        <v>101</v>
      </c>
      <c r="CA3" s="5" t="s">
        <v>102</v>
      </c>
      <c r="CB3" s="5" t="s">
        <v>103</v>
      </c>
      <c r="CC3" s="5" t="s">
        <v>104</v>
      </c>
      <c r="CD3" s="5" t="s">
        <v>105</v>
      </c>
      <c r="CE3" s="5" t="s">
        <v>106</v>
      </c>
      <c r="CF3" s="5" t="s">
        <v>102</v>
      </c>
      <c r="CG3" s="5" t="s">
        <v>107</v>
      </c>
    </row>
    <row r="4" spans="1:85" x14ac:dyDescent="0.3">
      <c r="A4" s="3">
        <v>45881.617943437501</v>
      </c>
      <c r="B4" s="28">
        <v>2</v>
      </c>
      <c r="C4" s="25" t="s">
        <v>36</v>
      </c>
      <c r="D4" s="4">
        <v>46</v>
      </c>
      <c r="E4" s="4" t="s">
        <v>37</v>
      </c>
      <c r="F4" s="4">
        <v>3</v>
      </c>
      <c r="G4" s="4">
        <v>4</v>
      </c>
      <c r="H4" s="4">
        <v>3</v>
      </c>
      <c r="I4" s="4">
        <v>3</v>
      </c>
      <c r="J4" s="4">
        <v>4</v>
      </c>
      <c r="K4" s="4">
        <v>3</v>
      </c>
      <c r="L4" s="4">
        <v>3</v>
      </c>
      <c r="M4" s="4">
        <v>4</v>
      </c>
      <c r="N4" s="4">
        <v>3</v>
      </c>
      <c r="O4" s="4">
        <v>3</v>
      </c>
      <c r="P4" s="4">
        <v>3</v>
      </c>
      <c r="Q4" s="4">
        <f>Form_Responses[[#This Row],[SUM]]/10</f>
        <v>3.3</v>
      </c>
      <c r="R4" s="4">
        <f>SUM(Form_Responses[[#This Row],[1- I can always manage to solve difficult problems if I try hard enough.]:[10- I can usually handle whatever comes my way.]])</f>
        <v>33</v>
      </c>
      <c r="S4" s="4">
        <v>4</v>
      </c>
      <c r="T4" s="4">
        <v>4</v>
      </c>
      <c r="U4" s="4">
        <v>4</v>
      </c>
      <c r="V4" s="4">
        <v>2</v>
      </c>
      <c r="W4" s="4">
        <v>3</v>
      </c>
      <c r="X4" s="4">
        <v>1</v>
      </c>
      <c r="Y4" s="4">
        <v>2</v>
      </c>
      <c r="Z4" s="4">
        <v>1</v>
      </c>
      <c r="AA4" s="4">
        <v>2</v>
      </c>
      <c r="AB4" s="4">
        <v>2</v>
      </c>
      <c r="AC4" s="4">
        <v>5</v>
      </c>
      <c r="AD4" s="4">
        <v>5</v>
      </c>
      <c r="AE4" s="4">
        <v>4</v>
      </c>
      <c r="AF4" s="4">
        <v>4</v>
      </c>
      <c r="AG4" s="4">
        <v>5</v>
      </c>
      <c r="AH4" s="4">
        <v>4</v>
      </c>
      <c r="AI4" s="4">
        <v>4</v>
      </c>
      <c r="AJ4" s="4">
        <v>4</v>
      </c>
      <c r="AK4" s="4">
        <v>4</v>
      </c>
      <c r="AL4" s="4">
        <v>3</v>
      </c>
      <c r="AM4" s="4">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64</v>
      </c>
      <c r="AN4" s="4">
        <f>SUM(Form_Responses[[#This Row],[1- I can trust persons and organizations related to development of robots ]:[5- If robots had emotions, I would be able to be friend with them]])</f>
        <v>17</v>
      </c>
      <c r="AO4" s="4">
        <f>SUM(Form_Responses[[#This Row],[6- I would feel uneasy if I was given a job where I had to use robots]:[10- I don’t want a robot to touch me]])</f>
        <v>8</v>
      </c>
      <c r="AP4" s="4">
        <f>SUM(Form_Responses[[#This Row],[11- Robots are necessary because they can do jobs that are too hard or too dangerous for people ]:[15- Robots are a good thing for society, because they help people]])</f>
        <v>23</v>
      </c>
      <c r="AQ4" s="4">
        <f>SUM(Form_Responses[[#This Row],[16- Robots may make us even lazier ]:[20- Unregulated use of robotics can lead to societal upheavals]])</f>
        <v>19</v>
      </c>
      <c r="AR4" s="7" t="s">
        <v>83</v>
      </c>
      <c r="AS4" s="6">
        <f>TA_NQY!F4+TA_NQO!F4</f>
        <v>383.99999999999284</v>
      </c>
      <c r="AT4" s="6">
        <f>TA_NQY!G4+TA_NQO!G4</f>
        <v>20</v>
      </c>
      <c r="AU4" s="8">
        <v>4</v>
      </c>
      <c r="AV4" s="8">
        <v>4</v>
      </c>
      <c r="AW4" s="8">
        <v>3</v>
      </c>
      <c r="AX4" s="8">
        <v>10</v>
      </c>
      <c r="AY4" s="8">
        <v>6</v>
      </c>
      <c r="AZ4" s="8">
        <v>2</v>
      </c>
      <c r="BA4" s="8">
        <v>9</v>
      </c>
      <c r="BB4" s="8">
        <v>9</v>
      </c>
      <c r="BC4" s="8">
        <v>8</v>
      </c>
      <c r="BD4" s="8">
        <v>9</v>
      </c>
      <c r="BE4" s="8">
        <v>9</v>
      </c>
      <c r="BF4" s="8">
        <v>3</v>
      </c>
      <c r="BG4" s="7" t="s">
        <v>84</v>
      </c>
      <c r="BH4" s="103">
        <f>TA_NQY!E4+TA_NQO!E4</f>
        <v>194.00000000000477</v>
      </c>
      <c r="BI4" s="104">
        <f>TA_QY!E4+TA_QO!E4</f>
        <v>124.99999999999396</v>
      </c>
      <c r="BJ4" s="6">
        <f>TA_QY!F4+TA_QO!F4</f>
        <v>372.00000000000057</v>
      </c>
      <c r="BK4" s="6">
        <f>TA_QY!G4+TA_QO!G4</f>
        <v>14</v>
      </c>
      <c r="BL4" s="8">
        <v>5</v>
      </c>
      <c r="BM4" s="8">
        <v>4</v>
      </c>
      <c r="BN4" s="8">
        <v>6</v>
      </c>
      <c r="BO4" s="8">
        <v>8</v>
      </c>
      <c r="BP4" s="8">
        <v>7</v>
      </c>
      <c r="BQ4" s="8">
        <v>3</v>
      </c>
      <c r="BR4" s="8">
        <v>8</v>
      </c>
      <c r="BS4" s="8">
        <v>9</v>
      </c>
      <c r="BT4" s="8">
        <v>8</v>
      </c>
      <c r="BU4" s="8">
        <v>9</v>
      </c>
      <c r="BV4" s="8">
        <v>9</v>
      </c>
      <c r="BW4" s="8">
        <v>7</v>
      </c>
      <c r="BX4" s="7"/>
      <c r="BY4" s="7" t="s">
        <v>108</v>
      </c>
      <c r="BZ4" s="7" t="s">
        <v>109</v>
      </c>
      <c r="CA4" s="7" t="s">
        <v>110</v>
      </c>
      <c r="CB4" s="7" t="s">
        <v>104</v>
      </c>
      <c r="CC4" s="7" t="s">
        <v>104</v>
      </c>
      <c r="CD4" s="7" t="s">
        <v>111</v>
      </c>
      <c r="CE4" s="7" t="s">
        <v>112</v>
      </c>
      <c r="CF4" s="7" t="s">
        <v>113</v>
      </c>
      <c r="CG4" s="7" t="s">
        <v>114</v>
      </c>
    </row>
    <row r="5" spans="1:85" x14ac:dyDescent="0.3">
      <c r="A5" s="3">
        <v>45887.610196423615</v>
      </c>
      <c r="B5" s="28">
        <v>3</v>
      </c>
      <c r="C5" s="26" t="s">
        <v>36</v>
      </c>
      <c r="D5" s="8">
        <v>35</v>
      </c>
      <c r="E5" s="8" t="s">
        <v>37</v>
      </c>
      <c r="F5" s="8">
        <v>3</v>
      </c>
      <c r="G5" s="4">
        <v>4</v>
      </c>
      <c r="H5" s="4">
        <v>2</v>
      </c>
      <c r="I5" s="4">
        <v>3</v>
      </c>
      <c r="J5" s="4">
        <v>3</v>
      </c>
      <c r="K5" s="4">
        <v>3</v>
      </c>
      <c r="L5" s="4">
        <v>4</v>
      </c>
      <c r="M5" s="4">
        <v>3</v>
      </c>
      <c r="N5" s="4">
        <v>4</v>
      </c>
      <c r="O5" s="4">
        <v>4</v>
      </c>
      <c r="P5" s="4">
        <v>4</v>
      </c>
      <c r="Q5" s="4">
        <f>Form_Responses[[#This Row],[SUM]]/10</f>
        <v>3.4</v>
      </c>
      <c r="R5" s="4">
        <f>SUM(Form_Responses[[#This Row],[1- I can always manage to solve difficult problems if I try hard enough.]:[10- I can usually handle whatever comes my way.]])</f>
        <v>34</v>
      </c>
      <c r="S5" s="4">
        <v>3</v>
      </c>
      <c r="T5" s="4">
        <v>4</v>
      </c>
      <c r="U5" s="4">
        <v>4</v>
      </c>
      <c r="V5" s="4">
        <v>2</v>
      </c>
      <c r="W5" s="4">
        <v>1</v>
      </c>
      <c r="X5" s="4">
        <v>1</v>
      </c>
      <c r="Y5" s="4">
        <v>3</v>
      </c>
      <c r="Z5" s="4">
        <v>1</v>
      </c>
      <c r="AA5" s="4">
        <v>1</v>
      </c>
      <c r="AB5" s="4">
        <v>3</v>
      </c>
      <c r="AC5" s="4">
        <v>5</v>
      </c>
      <c r="AD5" s="4">
        <v>5</v>
      </c>
      <c r="AE5" s="4">
        <v>3</v>
      </c>
      <c r="AF5" s="4">
        <v>5</v>
      </c>
      <c r="AG5" s="4">
        <v>4</v>
      </c>
      <c r="AH5" s="4">
        <v>2</v>
      </c>
      <c r="AI5" s="4">
        <v>5</v>
      </c>
      <c r="AJ5" s="4">
        <v>2</v>
      </c>
      <c r="AK5" s="4">
        <v>4</v>
      </c>
      <c r="AL5" s="4">
        <v>5</v>
      </c>
      <c r="AM5" s="4">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64</v>
      </c>
      <c r="AN5" s="4">
        <f>SUM(Form_Responses[[#This Row],[1- I can trust persons and organizations related to development of robots ]:[5- If robots had emotions, I would be able to be friend with them]])</f>
        <v>14</v>
      </c>
      <c r="AO5" s="4">
        <f>SUM(Form_Responses[[#This Row],[6- I would feel uneasy if I was given a job where I had to use robots]:[10- I don’t want a robot to touch me]])</f>
        <v>9</v>
      </c>
      <c r="AP5" s="4">
        <f>SUM(Form_Responses[[#This Row],[11- Robots are necessary because they can do jobs that are too hard or too dangerous for people ]:[15- Robots are a good thing for society, because they help people]])</f>
        <v>22</v>
      </c>
      <c r="AQ5" s="4">
        <f>SUM(Form_Responses[[#This Row],[16- Robots may make us even lazier ]:[20- Unregulated use of robotics can lead to societal upheavals]])</f>
        <v>18</v>
      </c>
      <c r="AR5" s="7" t="s">
        <v>83</v>
      </c>
      <c r="AS5" s="6">
        <f>TA_NQY!F5+TA_NQO!F5</f>
        <v>331.99999999998795</v>
      </c>
      <c r="AT5" s="6">
        <f>TA_NQY!G5+TA_NQO!G5</f>
        <v>14</v>
      </c>
      <c r="AU5" s="8">
        <v>3</v>
      </c>
      <c r="AV5" s="8">
        <v>1</v>
      </c>
      <c r="AW5" s="8">
        <v>3</v>
      </c>
      <c r="AX5" s="8">
        <v>10</v>
      </c>
      <c r="AY5" s="8">
        <v>1</v>
      </c>
      <c r="AZ5" s="8">
        <v>1</v>
      </c>
      <c r="BA5" s="8">
        <v>10</v>
      </c>
      <c r="BB5" s="8">
        <v>10</v>
      </c>
      <c r="BC5" s="8">
        <v>9</v>
      </c>
      <c r="BD5" s="8">
        <v>10</v>
      </c>
      <c r="BE5" s="8">
        <v>10</v>
      </c>
      <c r="BF5" s="8">
        <v>2</v>
      </c>
      <c r="BG5" s="7" t="s">
        <v>84</v>
      </c>
      <c r="BH5" s="103">
        <f>TA_NQY!E5+TA_NQO!E5</f>
        <v>169.00000000000404</v>
      </c>
      <c r="BI5" s="104">
        <f>TA_QY!E5+TA_QO!E5</f>
        <v>134.00000000000495</v>
      </c>
      <c r="BJ5" s="6">
        <f>TA_QY!F5+TA_QO!F5</f>
        <v>258.00000000000199</v>
      </c>
      <c r="BK5" s="6">
        <f>TA_QY!G5+TA_QO!G5</f>
        <v>14</v>
      </c>
      <c r="BL5" s="8">
        <v>6</v>
      </c>
      <c r="BM5" s="8">
        <v>2</v>
      </c>
      <c r="BN5" s="8">
        <v>5</v>
      </c>
      <c r="BO5" s="8">
        <v>10</v>
      </c>
      <c r="BP5" s="8">
        <v>5</v>
      </c>
      <c r="BQ5" s="8">
        <v>1</v>
      </c>
      <c r="BR5" s="8">
        <v>10</v>
      </c>
      <c r="BS5" s="8">
        <v>10</v>
      </c>
      <c r="BT5" s="8">
        <v>9</v>
      </c>
      <c r="BU5" s="8">
        <v>10</v>
      </c>
      <c r="BV5" s="8">
        <v>10</v>
      </c>
      <c r="BW5" s="8">
        <v>2</v>
      </c>
      <c r="BX5" s="7"/>
      <c r="BY5" s="7" t="s">
        <v>115</v>
      </c>
      <c r="BZ5" s="7" t="s">
        <v>116</v>
      </c>
      <c r="CA5" s="7" t="s">
        <v>102</v>
      </c>
      <c r="CB5" s="7" t="s">
        <v>104</v>
      </c>
      <c r="CC5" s="7" t="s">
        <v>104</v>
      </c>
      <c r="CD5" s="7" t="s">
        <v>117</v>
      </c>
      <c r="CE5" s="7" t="s">
        <v>118</v>
      </c>
      <c r="CF5" s="7" t="s">
        <v>43</v>
      </c>
      <c r="CG5" s="7" t="s">
        <v>119</v>
      </c>
    </row>
    <row r="6" spans="1:85" x14ac:dyDescent="0.3">
      <c r="A6" s="3">
        <v>45887.647473391204</v>
      </c>
      <c r="B6" s="28">
        <v>4</v>
      </c>
      <c r="C6" s="25" t="s">
        <v>36</v>
      </c>
      <c r="D6" s="4">
        <v>30</v>
      </c>
      <c r="E6" s="4" t="s">
        <v>37</v>
      </c>
      <c r="F6" s="4">
        <v>3</v>
      </c>
      <c r="G6" s="4">
        <v>4</v>
      </c>
      <c r="H6" s="4">
        <v>3</v>
      </c>
      <c r="I6" s="4">
        <v>4</v>
      </c>
      <c r="J6" s="4">
        <v>4</v>
      </c>
      <c r="K6" s="4">
        <v>4</v>
      </c>
      <c r="L6" s="4">
        <v>4</v>
      </c>
      <c r="M6" s="4">
        <v>4</v>
      </c>
      <c r="N6" s="4">
        <v>4</v>
      </c>
      <c r="O6" s="4">
        <v>4</v>
      </c>
      <c r="P6" s="4">
        <v>4</v>
      </c>
      <c r="Q6" s="4">
        <f>Form_Responses[[#This Row],[SUM]]/10</f>
        <v>3.9</v>
      </c>
      <c r="R6" s="4">
        <f>SUM(Form_Responses[[#This Row],[1- I can always manage to solve difficult problems if I try hard enough.]:[10- I can usually handle whatever comes my way.]])</f>
        <v>39</v>
      </c>
      <c r="S6" s="4">
        <v>3</v>
      </c>
      <c r="T6" s="4">
        <v>2</v>
      </c>
      <c r="U6" s="4">
        <v>5</v>
      </c>
      <c r="V6" s="4">
        <v>5</v>
      </c>
      <c r="W6" s="4">
        <v>1</v>
      </c>
      <c r="X6" s="4">
        <v>1</v>
      </c>
      <c r="Y6" s="4">
        <v>2</v>
      </c>
      <c r="Z6" s="4">
        <v>1</v>
      </c>
      <c r="AA6" s="4">
        <v>1</v>
      </c>
      <c r="AB6" s="4">
        <v>3</v>
      </c>
      <c r="AC6" s="4">
        <v>3</v>
      </c>
      <c r="AD6" s="4">
        <v>5</v>
      </c>
      <c r="AE6" s="4">
        <v>3</v>
      </c>
      <c r="AF6" s="4">
        <v>4</v>
      </c>
      <c r="AG6" s="4">
        <v>4</v>
      </c>
      <c r="AH6" s="4">
        <v>1</v>
      </c>
      <c r="AI6" s="4">
        <v>1</v>
      </c>
      <c r="AJ6" s="4">
        <v>1</v>
      </c>
      <c r="AK6" s="4">
        <v>2</v>
      </c>
      <c r="AL6" s="4">
        <v>2</v>
      </c>
      <c r="AM6" s="4">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72</v>
      </c>
      <c r="AN6" s="4">
        <f>SUM(Form_Responses[[#This Row],[1- I can trust persons and organizations related to development of robots ]:[5- If robots had emotions, I would be able to be friend with them]])</f>
        <v>16</v>
      </c>
      <c r="AO6" s="4">
        <f>SUM(Form_Responses[[#This Row],[6- I would feel uneasy if I was given a job where I had to use robots]:[10- I don’t want a robot to touch me]])</f>
        <v>8</v>
      </c>
      <c r="AP6" s="4">
        <f>SUM(Form_Responses[[#This Row],[11- Robots are necessary because they can do jobs that are too hard or too dangerous for people ]:[15- Robots are a good thing for society, because they help people]])</f>
        <v>19</v>
      </c>
      <c r="AQ6" s="4">
        <f>SUM(Form_Responses[[#This Row],[16- Robots may make us even lazier ]:[20- Unregulated use of robotics can lead to societal upheavals]])</f>
        <v>7</v>
      </c>
      <c r="AR6" s="7" t="s">
        <v>83</v>
      </c>
      <c r="AS6" s="6">
        <f>TA_NQY!F6+TA_NQO!F6</f>
        <v>282.00000000000574</v>
      </c>
      <c r="AT6" s="6">
        <f>TA_NQY!G6+TA_NQO!G6</f>
        <v>14</v>
      </c>
      <c r="AU6" s="8">
        <v>6</v>
      </c>
      <c r="AV6" s="8">
        <v>6</v>
      </c>
      <c r="AW6" s="8">
        <v>6</v>
      </c>
      <c r="AX6" s="8">
        <v>8</v>
      </c>
      <c r="AY6" s="8">
        <v>3</v>
      </c>
      <c r="AZ6" s="8">
        <v>4</v>
      </c>
      <c r="BA6" s="8">
        <v>7</v>
      </c>
      <c r="BB6" s="8">
        <v>5</v>
      </c>
      <c r="BC6" s="8">
        <v>7</v>
      </c>
      <c r="BD6" s="8">
        <v>7</v>
      </c>
      <c r="BE6" s="8">
        <v>5</v>
      </c>
      <c r="BF6" s="8">
        <v>4</v>
      </c>
      <c r="BG6" s="7" t="s">
        <v>84</v>
      </c>
      <c r="BH6" s="103">
        <f>TA_NQY!E6+TA_NQO!E6</f>
        <v>343.99999999999943</v>
      </c>
      <c r="BI6" s="104">
        <f>TA_QY!E6+TA_QO!E6</f>
        <v>406.99999999999966</v>
      </c>
      <c r="BJ6" s="6">
        <f>TA_QY!F6+TA_QO!F6</f>
        <v>330.99999999999102</v>
      </c>
      <c r="BK6" s="6">
        <f>TA_QY!G6+TA_QO!G6</f>
        <v>12</v>
      </c>
      <c r="BL6" s="8">
        <v>8</v>
      </c>
      <c r="BM6" s="8">
        <v>7</v>
      </c>
      <c r="BN6" s="8">
        <v>10</v>
      </c>
      <c r="BO6" s="8">
        <v>7</v>
      </c>
      <c r="BP6" s="8">
        <v>3</v>
      </c>
      <c r="BQ6" s="8">
        <v>8</v>
      </c>
      <c r="BR6" s="8">
        <v>5</v>
      </c>
      <c r="BS6" s="8">
        <v>5</v>
      </c>
      <c r="BT6" s="8">
        <v>6</v>
      </c>
      <c r="BU6" s="8">
        <v>4</v>
      </c>
      <c r="BV6" s="8">
        <v>5</v>
      </c>
      <c r="BW6" s="8">
        <v>8</v>
      </c>
      <c r="BX6" s="7"/>
      <c r="BY6" s="7" t="s">
        <v>120</v>
      </c>
      <c r="BZ6" s="7" t="s">
        <v>121</v>
      </c>
      <c r="CA6" s="7" t="s">
        <v>102</v>
      </c>
      <c r="CB6" s="7" t="s">
        <v>122</v>
      </c>
      <c r="CC6" s="7" t="s">
        <v>123</v>
      </c>
      <c r="CD6" s="7" t="s">
        <v>124</v>
      </c>
      <c r="CE6" s="7" t="s">
        <v>125</v>
      </c>
      <c r="CF6" s="7" t="s">
        <v>126</v>
      </c>
      <c r="CG6" s="7" t="s">
        <v>127</v>
      </c>
    </row>
    <row r="7" spans="1:85" x14ac:dyDescent="0.3">
      <c r="A7" s="3">
        <v>45889.499309328705</v>
      </c>
      <c r="B7" s="28">
        <v>5</v>
      </c>
      <c r="C7" s="26" t="s">
        <v>36</v>
      </c>
      <c r="D7" s="8">
        <v>33</v>
      </c>
      <c r="E7" s="8" t="s">
        <v>37</v>
      </c>
      <c r="F7" s="8">
        <v>3</v>
      </c>
      <c r="G7" s="4">
        <v>3</v>
      </c>
      <c r="H7" s="4">
        <v>3</v>
      </c>
      <c r="I7" s="4">
        <v>3</v>
      </c>
      <c r="J7" s="4">
        <v>3</v>
      </c>
      <c r="K7" s="4">
        <v>3</v>
      </c>
      <c r="L7" s="4">
        <v>3</v>
      </c>
      <c r="M7" s="4">
        <v>3</v>
      </c>
      <c r="N7" s="4">
        <v>3</v>
      </c>
      <c r="O7" s="4">
        <v>3</v>
      </c>
      <c r="P7" s="4">
        <v>3</v>
      </c>
      <c r="Q7" s="4">
        <f>Form_Responses[[#This Row],[SUM]]/10</f>
        <v>3</v>
      </c>
      <c r="R7" s="4">
        <f>SUM(Form_Responses[[#This Row],[1- I can always manage to solve difficult problems if I try hard enough.]:[10- I can usually handle whatever comes my way.]])</f>
        <v>30</v>
      </c>
      <c r="S7" s="4">
        <v>4</v>
      </c>
      <c r="T7" s="4">
        <v>4</v>
      </c>
      <c r="U7" s="4">
        <v>4</v>
      </c>
      <c r="V7" s="4">
        <v>5</v>
      </c>
      <c r="W7" s="4">
        <v>3</v>
      </c>
      <c r="X7" s="4">
        <v>2</v>
      </c>
      <c r="Y7" s="4">
        <v>2</v>
      </c>
      <c r="Z7" s="4">
        <v>1</v>
      </c>
      <c r="AA7" s="4">
        <v>1</v>
      </c>
      <c r="AB7" s="4">
        <v>3</v>
      </c>
      <c r="AC7" s="4">
        <v>5</v>
      </c>
      <c r="AD7" s="4">
        <v>4</v>
      </c>
      <c r="AE7" s="4">
        <v>4</v>
      </c>
      <c r="AF7" s="4">
        <v>4</v>
      </c>
      <c r="AG7" s="4">
        <v>4</v>
      </c>
      <c r="AH7" s="4">
        <v>1</v>
      </c>
      <c r="AI7" s="4">
        <v>2</v>
      </c>
      <c r="AJ7" s="4">
        <v>2</v>
      </c>
      <c r="AK7" s="4">
        <v>3</v>
      </c>
      <c r="AL7" s="4">
        <v>2</v>
      </c>
      <c r="AM7" s="4">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71</v>
      </c>
      <c r="AN7" s="4">
        <f>SUM(Form_Responses[[#This Row],[1- I can trust persons and organizations related to development of robots ]:[5- If robots had emotions, I would be able to be friend with them]])</f>
        <v>20</v>
      </c>
      <c r="AO7" s="4">
        <f>SUM(Form_Responses[[#This Row],[6- I would feel uneasy if I was given a job where I had to use robots]:[10- I don’t want a robot to touch me]])</f>
        <v>9</v>
      </c>
      <c r="AP7" s="4">
        <f>SUM(Form_Responses[[#This Row],[11- Robots are necessary because they can do jobs that are too hard or too dangerous for people ]:[15- Robots are a good thing for society, because they help people]])</f>
        <v>21</v>
      </c>
      <c r="AQ7" s="4">
        <f>SUM(Form_Responses[[#This Row],[16- Robots may make us even lazier ]:[20- Unregulated use of robotics can lead to societal upheavals]])</f>
        <v>10</v>
      </c>
      <c r="AR7" s="7" t="s">
        <v>83</v>
      </c>
      <c r="AS7" s="6">
        <f>TA_NQY!F7+TA_NQO!F7</f>
        <v>342.99999999999284</v>
      </c>
      <c r="AT7" s="6">
        <f>TA_NQY!G7+TA_NQO!G7</f>
        <v>15</v>
      </c>
      <c r="AU7" s="8">
        <v>2</v>
      </c>
      <c r="AV7" s="8">
        <v>2</v>
      </c>
      <c r="AW7" s="8">
        <v>3</v>
      </c>
      <c r="AX7" s="8">
        <v>8</v>
      </c>
      <c r="AY7" s="8">
        <v>4</v>
      </c>
      <c r="AZ7" s="8">
        <v>5</v>
      </c>
      <c r="BA7" s="8">
        <v>7</v>
      </c>
      <c r="BB7" s="8">
        <v>8</v>
      </c>
      <c r="BC7" s="8">
        <v>7</v>
      </c>
      <c r="BD7" s="8">
        <v>7</v>
      </c>
      <c r="BE7" s="8">
        <v>7</v>
      </c>
      <c r="BF7" s="8">
        <v>5</v>
      </c>
      <c r="BG7" s="7" t="s">
        <v>84</v>
      </c>
      <c r="BH7" s="103">
        <f>TA_NQY!E7+TA_NQO!E7</f>
        <v>162.99999999999829</v>
      </c>
      <c r="BI7" s="104">
        <f>TA_QY!E7+TA_QO!E7</f>
        <v>87.000000000004007</v>
      </c>
      <c r="BJ7" s="6">
        <f>TA_QY!F7+TA_QO!F7</f>
        <v>353.0000000000104</v>
      </c>
      <c r="BK7" s="6">
        <f>TA_QY!G7+TA_QO!G7</f>
        <v>15</v>
      </c>
      <c r="BL7" s="8">
        <v>2</v>
      </c>
      <c r="BM7" s="8">
        <v>2</v>
      </c>
      <c r="BN7" s="8">
        <v>4</v>
      </c>
      <c r="BO7" s="8">
        <v>8</v>
      </c>
      <c r="BP7" s="8">
        <v>2</v>
      </c>
      <c r="BQ7" s="8">
        <v>5</v>
      </c>
      <c r="BR7" s="8">
        <v>8</v>
      </c>
      <c r="BS7" s="8">
        <v>8</v>
      </c>
      <c r="BT7" s="8">
        <v>7</v>
      </c>
      <c r="BU7" s="8">
        <v>8</v>
      </c>
      <c r="BV7" s="8">
        <v>8</v>
      </c>
      <c r="BW7" s="8">
        <v>8</v>
      </c>
      <c r="BX7" s="7"/>
      <c r="BY7" s="7" t="s">
        <v>128</v>
      </c>
      <c r="BZ7" s="7" t="s">
        <v>129</v>
      </c>
      <c r="CA7" s="7" t="s">
        <v>102</v>
      </c>
      <c r="CB7" s="7" t="s">
        <v>130</v>
      </c>
      <c r="CC7" s="7" t="s">
        <v>131</v>
      </c>
      <c r="CD7" s="7" t="s">
        <v>132</v>
      </c>
      <c r="CE7" s="7" t="s">
        <v>133</v>
      </c>
      <c r="CF7" s="7" t="s">
        <v>102</v>
      </c>
      <c r="CG7" s="7" t="s">
        <v>134</v>
      </c>
    </row>
    <row r="8" spans="1:85" x14ac:dyDescent="0.3">
      <c r="A8" s="9">
        <v>45909.444653206017</v>
      </c>
      <c r="B8" s="22" t="s">
        <v>38</v>
      </c>
      <c r="C8" s="20" t="s">
        <v>39</v>
      </c>
      <c r="D8" s="12">
        <v>31</v>
      </c>
      <c r="E8" s="12" t="s">
        <v>37</v>
      </c>
      <c r="F8" s="12">
        <v>4</v>
      </c>
      <c r="G8" s="10">
        <v>4</v>
      </c>
      <c r="H8" s="10">
        <v>3</v>
      </c>
      <c r="I8" s="10">
        <v>4</v>
      </c>
      <c r="J8" s="10">
        <v>3</v>
      </c>
      <c r="K8" s="10">
        <v>2</v>
      </c>
      <c r="L8" s="10">
        <v>4</v>
      </c>
      <c r="M8" s="10">
        <v>2</v>
      </c>
      <c r="N8" s="10">
        <v>3</v>
      </c>
      <c r="O8" s="10">
        <v>4</v>
      </c>
      <c r="P8" s="10">
        <v>3</v>
      </c>
      <c r="Q8" s="10">
        <f>Form_Responses[[#This Row],[SUM]]/10</f>
        <v>3.2</v>
      </c>
      <c r="R8" s="10">
        <f>SUM(Form_Responses[[#This Row],[1- I can always manage to solve difficult problems if I try hard enough.]:[10- I can usually handle whatever comes my way.]])</f>
        <v>32</v>
      </c>
      <c r="S8" s="10">
        <v>5</v>
      </c>
      <c r="T8" s="10">
        <v>5</v>
      </c>
      <c r="U8" s="10">
        <v>5</v>
      </c>
      <c r="V8" s="10">
        <v>5</v>
      </c>
      <c r="W8" s="10">
        <v>5</v>
      </c>
      <c r="X8" s="10">
        <v>1</v>
      </c>
      <c r="Y8" s="10">
        <v>1</v>
      </c>
      <c r="Z8" s="10">
        <v>1</v>
      </c>
      <c r="AA8" s="10">
        <v>1</v>
      </c>
      <c r="AB8" s="10">
        <v>1</v>
      </c>
      <c r="AC8" s="10">
        <v>5</v>
      </c>
      <c r="AD8" s="10">
        <v>5</v>
      </c>
      <c r="AE8" s="10">
        <v>5</v>
      </c>
      <c r="AF8" s="10">
        <v>5</v>
      </c>
      <c r="AG8" s="10">
        <v>4</v>
      </c>
      <c r="AH8" s="10">
        <v>4</v>
      </c>
      <c r="AI8" s="10">
        <v>4</v>
      </c>
      <c r="AJ8" s="10">
        <v>4</v>
      </c>
      <c r="AK8" s="10">
        <v>5</v>
      </c>
      <c r="AL8" s="10">
        <v>4</v>
      </c>
      <c r="AM8" s="10">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63</v>
      </c>
      <c r="AN8" s="10">
        <f>SUM(Form_Responses[[#This Row],[1- I can trust persons and organizations related to development of robots ]:[5- If robots had emotions, I would be able to be friend with them]])</f>
        <v>25</v>
      </c>
      <c r="AO8" s="10">
        <f>SUM(Form_Responses[[#This Row],[6- I would feel uneasy if I was given a job where I had to use robots]:[10- I don’t want a robot to touch me]])</f>
        <v>5</v>
      </c>
      <c r="AP8" s="10">
        <f>SUM(Form_Responses[[#This Row],[11- Robots are necessary because they can do jobs that are too hard or too dangerous for people ]:[15- Robots are a good thing for society, because they help people]])</f>
        <v>24</v>
      </c>
      <c r="AQ8" s="10">
        <f>SUM(Form_Responses[[#This Row],[16- Robots may make us even lazier ]:[20- Unregulated use of robotics can lead to societal upheavals]])</f>
        <v>21</v>
      </c>
      <c r="AR8" s="11" t="s">
        <v>83</v>
      </c>
      <c r="AS8" s="80">
        <f>TA_NQY!F8+TA_NQO!F8</f>
        <v>346.99999999999511</v>
      </c>
      <c r="AT8" s="6">
        <f>TA_NQY!G8+TA_NQO!G8</f>
        <v>19</v>
      </c>
      <c r="AU8" s="12">
        <v>4</v>
      </c>
      <c r="AV8" s="12">
        <v>7</v>
      </c>
      <c r="AW8" s="12">
        <v>6</v>
      </c>
      <c r="AX8" s="12">
        <v>10</v>
      </c>
      <c r="AY8" s="12">
        <v>7</v>
      </c>
      <c r="AZ8" s="12">
        <v>6</v>
      </c>
      <c r="BA8" s="12">
        <v>10</v>
      </c>
      <c r="BB8" s="12">
        <v>10</v>
      </c>
      <c r="BC8" s="12">
        <v>9</v>
      </c>
      <c r="BD8" s="12">
        <v>9</v>
      </c>
      <c r="BE8" s="12">
        <v>10</v>
      </c>
      <c r="BF8" s="12">
        <v>4</v>
      </c>
      <c r="BG8" s="11" t="s">
        <v>84</v>
      </c>
      <c r="BH8" s="103">
        <f>TA_NQY!E8+TA_NQO!E8</f>
        <v>108.99999999999946</v>
      </c>
      <c r="BI8" s="104">
        <f>TA_QY!E8+TA_QO!E8</f>
        <v>126.00000000000051</v>
      </c>
      <c r="BJ8" s="80">
        <f>TA_QY!F8+TA_QO!F8</f>
        <v>581.00000000000296</v>
      </c>
      <c r="BK8" s="6">
        <f>TA_QY!G8+TA_QO!G8</f>
        <v>21</v>
      </c>
      <c r="BL8" s="12">
        <v>10</v>
      </c>
      <c r="BM8" s="12">
        <v>9</v>
      </c>
      <c r="BN8" s="12">
        <v>8</v>
      </c>
      <c r="BO8" s="12">
        <v>10</v>
      </c>
      <c r="BP8" s="12">
        <v>9</v>
      </c>
      <c r="BQ8" s="12">
        <v>9</v>
      </c>
      <c r="BR8" s="12">
        <v>9</v>
      </c>
      <c r="BS8" s="12">
        <v>8</v>
      </c>
      <c r="BT8" s="12">
        <v>9</v>
      </c>
      <c r="BU8" s="12">
        <v>9</v>
      </c>
      <c r="BV8" s="12">
        <v>10</v>
      </c>
      <c r="BW8" s="12">
        <v>10</v>
      </c>
      <c r="BX8" s="2" t="s">
        <v>135</v>
      </c>
      <c r="BY8" s="2" t="s">
        <v>136</v>
      </c>
      <c r="BZ8" s="2" t="s">
        <v>137</v>
      </c>
      <c r="CA8" s="2" t="s">
        <v>138</v>
      </c>
      <c r="CB8" s="2" t="s">
        <v>139</v>
      </c>
      <c r="CC8" s="2" t="s">
        <v>140</v>
      </c>
      <c r="CD8" s="2" t="s">
        <v>141</v>
      </c>
      <c r="CE8" s="2" t="s">
        <v>142</v>
      </c>
      <c r="CF8" s="2" t="s">
        <v>102</v>
      </c>
      <c r="CG8" s="2" t="s">
        <v>143</v>
      </c>
    </row>
    <row r="9" spans="1:85" x14ac:dyDescent="0.3">
      <c r="A9" s="9">
        <v>45909.490350810185</v>
      </c>
      <c r="B9" s="22" t="s">
        <v>40</v>
      </c>
      <c r="C9" s="21" t="s">
        <v>36</v>
      </c>
      <c r="D9" s="10">
        <v>29</v>
      </c>
      <c r="E9" s="10" t="s">
        <v>37</v>
      </c>
      <c r="F9" s="10">
        <v>3</v>
      </c>
      <c r="G9" s="10">
        <v>4</v>
      </c>
      <c r="H9" s="10">
        <v>4</v>
      </c>
      <c r="I9" s="10">
        <v>4</v>
      </c>
      <c r="J9" s="10">
        <v>4</v>
      </c>
      <c r="K9" s="10">
        <v>4</v>
      </c>
      <c r="L9" s="10">
        <v>4</v>
      </c>
      <c r="M9" s="10">
        <v>3</v>
      </c>
      <c r="N9" s="10">
        <v>4</v>
      </c>
      <c r="O9" s="10">
        <v>4</v>
      </c>
      <c r="P9" s="10">
        <v>4</v>
      </c>
      <c r="Q9" s="10">
        <f>Form_Responses[[#This Row],[SUM]]/10</f>
        <v>3.9</v>
      </c>
      <c r="R9" s="10">
        <f>SUM(Form_Responses[[#This Row],[1- I can always manage to solve difficult problems if I try hard enough.]:[10- I can usually handle whatever comes my way.]])</f>
        <v>39</v>
      </c>
      <c r="S9" s="10">
        <v>3</v>
      </c>
      <c r="T9" s="10">
        <v>3</v>
      </c>
      <c r="U9" s="10">
        <v>4</v>
      </c>
      <c r="V9" s="10">
        <v>5</v>
      </c>
      <c r="W9" s="10">
        <v>5</v>
      </c>
      <c r="X9" s="10">
        <v>5</v>
      </c>
      <c r="Y9" s="10">
        <v>5</v>
      </c>
      <c r="Z9" s="10">
        <v>1</v>
      </c>
      <c r="AA9" s="10">
        <v>3</v>
      </c>
      <c r="AB9" s="10">
        <v>3</v>
      </c>
      <c r="AC9" s="10">
        <v>5</v>
      </c>
      <c r="AD9" s="10">
        <v>5</v>
      </c>
      <c r="AE9" s="10">
        <v>5</v>
      </c>
      <c r="AF9" s="10">
        <v>2</v>
      </c>
      <c r="AG9" s="10">
        <v>4</v>
      </c>
      <c r="AH9" s="10">
        <v>4</v>
      </c>
      <c r="AI9" s="10">
        <v>3</v>
      </c>
      <c r="AJ9" s="10">
        <v>3</v>
      </c>
      <c r="AK9" s="10">
        <v>3</v>
      </c>
      <c r="AL9" s="10">
        <v>4</v>
      </c>
      <c r="AM9" s="10">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64</v>
      </c>
      <c r="AN9" s="10">
        <f>SUM(Form_Responses[[#This Row],[1- I can trust persons and organizations related to development of robots ]:[5- If robots had emotions, I would be able to be friend with them]])</f>
        <v>20</v>
      </c>
      <c r="AO9" s="10">
        <f>SUM(Form_Responses[[#This Row],[6- I would feel uneasy if I was given a job where I had to use robots]:[10- I don’t want a robot to touch me]])</f>
        <v>17</v>
      </c>
      <c r="AP9" s="10">
        <f>SUM(Form_Responses[[#This Row],[11- Robots are necessary because they can do jobs that are too hard or too dangerous for people ]:[15- Robots are a good thing for society, because they help people]])</f>
        <v>21</v>
      </c>
      <c r="AQ9" s="10">
        <f>SUM(Form_Responses[[#This Row],[16- Robots may make us even lazier ]:[20- Unregulated use of robotics can lead to societal upheavals]])</f>
        <v>17</v>
      </c>
      <c r="AR9" s="11" t="s">
        <v>83</v>
      </c>
      <c r="AS9" s="80">
        <f>TA_NQY!F9+TA_NQO!F9</f>
        <v>340.99999999999898</v>
      </c>
      <c r="AT9" s="6">
        <f>TA_NQY!G9+TA_NQO!G9</f>
        <v>20</v>
      </c>
      <c r="AU9" s="12">
        <v>1</v>
      </c>
      <c r="AV9" s="12">
        <v>2</v>
      </c>
      <c r="AW9" s="12">
        <v>3</v>
      </c>
      <c r="AX9" s="12">
        <v>10</v>
      </c>
      <c r="AY9" s="12">
        <v>2</v>
      </c>
      <c r="AZ9" s="12">
        <v>1</v>
      </c>
      <c r="BA9" s="12">
        <v>10</v>
      </c>
      <c r="BB9" s="12">
        <v>10</v>
      </c>
      <c r="BC9" s="12">
        <v>10</v>
      </c>
      <c r="BD9" s="12">
        <v>10</v>
      </c>
      <c r="BE9" s="12">
        <v>10</v>
      </c>
      <c r="BF9" s="12">
        <v>2</v>
      </c>
      <c r="BG9" s="11" t="s">
        <v>84</v>
      </c>
      <c r="BH9" s="103">
        <f>TA_NQY!E9+TA_NQO!E9</f>
        <v>124.00000000000179</v>
      </c>
      <c r="BI9" s="104">
        <f>TA_QY!E9+TA_QO!E9</f>
        <v>209.99999999999446</v>
      </c>
      <c r="BJ9" s="80">
        <f>TA_QY!F9+TA_QO!F9</f>
        <v>301.00000000000546</v>
      </c>
      <c r="BK9" s="6">
        <f>TA_QY!G9+TA_QO!G9</f>
        <v>19</v>
      </c>
      <c r="BL9" s="12">
        <v>6</v>
      </c>
      <c r="BM9" s="12">
        <v>3</v>
      </c>
      <c r="BN9" s="12">
        <v>7</v>
      </c>
      <c r="BO9" s="12">
        <v>9</v>
      </c>
      <c r="BP9" s="12">
        <v>8</v>
      </c>
      <c r="BQ9" s="12">
        <v>6</v>
      </c>
      <c r="BR9" s="12">
        <v>9</v>
      </c>
      <c r="BS9" s="12">
        <v>9</v>
      </c>
      <c r="BT9" s="12">
        <v>8</v>
      </c>
      <c r="BU9" s="12">
        <v>9</v>
      </c>
      <c r="BV9" s="12">
        <v>10</v>
      </c>
      <c r="BW9" s="12">
        <v>3</v>
      </c>
      <c r="BX9" s="2" t="s">
        <v>144</v>
      </c>
      <c r="BY9" s="2" t="s">
        <v>145</v>
      </c>
      <c r="BZ9" s="2" t="s">
        <v>146</v>
      </c>
      <c r="CA9" s="2" t="s">
        <v>147</v>
      </c>
      <c r="CB9" s="2" t="s">
        <v>148</v>
      </c>
      <c r="CC9" s="2" t="s">
        <v>149</v>
      </c>
      <c r="CD9" s="2" t="s">
        <v>150</v>
      </c>
      <c r="CE9" s="2" t="s">
        <v>151</v>
      </c>
      <c r="CF9" s="2" t="s">
        <v>152</v>
      </c>
      <c r="CG9" s="2" t="s">
        <v>153</v>
      </c>
    </row>
    <row r="10" spans="1:85" x14ac:dyDescent="0.3">
      <c r="A10" s="9">
        <v>45909.571112488426</v>
      </c>
      <c r="B10" s="22" t="s">
        <v>41</v>
      </c>
      <c r="C10" s="20" t="s">
        <v>36</v>
      </c>
      <c r="D10" s="12">
        <v>28</v>
      </c>
      <c r="E10" s="12" t="s">
        <v>37</v>
      </c>
      <c r="F10" s="12">
        <v>4</v>
      </c>
      <c r="G10" s="10">
        <v>3</v>
      </c>
      <c r="H10" s="10">
        <v>3</v>
      </c>
      <c r="I10" s="10">
        <v>4</v>
      </c>
      <c r="J10" s="10">
        <v>2</v>
      </c>
      <c r="K10" s="10">
        <v>2</v>
      </c>
      <c r="L10" s="10">
        <v>4</v>
      </c>
      <c r="M10" s="10">
        <v>4</v>
      </c>
      <c r="N10" s="10">
        <v>4</v>
      </c>
      <c r="O10" s="10">
        <v>3</v>
      </c>
      <c r="P10" s="10">
        <v>1</v>
      </c>
      <c r="Q10" s="10">
        <f>Form_Responses[[#This Row],[SUM]]/10</f>
        <v>3</v>
      </c>
      <c r="R10" s="10">
        <f>SUM(Form_Responses[[#This Row],[1- I can always manage to solve difficult problems if I try hard enough.]:[10- I can usually handle whatever comes my way.]])</f>
        <v>30</v>
      </c>
      <c r="S10" s="10">
        <v>3</v>
      </c>
      <c r="T10" s="10">
        <v>1</v>
      </c>
      <c r="U10" s="10">
        <v>2</v>
      </c>
      <c r="V10" s="10">
        <v>1</v>
      </c>
      <c r="W10" s="10">
        <v>1</v>
      </c>
      <c r="X10" s="10">
        <v>2</v>
      </c>
      <c r="Y10" s="10">
        <v>2</v>
      </c>
      <c r="Z10" s="10">
        <v>1</v>
      </c>
      <c r="AA10" s="10">
        <v>1</v>
      </c>
      <c r="AB10" s="10">
        <v>1</v>
      </c>
      <c r="AC10" s="10">
        <v>5</v>
      </c>
      <c r="AD10" s="10">
        <v>5</v>
      </c>
      <c r="AE10" s="10">
        <v>3</v>
      </c>
      <c r="AF10" s="10">
        <v>5</v>
      </c>
      <c r="AG10" s="10">
        <v>5</v>
      </c>
      <c r="AH10" s="10">
        <v>4</v>
      </c>
      <c r="AI10" s="10">
        <v>4</v>
      </c>
      <c r="AJ10" s="10">
        <v>4</v>
      </c>
      <c r="AK10" s="10">
        <v>4</v>
      </c>
      <c r="AL10" s="10">
        <v>5</v>
      </c>
      <c r="AM10" s="10">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62</v>
      </c>
      <c r="AN10" s="10">
        <f>SUM(Form_Responses[[#This Row],[1- I can trust persons and organizations related to development of robots ]:[5- If robots had emotions, I would be able to be friend with them]])</f>
        <v>8</v>
      </c>
      <c r="AO10" s="10">
        <f>SUM(Form_Responses[[#This Row],[6- I would feel uneasy if I was given a job where I had to use robots]:[10- I don’t want a robot to touch me]])</f>
        <v>7</v>
      </c>
      <c r="AP10" s="10">
        <f>SUM(Form_Responses[[#This Row],[11- Robots are necessary because they can do jobs that are too hard or too dangerous for people ]:[15- Robots are a good thing for society, because they help people]])</f>
        <v>23</v>
      </c>
      <c r="AQ10" s="10">
        <f>SUM(Form_Responses[[#This Row],[16- Robots may make us even lazier ]:[20- Unregulated use of robotics can lead to societal upheavals]])</f>
        <v>21</v>
      </c>
      <c r="AR10" s="11" t="s">
        <v>83</v>
      </c>
      <c r="AS10" s="80">
        <f>TA_NQY!F10+TA_NQO!F10</f>
        <v>264.99999999999989</v>
      </c>
      <c r="AT10" s="6">
        <f>TA_NQY!G10+TA_NQO!G10</f>
        <v>14</v>
      </c>
      <c r="AU10" s="12">
        <v>3</v>
      </c>
      <c r="AV10" s="12">
        <v>6</v>
      </c>
      <c r="AW10" s="12">
        <v>8</v>
      </c>
      <c r="AX10" s="12">
        <v>4</v>
      </c>
      <c r="AY10" s="12">
        <v>4</v>
      </c>
      <c r="AZ10" s="12">
        <v>7</v>
      </c>
      <c r="BA10" s="12">
        <v>8</v>
      </c>
      <c r="BB10" s="12">
        <v>8</v>
      </c>
      <c r="BC10" s="12">
        <v>6</v>
      </c>
      <c r="BD10" s="12">
        <v>3</v>
      </c>
      <c r="BE10" s="12">
        <v>10</v>
      </c>
      <c r="BF10" s="12">
        <v>4</v>
      </c>
      <c r="BG10" s="11" t="s">
        <v>84</v>
      </c>
      <c r="BH10" s="103">
        <f>TA_NQY!E10+TA_NQO!E10</f>
        <v>570.99999999999977</v>
      </c>
      <c r="BI10" s="104">
        <f>TA_QY!E10+TA_QO!E10</f>
        <v>123.999999999997</v>
      </c>
      <c r="BJ10" s="80">
        <f>TA_QY!F10+TA_QO!F10</f>
        <v>300.00000000000853</v>
      </c>
      <c r="BK10" s="6">
        <f>TA_QY!G10+TA_QO!G10</f>
        <v>14</v>
      </c>
      <c r="BL10" s="12">
        <v>9</v>
      </c>
      <c r="BM10" s="12">
        <v>7</v>
      </c>
      <c r="BN10" s="12">
        <v>9</v>
      </c>
      <c r="BO10" s="12">
        <v>10</v>
      </c>
      <c r="BP10" s="12">
        <v>7</v>
      </c>
      <c r="BQ10" s="12">
        <v>5</v>
      </c>
      <c r="BR10" s="12">
        <v>10</v>
      </c>
      <c r="BS10" s="12">
        <v>10</v>
      </c>
      <c r="BT10" s="12">
        <v>10</v>
      </c>
      <c r="BU10" s="12">
        <v>10</v>
      </c>
      <c r="BV10" s="12">
        <v>10</v>
      </c>
      <c r="BW10" s="12">
        <v>5</v>
      </c>
      <c r="BX10" s="2" t="s">
        <v>135</v>
      </c>
      <c r="BY10" s="2" t="s">
        <v>154</v>
      </c>
      <c r="BZ10" s="2" t="s">
        <v>155</v>
      </c>
      <c r="CA10" s="2" t="s">
        <v>156</v>
      </c>
      <c r="CB10" s="2" t="s">
        <v>37</v>
      </c>
      <c r="CC10" s="2" t="s">
        <v>37</v>
      </c>
      <c r="CD10" s="2" t="s">
        <v>157</v>
      </c>
      <c r="CE10" s="2" t="s">
        <v>158</v>
      </c>
      <c r="CF10" s="2" t="s">
        <v>159</v>
      </c>
      <c r="CG10" s="2" t="s">
        <v>160</v>
      </c>
    </row>
    <row r="11" spans="1:85" x14ac:dyDescent="0.3">
      <c r="A11" s="9">
        <v>45909.613403391202</v>
      </c>
      <c r="B11" s="22" t="s">
        <v>42</v>
      </c>
      <c r="C11" s="21" t="s">
        <v>39</v>
      </c>
      <c r="D11" s="10">
        <v>26</v>
      </c>
      <c r="E11" s="10" t="s">
        <v>43</v>
      </c>
      <c r="F11" s="10">
        <v>3</v>
      </c>
      <c r="G11" s="10">
        <v>3</v>
      </c>
      <c r="H11" s="10">
        <v>3</v>
      </c>
      <c r="I11" s="10">
        <v>2</v>
      </c>
      <c r="J11" s="10">
        <v>4</v>
      </c>
      <c r="K11" s="10">
        <v>4</v>
      </c>
      <c r="L11" s="10">
        <v>4</v>
      </c>
      <c r="M11" s="10">
        <v>4</v>
      </c>
      <c r="N11" s="10">
        <v>3</v>
      </c>
      <c r="O11" s="10">
        <v>4</v>
      </c>
      <c r="P11" s="10">
        <v>3</v>
      </c>
      <c r="Q11" s="10">
        <f>Form_Responses[[#This Row],[SUM]]/10</f>
        <v>3.4</v>
      </c>
      <c r="R11" s="10">
        <f>SUM(Form_Responses[[#This Row],[1- I can always manage to solve difficult problems if I try hard enough.]:[10- I can usually handle whatever comes my way.]])</f>
        <v>34</v>
      </c>
      <c r="S11" s="10">
        <v>3</v>
      </c>
      <c r="T11" s="10">
        <v>3</v>
      </c>
      <c r="U11" s="10">
        <v>4</v>
      </c>
      <c r="V11" s="10">
        <v>2</v>
      </c>
      <c r="W11" s="10">
        <v>3</v>
      </c>
      <c r="X11" s="10">
        <v>1</v>
      </c>
      <c r="Y11" s="10">
        <v>2</v>
      </c>
      <c r="Z11" s="10">
        <v>1</v>
      </c>
      <c r="AA11" s="10">
        <v>1</v>
      </c>
      <c r="AB11" s="10">
        <v>1</v>
      </c>
      <c r="AC11" s="10">
        <v>5</v>
      </c>
      <c r="AD11" s="10">
        <v>5</v>
      </c>
      <c r="AE11" s="10">
        <v>5</v>
      </c>
      <c r="AF11" s="10">
        <v>5</v>
      </c>
      <c r="AG11" s="10">
        <v>4</v>
      </c>
      <c r="AH11" s="10">
        <v>2</v>
      </c>
      <c r="AI11" s="10">
        <v>2</v>
      </c>
      <c r="AJ11" s="10">
        <v>1</v>
      </c>
      <c r="AK11" s="10">
        <v>4</v>
      </c>
      <c r="AL11" s="10">
        <v>2</v>
      </c>
      <c r="AM11" s="10">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73</v>
      </c>
      <c r="AN11" s="10">
        <f>SUM(Form_Responses[[#This Row],[1- I can trust persons and organizations related to development of robots ]:[5- If robots had emotions, I would be able to be friend with them]])</f>
        <v>15</v>
      </c>
      <c r="AO11" s="10">
        <f>SUM(Form_Responses[[#This Row],[6- I would feel uneasy if I was given a job where I had to use robots]:[10- I don’t want a robot to touch me]])</f>
        <v>6</v>
      </c>
      <c r="AP11" s="10">
        <f>SUM(Form_Responses[[#This Row],[11- Robots are necessary because they can do jobs that are too hard or too dangerous for people ]:[15- Robots are a good thing for society, because they help people]])</f>
        <v>24</v>
      </c>
      <c r="AQ11" s="10">
        <f>SUM(Form_Responses[[#This Row],[16- Robots may make us even lazier ]:[20- Unregulated use of robotics can lead to societal upheavals]])</f>
        <v>11</v>
      </c>
      <c r="AR11" s="11" t="s">
        <v>83</v>
      </c>
      <c r="AS11" s="80">
        <f>TA_NQY!F11+TA_NQO!F11</f>
        <v>310.99999999999426</v>
      </c>
      <c r="AT11" s="6">
        <f>TA_NQY!G11+TA_NQO!G11</f>
        <v>19</v>
      </c>
      <c r="AU11" s="12">
        <v>2</v>
      </c>
      <c r="AV11" s="12">
        <v>2</v>
      </c>
      <c r="AW11" s="12">
        <v>2</v>
      </c>
      <c r="AX11" s="12">
        <v>8</v>
      </c>
      <c r="AY11" s="12">
        <v>3</v>
      </c>
      <c r="AZ11" s="12">
        <v>1</v>
      </c>
      <c r="BA11" s="12">
        <v>9</v>
      </c>
      <c r="BB11" s="12">
        <v>6</v>
      </c>
      <c r="BC11" s="12">
        <v>4</v>
      </c>
      <c r="BD11" s="12">
        <v>7</v>
      </c>
      <c r="BE11" s="12">
        <v>10</v>
      </c>
      <c r="BF11" s="12">
        <v>4</v>
      </c>
      <c r="BG11" s="11" t="s">
        <v>84</v>
      </c>
      <c r="BH11" s="103">
        <f>TA_NQY!E11+TA_NQO!E11</f>
        <v>249.00000000001015</v>
      </c>
      <c r="BI11" s="104">
        <f>TA_QY!E11+TA_QO!E11</f>
        <v>138.99999999998977</v>
      </c>
      <c r="BJ11" s="80">
        <f>TA_QY!F11+TA_QO!F11</f>
        <v>374.00000000000409</v>
      </c>
      <c r="BK11" s="6">
        <f>TA_QY!G11+TA_QO!G11</f>
        <v>22</v>
      </c>
      <c r="BL11" s="12">
        <v>5</v>
      </c>
      <c r="BM11" s="12">
        <v>3</v>
      </c>
      <c r="BN11" s="12">
        <v>4</v>
      </c>
      <c r="BO11" s="12">
        <v>7</v>
      </c>
      <c r="BP11" s="12">
        <v>4</v>
      </c>
      <c r="BQ11" s="12">
        <v>1</v>
      </c>
      <c r="BR11" s="12">
        <v>9</v>
      </c>
      <c r="BS11" s="12">
        <v>8</v>
      </c>
      <c r="BT11" s="12">
        <v>8</v>
      </c>
      <c r="BU11" s="12">
        <v>8</v>
      </c>
      <c r="BV11" s="12">
        <v>8</v>
      </c>
      <c r="BW11" s="12">
        <v>3</v>
      </c>
      <c r="BX11" s="2" t="s">
        <v>161</v>
      </c>
      <c r="BY11" s="2" t="s">
        <v>162</v>
      </c>
      <c r="BZ11" s="2" t="s">
        <v>163</v>
      </c>
      <c r="CA11" s="2" t="s">
        <v>164</v>
      </c>
      <c r="CB11" s="2" t="s">
        <v>165</v>
      </c>
      <c r="CC11" s="2" t="s">
        <v>166</v>
      </c>
      <c r="CD11" s="2" t="s">
        <v>167</v>
      </c>
      <c r="CE11" s="2" t="s">
        <v>168</v>
      </c>
      <c r="CF11" s="2" t="s">
        <v>169</v>
      </c>
      <c r="CG11" s="2" t="s">
        <v>170</v>
      </c>
    </row>
    <row r="12" spans="1:85" x14ac:dyDescent="0.3">
      <c r="A12" s="9">
        <v>45909.662530416666</v>
      </c>
      <c r="B12" s="22" t="s">
        <v>44</v>
      </c>
      <c r="C12" s="20" t="s">
        <v>36</v>
      </c>
      <c r="D12" s="12">
        <v>28</v>
      </c>
      <c r="E12" s="12" t="s">
        <v>37</v>
      </c>
      <c r="F12" s="12">
        <v>4</v>
      </c>
      <c r="G12" s="10">
        <v>4</v>
      </c>
      <c r="H12" s="10">
        <v>3</v>
      </c>
      <c r="I12" s="10">
        <v>3</v>
      </c>
      <c r="J12" s="10">
        <v>3</v>
      </c>
      <c r="K12" s="10">
        <v>4</v>
      </c>
      <c r="L12" s="10">
        <v>3</v>
      </c>
      <c r="M12" s="10">
        <v>3</v>
      </c>
      <c r="N12" s="10">
        <v>3</v>
      </c>
      <c r="O12" s="10">
        <v>3</v>
      </c>
      <c r="P12" s="10">
        <v>3</v>
      </c>
      <c r="Q12" s="10">
        <f>Form_Responses[[#This Row],[SUM]]/10</f>
        <v>3.2</v>
      </c>
      <c r="R12" s="10">
        <f>SUM(Form_Responses[[#This Row],[1- I can always manage to solve difficult problems if I try hard enough.]:[10- I can usually handle whatever comes my way.]])</f>
        <v>32</v>
      </c>
      <c r="S12" s="10">
        <v>4</v>
      </c>
      <c r="T12" s="10">
        <v>3</v>
      </c>
      <c r="U12" s="10">
        <v>5</v>
      </c>
      <c r="V12" s="10">
        <v>4</v>
      </c>
      <c r="W12" s="10">
        <v>5</v>
      </c>
      <c r="X12" s="10">
        <v>1</v>
      </c>
      <c r="Y12" s="10">
        <v>4</v>
      </c>
      <c r="Z12" s="10">
        <v>1</v>
      </c>
      <c r="AA12" s="10">
        <v>1</v>
      </c>
      <c r="AB12" s="10">
        <v>1</v>
      </c>
      <c r="AC12" s="10">
        <v>5</v>
      </c>
      <c r="AD12" s="10">
        <v>5</v>
      </c>
      <c r="AE12" s="10">
        <v>5</v>
      </c>
      <c r="AF12" s="10">
        <v>4</v>
      </c>
      <c r="AG12" s="10">
        <v>5</v>
      </c>
      <c r="AH12" s="10">
        <v>5</v>
      </c>
      <c r="AI12" s="10">
        <v>3</v>
      </c>
      <c r="AJ12" s="10">
        <v>1</v>
      </c>
      <c r="AK12" s="10">
        <v>1</v>
      </c>
      <c r="AL12" s="10">
        <v>1</v>
      </c>
      <c r="AM12" s="10">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73</v>
      </c>
      <c r="AN12" s="10">
        <f>SUM(Form_Responses[[#This Row],[1- I can trust persons and organizations related to development of robots ]:[5- If robots had emotions, I would be able to be friend with them]])</f>
        <v>21</v>
      </c>
      <c r="AO12" s="10">
        <f>SUM(Form_Responses[[#This Row],[6- I would feel uneasy if I was given a job where I had to use robots]:[10- I don’t want a robot to touch me]])</f>
        <v>8</v>
      </c>
      <c r="AP12" s="10">
        <f>SUM(Form_Responses[[#This Row],[11- Robots are necessary because they can do jobs that are too hard or too dangerous for people ]:[15- Robots are a good thing for society, because they help people]])</f>
        <v>24</v>
      </c>
      <c r="AQ12" s="10">
        <f>SUM(Form_Responses[[#This Row],[16- Robots may make us even lazier ]:[20- Unregulated use of robotics can lead to societal upheavals]])</f>
        <v>11</v>
      </c>
      <c r="AR12" s="11" t="s">
        <v>83</v>
      </c>
      <c r="AS12" s="80">
        <f>TA_NQY!F12+TA_NQO!F12</f>
        <v>243.99999999999656</v>
      </c>
      <c r="AT12" s="6">
        <f>TA_NQY!G12+TA_NQO!G12</f>
        <v>10</v>
      </c>
      <c r="AU12" s="12">
        <v>3</v>
      </c>
      <c r="AV12" s="12">
        <v>6</v>
      </c>
      <c r="AW12" s="12">
        <v>6</v>
      </c>
      <c r="AX12" s="12">
        <v>10</v>
      </c>
      <c r="AY12" s="12">
        <v>6</v>
      </c>
      <c r="AZ12" s="12">
        <v>3</v>
      </c>
      <c r="BA12" s="12">
        <v>9</v>
      </c>
      <c r="BB12" s="12">
        <v>10</v>
      </c>
      <c r="BC12" s="12">
        <v>8</v>
      </c>
      <c r="BD12" s="12">
        <v>8</v>
      </c>
      <c r="BE12" s="12">
        <v>10</v>
      </c>
      <c r="BF12" s="12">
        <v>6</v>
      </c>
      <c r="BG12" s="11" t="s">
        <v>84</v>
      </c>
      <c r="BH12" s="103">
        <f>TA_NQY!E12+TA_NQO!E12</f>
        <v>127.00000000000706</v>
      </c>
      <c r="BI12" s="104">
        <f>TA_QY!E12+TA_QO!E12</f>
        <v>170.99999999999795</v>
      </c>
      <c r="BJ12" s="80">
        <f>TA_QY!F12+TA_QO!F12</f>
        <v>668.00000000000205</v>
      </c>
      <c r="BK12" s="6">
        <f>TA_QY!G12+TA_QO!G12</f>
        <v>17</v>
      </c>
      <c r="BL12" s="12">
        <v>7</v>
      </c>
      <c r="BM12" s="12">
        <v>4</v>
      </c>
      <c r="BN12" s="12">
        <v>5</v>
      </c>
      <c r="BO12" s="12">
        <v>6</v>
      </c>
      <c r="BP12" s="12">
        <v>6</v>
      </c>
      <c r="BQ12" s="12">
        <v>5</v>
      </c>
      <c r="BR12" s="12">
        <v>7</v>
      </c>
      <c r="BS12" s="12">
        <v>10</v>
      </c>
      <c r="BT12" s="12">
        <v>7</v>
      </c>
      <c r="BU12" s="12">
        <v>6</v>
      </c>
      <c r="BV12" s="12">
        <v>10</v>
      </c>
      <c r="BW12" s="12">
        <v>7</v>
      </c>
      <c r="BX12" s="2" t="s">
        <v>171</v>
      </c>
      <c r="BY12" s="2" t="s">
        <v>172</v>
      </c>
      <c r="BZ12" s="2" t="s">
        <v>173</v>
      </c>
      <c r="CA12" s="2" t="s">
        <v>174</v>
      </c>
      <c r="CB12" s="2" t="s">
        <v>104</v>
      </c>
      <c r="CC12" s="2" t="s">
        <v>104</v>
      </c>
      <c r="CD12" s="2" t="s">
        <v>175</v>
      </c>
      <c r="CE12" s="2" t="s">
        <v>176</v>
      </c>
      <c r="CF12" s="2" t="s">
        <v>102</v>
      </c>
      <c r="CG12" s="2" t="s">
        <v>177</v>
      </c>
    </row>
    <row r="13" spans="1:85" x14ac:dyDescent="0.3">
      <c r="A13" s="9">
        <v>45909.707308969912</v>
      </c>
      <c r="B13" s="22" t="s">
        <v>45</v>
      </c>
      <c r="C13" s="21" t="s">
        <v>39</v>
      </c>
      <c r="D13" s="10">
        <v>25</v>
      </c>
      <c r="E13" s="10" t="s">
        <v>43</v>
      </c>
      <c r="F13" s="10">
        <v>4</v>
      </c>
      <c r="G13" s="10">
        <v>3</v>
      </c>
      <c r="H13" s="10">
        <v>2</v>
      </c>
      <c r="I13" s="10">
        <v>3</v>
      </c>
      <c r="J13" s="10">
        <v>3</v>
      </c>
      <c r="K13" s="10">
        <v>3</v>
      </c>
      <c r="L13" s="10">
        <v>4</v>
      </c>
      <c r="M13" s="10">
        <v>4</v>
      </c>
      <c r="N13" s="10">
        <v>2</v>
      </c>
      <c r="O13" s="10">
        <v>3</v>
      </c>
      <c r="P13" s="10">
        <v>2</v>
      </c>
      <c r="Q13" s="10">
        <f>Form_Responses[[#This Row],[SUM]]/10</f>
        <v>2.9</v>
      </c>
      <c r="R13" s="10">
        <f>SUM(Form_Responses[[#This Row],[1- I can always manage to solve difficult problems if I try hard enough.]:[10- I can usually handle whatever comes my way.]])</f>
        <v>29</v>
      </c>
      <c r="S13" s="10">
        <v>4</v>
      </c>
      <c r="T13" s="10">
        <v>3</v>
      </c>
      <c r="U13" s="10">
        <v>5</v>
      </c>
      <c r="V13" s="10">
        <v>5</v>
      </c>
      <c r="W13" s="10">
        <v>5</v>
      </c>
      <c r="X13" s="10">
        <v>1</v>
      </c>
      <c r="Y13" s="10">
        <v>2</v>
      </c>
      <c r="Z13" s="10">
        <v>1</v>
      </c>
      <c r="AA13" s="10">
        <v>1</v>
      </c>
      <c r="AB13" s="10">
        <v>3</v>
      </c>
      <c r="AC13" s="10">
        <v>5</v>
      </c>
      <c r="AD13" s="10">
        <v>5</v>
      </c>
      <c r="AE13" s="10">
        <v>5</v>
      </c>
      <c r="AF13" s="10">
        <v>5</v>
      </c>
      <c r="AG13" s="10">
        <v>4</v>
      </c>
      <c r="AH13" s="10">
        <v>3</v>
      </c>
      <c r="AI13" s="10">
        <v>2</v>
      </c>
      <c r="AJ13" s="10">
        <v>2</v>
      </c>
      <c r="AK13" s="10">
        <v>5</v>
      </c>
      <c r="AL13" s="10">
        <v>2</v>
      </c>
      <c r="AM13" s="10">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70</v>
      </c>
      <c r="AN13" s="10">
        <f>SUM(Form_Responses[[#This Row],[1- I can trust persons and organizations related to development of robots ]:[5- If robots had emotions, I would be able to be friend with them]])</f>
        <v>22</v>
      </c>
      <c r="AO13" s="10">
        <f>SUM(Form_Responses[[#This Row],[6- I would feel uneasy if I was given a job where I had to use robots]:[10- I don’t want a robot to touch me]])</f>
        <v>8</v>
      </c>
      <c r="AP13" s="10">
        <f>SUM(Form_Responses[[#This Row],[11- Robots are necessary because they can do jobs that are too hard or too dangerous for people ]:[15- Robots are a good thing for society, because they help people]])</f>
        <v>24</v>
      </c>
      <c r="AQ13" s="10">
        <f>SUM(Form_Responses[[#This Row],[16- Robots may make us even lazier ]:[20- Unregulated use of robotics can lead to societal upheavals]])</f>
        <v>14</v>
      </c>
      <c r="AR13" s="11" t="s">
        <v>83</v>
      </c>
      <c r="AS13" s="80">
        <f>TA_NQY!F13+TA_NQO!F13</f>
        <v>304.99999999999329</v>
      </c>
      <c r="AT13" s="6">
        <f>TA_NQY!G13+TA_NQO!G13</f>
        <v>15</v>
      </c>
      <c r="AU13" s="12">
        <v>1</v>
      </c>
      <c r="AV13" s="12">
        <v>5</v>
      </c>
      <c r="AW13" s="12">
        <v>2</v>
      </c>
      <c r="AX13" s="12">
        <v>10</v>
      </c>
      <c r="AY13" s="12">
        <v>6</v>
      </c>
      <c r="AZ13" s="12">
        <v>2</v>
      </c>
      <c r="BA13" s="12">
        <v>9</v>
      </c>
      <c r="BB13" s="12">
        <v>8</v>
      </c>
      <c r="BC13" s="12">
        <v>8</v>
      </c>
      <c r="BD13" s="12">
        <v>8</v>
      </c>
      <c r="BE13" s="12">
        <v>10</v>
      </c>
      <c r="BF13" s="12">
        <v>8</v>
      </c>
      <c r="BG13" s="11" t="s">
        <v>84</v>
      </c>
      <c r="BH13" s="103">
        <f>TA_NQY!E13+TA_NQO!E13</f>
        <v>137.00000000000543</v>
      </c>
      <c r="BI13" s="104">
        <f>TA_QY!E13+TA_QO!E13</f>
        <v>509.99999999999341</v>
      </c>
      <c r="BJ13" s="80">
        <f>TA_QY!F13+TA_QO!F13</f>
        <v>433.00000000000693</v>
      </c>
      <c r="BK13" s="6">
        <f>TA_QY!G13+TA_QO!G13</f>
        <v>19</v>
      </c>
      <c r="BL13" s="12">
        <v>6</v>
      </c>
      <c r="BM13" s="12">
        <v>6</v>
      </c>
      <c r="BN13" s="12">
        <v>8</v>
      </c>
      <c r="BO13" s="12">
        <v>9</v>
      </c>
      <c r="BP13" s="12">
        <v>7</v>
      </c>
      <c r="BQ13" s="12">
        <v>5</v>
      </c>
      <c r="BR13" s="12">
        <v>8</v>
      </c>
      <c r="BS13" s="12">
        <v>7</v>
      </c>
      <c r="BT13" s="12">
        <v>4</v>
      </c>
      <c r="BU13" s="12">
        <v>6</v>
      </c>
      <c r="BV13" s="12">
        <v>10</v>
      </c>
      <c r="BW13" s="12">
        <v>8</v>
      </c>
      <c r="BX13" s="2" t="s">
        <v>178</v>
      </c>
      <c r="BY13" s="2" t="s">
        <v>179</v>
      </c>
      <c r="BZ13" s="2" t="s">
        <v>180</v>
      </c>
      <c r="CA13" s="2" t="s">
        <v>102</v>
      </c>
      <c r="CB13" s="2" t="s">
        <v>181</v>
      </c>
      <c r="CC13" s="2" t="s">
        <v>182</v>
      </c>
      <c r="CD13" s="2" t="s">
        <v>183</v>
      </c>
      <c r="CE13" s="2" t="s">
        <v>184</v>
      </c>
      <c r="CF13" s="2" t="s">
        <v>185</v>
      </c>
      <c r="CG13" s="2" t="s">
        <v>186</v>
      </c>
    </row>
    <row r="14" spans="1:85" x14ac:dyDescent="0.3">
      <c r="A14" s="9">
        <v>45909.751557291667</v>
      </c>
      <c r="B14" s="22" t="s">
        <v>46</v>
      </c>
      <c r="C14" s="20" t="s">
        <v>36</v>
      </c>
      <c r="D14" s="12">
        <v>33</v>
      </c>
      <c r="E14" s="12" t="s">
        <v>37</v>
      </c>
      <c r="F14" s="12">
        <v>4</v>
      </c>
      <c r="G14" s="10">
        <v>4</v>
      </c>
      <c r="H14" s="10">
        <v>2</v>
      </c>
      <c r="I14" s="10">
        <v>4</v>
      </c>
      <c r="J14" s="10">
        <v>2</v>
      </c>
      <c r="K14" s="10">
        <v>2</v>
      </c>
      <c r="L14" s="10">
        <v>4</v>
      </c>
      <c r="M14" s="10">
        <v>2</v>
      </c>
      <c r="N14" s="10">
        <v>4</v>
      </c>
      <c r="O14" s="10">
        <v>3</v>
      </c>
      <c r="P14" s="10">
        <v>3</v>
      </c>
      <c r="Q14" s="10">
        <f>Form_Responses[[#This Row],[SUM]]/10</f>
        <v>3</v>
      </c>
      <c r="R14" s="10">
        <f>SUM(Form_Responses[[#This Row],[1- I can always manage to solve difficult problems if I try hard enough.]:[10- I can usually handle whatever comes my way.]])</f>
        <v>30</v>
      </c>
      <c r="S14" s="10">
        <v>5</v>
      </c>
      <c r="T14" s="10">
        <v>4</v>
      </c>
      <c r="U14" s="10">
        <v>4</v>
      </c>
      <c r="V14" s="10">
        <v>4</v>
      </c>
      <c r="W14" s="10">
        <v>2</v>
      </c>
      <c r="X14" s="10">
        <v>1</v>
      </c>
      <c r="Y14" s="10">
        <v>2</v>
      </c>
      <c r="Z14" s="10">
        <v>2</v>
      </c>
      <c r="AA14" s="10">
        <v>1</v>
      </c>
      <c r="AB14" s="10">
        <v>1</v>
      </c>
      <c r="AC14" s="10">
        <v>5</v>
      </c>
      <c r="AD14" s="10">
        <v>5</v>
      </c>
      <c r="AE14" s="10">
        <v>5</v>
      </c>
      <c r="AF14" s="10">
        <v>5</v>
      </c>
      <c r="AG14" s="10">
        <v>4</v>
      </c>
      <c r="AH14" s="10">
        <v>3</v>
      </c>
      <c r="AI14" s="10">
        <v>2</v>
      </c>
      <c r="AJ14" s="10">
        <v>2</v>
      </c>
      <c r="AK14" s="10">
        <v>4</v>
      </c>
      <c r="AL14" s="10">
        <v>4</v>
      </c>
      <c r="AM14" s="10">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69</v>
      </c>
      <c r="AN14" s="10">
        <f>SUM(Form_Responses[[#This Row],[1- I can trust persons and organizations related to development of robots ]:[5- If robots had emotions, I would be able to be friend with them]])</f>
        <v>19</v>
      </c>
      <c r="AO14" s="10">
        <f>SUM(Form_Responses[[#This Row],[6- I would feel uneasy if I was given a job where I had to use robots]:[10- I don’t want a robot to touch me]])</f>
        <v>7</v>
      </c>
      <c r="AP14" s="10">
        <f>SUM(Form_Responses[[#This Row],[11- Robots are necessary because they can do jobs that are too hard or too dangerous for people ]:[15- Robots are a good thing for society, because they help people]])</f>
        <v>24</v>
      </c>
      <c r="AQ14" s="10">
        <f>SUM(Form_Responses[[#This Row],[16- Robots may make us even lazier ]:[20- Unregulated use of robotics can lead to societal upheavals]])</f>
        <v>15</v>
      </c>
      <c r="AR14" s="11" t="s">
        <v>83</v>
      </c>
      <c r="AS14" s="80">
        <f>TA_NQY!F14+TA_NQO!F14</f>
        <v>343.00000000000244</v>
      </c>
      <c r="AT14" s="6">
        <f>TA_NQY!G14+TA_NQO!G14</f>
        <v>20</v>
      </c>
      <c r="AU14" s="12">
        <v>2</v>
      </c>
      <c r="AV14" s="12">
        <v>3</v>
      </c>
      <c r="AW14" s="12">
        <v>3</v>
      </c>
      <c r="AX14" s="12">
        <v>9</v>
      </c>
      <c r="AY14" s="12">
        <v>3</v>
      </c>
      <c r="AZ14" s="12">
        <v>1</v>
      </c>
      <c r="BA14" s="12">
        <v>10</v>
      </c>
      <c r="BB14" s="12">
        <v>10</v>
      </c>
      <c r="BC14" s="12">
        <v>10</v>
      </c>
      <c r="BD14" s="12">
        <v>10</v>
      </c>
      <c r="BE14" s="12">
        <v>10</v>
      </c>
      <c r="BF14" s="12">
        <v>4</v>
      </c>
      <c r="BG14" s="11" t="s">
        <v>84</v>
      </c>
      <c r="BH14" s="103">
        <f>TA_NQY!E14+TA_NQO!E14</f>
        <v>724.99999999999181</v>
      </c>
      <c r="BI14" s="104">
        <f>TA_QY!E14+TA_QO!E14</f>
        <v>262.99999999999636</v>
      </c>
      <c r="BJ14" s="80">
        <f>TA_QY!F14+TA_QO!F14</f>
        <v>387.00000000000296</v>
      </c>
      <c r="BK14" s="6">
        <f>TA_QY!G14+TA_QO!G14</f>
        <v>20</v>
      </c>
      <c r="BL14" s="12">
        <v>5</v>
      </c>
      <c r="BM14" s="12">
        <v>3</v>
      </c>
      <c r="BN14" s="12">
        <v>5</v>
      </c>
      <c r="BO14" s="12">
        <v>10</v>
      </c>
      <c r="BP14" s="12">
        <v>6</v>
      </c>
      <c r="BQ14" s="12">
        <v>1</v>
      </c>
      <c r="BR14" s="12">
        <v>10</v>
      </c>
      <c r="BS14" s="12">
        <v>10</v>
      </c>
      <c r="BT14" s="12">
        <v>9</v>
      </c>
      <c r="BU14" s="12">
        <v>10</v>
      </c>
      <c r="BV14" s="12">
        <v>10</v>
      </c>
      <c r="BW14" s="12">
        <v>7</v>
      </c>
      <c r="BX14" s="2" t="s">
        <v>187</v>
      </c>
      <c r="BY14" s="2" t="s">
        <v>188</v>
      </c>
      <c r="BZ14" s="2" t="s">
        <v>189</v>
      </c>
      <c r="CA14" s="2" t="s">
        <v>102</v>
      </c>
      <c r="CB14" s="2" t="s">
        <v>190</v>
      </c>
      <c r="CC14" s="2" t="s">
        <v>191</v>
      </c>
      <c r="CD14" s="2" t="s">
        <v>192</v>
      </c>
      <c r="CE14" s="2" t="s">
        <v>193</v>
      </c>
      <c r="CF14" s="2" t="s">
        <v>194</v>
      </c>
      <c r="CG14" s="2" t="s">
        <v>195</v>
      </c>
    </row>
    <row r="15" spans="1:85" x14ac:dyDescent="0.3">
      <c r="A15" s="9">
        <v>45910.584917060187</v>
      </c>
      <c r="B15" s="22" t="s">
        <v>47</v>
      </c>
      <c r="C15" s="21" t="s">
        <v>36</v>
      </c>
      <c r="D15" s="10">
        <v>26</v>
      </c>
      <c r="E15" s="10" t="s">
        <v>37</v>
      </c>
      <c r="F15" s="10">
        <v>4</v>
      </c>
      <c r="G15" s="10">
        <v>3</v>
      </c>
      <c r="H15" s="10">
        <v>3</v>
      </c>
      <c r="I15" s="10">
        <v>3</v>
      </c>
      <c r="J15" s="10">
        <v>2</v>
      </c>
      <c r="K15" s="10">
        <v>3</v>
      </c>
      <c r="L15" s="10">
        <v>3</v>
      </c>
      <c r="M15" s="10">
        <v>3</v>
      </c>
      <c r="N15" s="10">
        <v>2</v>
      </c>
      <c r="O15" s="10">
        <v>3</v>
      </c>
      <c r="P15" s="10">
        <v>3</v>
      </c>
      <c r="Q15" s="10">
        <f>Form_Responses[[#This Row],[SUM]]/10</f>
        <v>2.8</v>
      </c>
      <c r="R15" s="10">
        <f>SUM(Form_Responses[[#This Row],[1- I can always manage to solve difficult problems if I try hard enough.]:[10- I can usually handle whatever comes my way.]])</f>
        <v>28</v>
      </c>
      <c r="S15" s="10">
        <v>5</v>
      </c>
      <c r="T15" s="10">
        <v>4</v>
      </c>
      <c r="U15" s="10">
        <v>5</v>
      </c>
      <c r="V15" s="10">
        <v>4</v>
      </c>
      <c r="W15" s="10">
        <v>3</v>
      </c>
      <c r="X15" s="10">
        <v>2</v>
      </c>
      <c r="Y15" s="10">
        <v>1</v>
      </c>
      <c r="Z15" s="10">
        <v>1</v>
      </c>
      <c r="AA15" s="10">
        <v>1</v>
      </c>
      <c r="AB15" s="10">
        <v>3</v>
      </c>
      <c r="AC15" s="10">
        <v>5</v>
      </c>
      <c r="AD15" s="10">
        <v>5</v>
      </c>
      <c r="AE15" s="10">
        <v>5</v>
      </c>
      <c r="AF15" s="10">
        <v>4</v>
      </c>
      <c r="AG15" s="10">
        <v>3</v>
      </c>
      <c r="AH15" s="10">
        <v>4</v>
      </c>
      <c r="AI15" s="10">
        <v>2</v>
      </c>
      <c r="AJ15" s="10">
        <v>3</v>
      </c>
      <c r="AK15" s="10">
        <v>4</v>
      </c>
      <c r="AL15" s="10">
        <v>4</v>
      </c>
      <c r="AM15" s="10">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65</v>
      </c>
      <c r="AN15" s="10">
        <f>SUM(Form_Responses[[#This Row],[1- I can trust persons and organizations related to development of robots ]:[5- If robots had emotions, I would be able to be friend with them]])</f>
        <v>21</v>
      </c>
      <c r="AO15" s="10">
        <f>SUM(Form_Responses[[#This Row],[6- I would feel uneasy if I was given a job where I had to use robots]:[10- I don’t want a robot to touch me]])</f>
        <v>8</v>
      </c>
      <c r="AP15" s="10">
        <f>SUM(Form_Responses[[#This Row],[11- Robots are necessary because they can do jobs that are too hard or too dangerous for people ]:[15- Robots are a good thing for society, because they help people]])</f>
        <v>22</v>
      </c>
      <c r="AQ15" s="10">
        <f>SUM(Form_Responses[[#This Row],[16- Robots may make us even lazier ]:[20- Unregulated use of robotics can lead to societal upheavals]])</f>
        <v>17</v>
      </c>
      <c r="AR15" s="11" t="s">
        <v>83</v>
      </c>
      <c r="AS15" s="80">
        <f>TA_NQY!F15+TA_NQO!F15</f>
        <v>249.99999999999753</v>
      </c>
      <c r="AT15" s="6">
        <f>TA_NQY!G15+TA_NQO!G15</f>
        <v>13</v>
      </c>
      <c r="AU15" s="12">
        <v>5</v>
      </c>
      <c r="AV15" s="12">
        <v>5</v>
      </c>
      <c r="AW15" s="12">
        <v>6</v>
      </c>
      <c r="AX15" s="12">
        <v>9</v>
      </c>
      <c r="AY15" s="12">
        <v>5</v>
      </c>
      <c r="AZ15" s="12">
        <v>2</v>
      </c>
      <c r="BA15" s="12">
        <v>9</v>
      </c>
      <c r="BB15" s="12">
        <v>8</v>
      </c>
      <c r="BC15" s="12">
        <v>7</v>
      </c>
      <c r="BD15" s="12">
        <v>9</v>
      </c>
      <c r="BE15" s="12">
        <v>9</v>
      </c>
      <c r="BF15" s="12">
        <v>8</v>
      </c>
      <c r="BG15" s="11" t="s">
        <v>84</v>
      </c>
      <c r="BH15" s="103">
        <f>TA_NQY!E15+TA_NQO!E15</f>
        <v>407.00000000000927</v>
      </c>
      <c r="BI15" s="104">
        <f>TA_QY!E15+TA_QO!E15</f>
        <v>624.00000000000159</v>
      </c>
      <c r="BJ15" s="80">
        <f>TA_QY!F15+TA_QO!F15</f>
        <v>356.00000000000131</v>
      </c>
      <c r="BK15" s="6">
        <f>TA_QY!G15+TA_QO!G15</f>
        <v>19</v>
      </c>
      <c r="BL15" s="12">
        <v>8</v>
      </c>
      <c r="BM15" s="12">
        <v>4</v>
      </c>
      <c r="BN15" s="12">
        <v>8</v>
      </c>
      <c r="BO15" s="12">
        <v>9</v>
      </c>
      <c r="BP15" s="12">
        <v>7</v>
      </c>
      <c r="BQ15" s="12">
        <v>2</v>
      </c>
      <c r="BR15" s="12">
        <v>9</v>
      </c>
      <c r="BS15" s="12">
        <v>7</v>
      </c>
      <c r="BT15" s="12">
        <v>8</v>
      </c>
      <c r="BU15" s="12">
        <v>8</v>
      </c>
      <c r="BV15" s="12">
        <v>9</v>
      </c>
      <c r="BW15" s="12">
        <v>8</v>
      </c>
      <c r="BX15" s="2" t="s">
        <v>196</v>
      </c>
      <c r="BY15" s="2" t="s">
        <v>197</v>
      </c>
      <c r="BZ15" s="2" t="s">
        <v>198</v>
      </c>
      <c r="CA15" s="2" t="s">
        <v>199</v>
      </c>
      <c r="CB15" s="2" t="s">
        <v>200</v>
      </c>
      <c r="CC15" s="2" t="s">
        <v>201</v>
      </c>
      <c r="CD15" s="2" t="s">
        <v>202</v>
      </c>
      <c r="CE15" s="2" t="s">
        <v>203</v>
      </c>
      <c r="CF15" s="2" t="s">
        <v>204</v>
      </c>
      <c r="CG15" s="2" t="s">
        <v>205</v>
      </c>
    </row>
    <row r="16" spans="1:85" x14ac:dyDescent="0.3">
      <c r="A16" s="9">
        <v>45910.691854594908</v>
      </c>
      <c r="B16" s="22" t="s">
        <v>48</v>
      </c>
      <c r="C16" s="20" t="s">
        <v>36</v>
      </c>
      <c r="D16" s="12">
        <v>30</v>
      </c>
      <c r="E16" s="12" t="s">
        <v>37</v>
      </c>
      <c r="F16" s="12">
        <v>4</v>
      </c>
      <c r="G16" s="10">
        <v>4</v>
      </c>
      <c r="H16" s="10">
        <v>3</v>
      </c>
      <c r="I16" s="10">
        <v>3</v>
      </c>
      <c r="J16" s="10">
        <v>3</v>
      </c>
      <c r="K16" s="10">
        <v>4</v>
      </c>
      <c r="L16" s="10">
        <v>4</v>
      </c>
      <c r="M16" s="10">
        <v>4</v>
      </c>
      <c r="N16" s="10">
        <v>4</v>
      </c>
      <c r="O16" s="10">
        <v>3</v>
      </c>
      <c r="P16" s="10">
        <v>4</v>
      </c>
      <c r="Q16" s="10">
        <f>Form_Responses[[#This Row],[SUM]]/10</f>
        <v>3.6</v>
      </c>
      <c r="R16" s="10">
        <f>SUM(Form_Responses[[#This Row],[1- I can always manage to solve difficult problems if I try hard enough.]:[10- I can usually handle whatever comes my way.]])</f>
        <v>36</v>
      </c>
      <c r="S16" s="10">
        <v>4</v>
      </c>
      <c r="T16" s="10">
        <v>5</v>
      </c>
      <c r="U16" s="10">
        <v>5</v>
      </c>
      <c r="V16" s="10">
        <v>5</v>
      </c>
      <c r="W16" s="10">
        <v>2</v>
      </c>
      <c r="X16" s="10">
        <v>1</v>
      </c>
      <c r="Y16" s="10">
        <v>4</v>
      </c>
      <c r="Z16" s="10">
        <v>1</v>
      </c>
      <c r="AA16" s="10">
        <v>1</v>
      </c>
      <c r="AB16" s="10">
        <v>2</v>
      </c>
      <c r="AC16" s="10">
        <v>5</v>
      </c>
      <c r="AD16" s="10">
        <v>5</v>
      </c>
      <c r="AE16" s="10">
        <v>5</v>
      </c>
      <c r="AF16" s="10">
        <v>5</v>
      </c>
      <c r="AG16" s="10">
        <v>5</v>
      </c>
      <c r="AH16" s="10">
        <v>1</v>
      </c>
      <c r="AI16" s="10">
        <v>1</v>
      </c>
      <c r="AJ16" s="10">
        <v>1</v>
      </c>
      <c r="AK16" s="10">
        <v>2</v>
      </c>
      <c r="AL16" s="10">
        <v>2</v>
      </c>
      <c r="AM16" s="10">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78</v>
      </c>
      <c r="AN16" s="10">
        <f>SUM(Form_Responses[[#This Row],[1- I can trust persons and organizations related to development of robots ]:[5- If robots had emotions, I would be able to be friend with them]])</f>
        <v>21</v>
      </c>
      <c r="AO16" s="10">
        <f>SUM(Form_Responses[[#This Row],[6- I would feel uneasy if I was given a job where I had to use robots]:[10- I don’t want a robot to touch me]])</f>
        <v>9</v>
      </c>
      <c r="AP16" s="10">
        <f>SUM(Form_Responses[[#This Row],[11- Robots are necessary because they can do jobs that are too hard or too dangerous for people ]:[15- Robots are a good thing for society, because they help people]])</f>
        <v>25</v>
      </c>
      <c r="AQ16" s="10">
        <f>SUM(Form_Responses[[#This Row],[16- Robots may make us even lazier ]:[20- Unregulated use of robotics can lead to societal upheavals]])</f>
        <v>7</v>
      </c>
      <c r="AR16" s="11" t="s">
        <v>83</v>
      </c>
      <c r="AS16" s="80">
        <f>TA_NQY!F16+TA_NQO!F16</f>
        <v>268.99999999998772</v>
      </c>
      <c r="AT16" s="6">
        <f>TA_NQY!G16+TA_NQO!G16</f>
        <v>15</v>
      </c>
      <c r="AU16" s="12">
        <v>2</v>
      </c>
      <c r="AV16" s="12">
        <v>5</v>
      </c>
      <c r="AW16" s="12">
        <v>5</v>
      </c>
      <c r="AX16" s="12">
        <v>10</v>
      </c>
      <c r="AY16" s="12">
        <v>6</v>
      </c>
      <c r="AZ16" s="12">
        <v>1</v>
      </c>
      <c r="BA16" s="12">
        <v>10</v>
      </c>
      <c r="BB16" s="12">
        <v>10</v>
      </c>
      <c r="BC16" s="12">
        <v>10</v>
      </c>
      <c r="BD16" s="12">
        <v>7</v>
      </c>
      <c r="BE16" s="12">
        <v>10</v>
      </c>
      <c r="BF16" s="12">
        <v>3</v>
      </c>
      <c r="BG16" s="11" t="s">
        <v>84</v>
      </c>
      <c r="BH16" s="103">
        <f>TA_NQY!E16+TA_NQO!E16</f>
        <v>280.00000000000222</v>
      </c>
      <c r="BI16" s="104">
        <f>TA_QY!E16+TA_QO!E16</f>
        <v>470.00000000000955</v>
      </c>
      <c r="BJ16" s="80">
        <f>TA_QY!F16+TA_QO!F16</f>
        <v>375.99999999999801</v>
      </c>
      <c r="BK16" s="6">
        <f>TA_QY!G16+TA_QO!G16</f>
        <v>22</v>
      </c>
      <c r="BL16" s="12">
        <v>4</v>
      </c>
      <c r="BM16" s="12">
        <v>3</v>
      </c>
      <c r="BN16" s="12">
        <v>3</v>
      </c>
      <c r="BO16" s="12">
        <v>10</v>
      </c>
      <c r="BP16" s="12">
        <v>2</v>
      </c>
      <c r="BQ16" s="12">
        <v>1</v>
      </c>
      <c r="BR16" s="12">
        <v>10</v>
      </c>
      <c r="BS16" s="12">
        <v>10</v>
      </c>
      <c r="BT16" s="12">
        <v>7</v>
      </c>
      <c r="BU16" s="12">
        <v>10</v>
      </c>
      <c r="BV16" s="12">
        <v>10</v>
      </c>
      <c r="BW16" s="12">
        <v>3</v>
      </c>
      <c r="BX16" s="2" t="s">
        <v>206</v>
      </c>
      <c r="BY16" s="2" t="s">
        <v>207</v>
      </c>
      <c r="BZ16" s="2" t="s">
        <v>208</v>
      </c>
      <c r="CA16" s="2" t="s">
        <v>209</v>
      </c>
      <c r="CB16" s="2" t="s">
        <v>210</v>
      </c>
      <c r="CC16" s="2" t="s">
        <v>211</v>
      </c>
      <c r="CD16" s="2" t="s">
        <v>212</v>
      </c>
      <c r="CE16" s="2" t="s">
        <v>213</v>
      </c>
      <c r="CF16" s="2" t="s">
        <v>214</v>
      </c>
      <c r="CG16" s="2" t="s">
        <v>215</v>
      </c>
    </row>
    <row r="17" spans="1:85" x14ac:dyDescent="0.3">
      <c r="A17" s="9">
        <v>45910.737771979169</v>
      </c>
      <c r="B17" s="22" t="s">
        <v>49</v>
      </c>
      <c r="C17" s="21" t="s">
        <v>36</v>
      </c>
      <c r="D17" s="10">
        <v>22</v>
      </c>
      <c r="E17" s="10" t="s">
        <v>43</v>
      </c>
      <c r="F17" s="10">
        <v>3</v>
      </c>
      <c r="G17" s="10">
        <v>4</v>
      </c>
      <c r="H17" s="10">
        <v>3</v>
      </c>
      <c r="I17" s="10">
        <v>4</v>
      </c>
      <c r="J17" s="10">
        <v>3</v>
      </c>
      <c r="K17" s="10">
        <v>3</v>
      </c>
      <c r="L17" s="10">
        <v>4</v>
      </c>
      <c r="M17" s="10">
        <v>3</v>
      </c>
      <c r="N17" s="10">
        <v>3</v>
      </c>
      <c r="O17" s="10">
        <v>3</v>
      </c>
      <c r="P17" s="10">
        <v>3</v>
      </c>
      <c r="Q17" s="10">
        <f>Form_Responses[[#This Row],[SUM]]/10</f>
        <v>3.3</v>
      </c>
      <c r="R17" s="10">
        <f>SUM(Form_Responses[[#This Row],[1- I can always manage to solve difficult problems if I try hard enough.]:[10- I can usually handle whatever comes my way.]])</f>
        <v>33</v>
      </c>
      <c r="S17" s="10">
        <v>4</v>
      </c>
      <c r="T17" s="10">
        <v>4</v>
      </c>
      <c r="U17" s="10">
        <v>4</v>
      </c>
      <c r="V17" s="10">
        <v>3</v>
      </c>
      <c r="W17" s="10">
        <v>3</v>
      </c>
      <c r="X17" s="10">
        <v>2</v>
      </c>
      <c r="Y17" s="10">
        <v>2</v>
      </c>
      <c r="Z17" s="10">
        <v>3</v>
      </c>
      <c r="AA17" s="10">
        <v>2</v>
      </c>
      <c r="AB17" s="10">
        <v>3</v>
      </c>
      <c r="AC17" s="10">
        <v>4</v>
      </c>
      <c r="AD17" s="10">
        <v>4</v>
      </c>
      <c r="AE17" s="10">
        <v>3</v>
      </c>
      <c r="AF17" s="10">
        <v>4</v>
      </c>
      <c r="AG17" s="10">
        <v>3</v>
      </c>
      <c r="AH17" s="10">
        <v>4</v>
      </c>
      <c r="AI17" s="10">
        <v>4</v>
      </c>
      <c r="AJ17" s="10">
        <v>4</v>
      </c>
      <c r="AK17" s="10">
        <v>5</v>
      </c>
      <c r="AL17" s="10">
        <v>4</v>
      </c>
      <c r="AM17" s="10">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57</v>
      </c>
      <c r="AN17" s="10">
        <f>SUM(Form_Responses[[#This Row],[1- I can trust persons and organizations related to development of robots ]:[5- If robots had emotions, I would be able to be friend with them]])</f>
        <v>18</v>
      </c>
      <c r="AO17" s="10">
        <f>SUM(Form_Responses[[#This Row],[6- I would feel uneasy if I was given a job where I had to use robots]:[10- I don’t want a robot to touch me]])</f>
        <v>12</v>
      </c>
      <c r="AP17" s="10">
        <f>SUM(Form_Responses[[#This Row],[11- Robots are necessary because they can do jobs that are too hard or too dangerous for people ]:[15- Robots are a good thing for society, because they help people]])</f>
        <v>18</v>
      </c>
      <c r="AQ17" s="10">
        <f>SUM(Form_Responses[[#This Row],[16- Robots may make us even lazier ]:[20- Unregulated use of robotics can lead to societal upheavals]])</f>
        <v>21</v>
      </c>
      <c r="AR17" s="11" t="s">
        <v>83</v>
      </c>
      <c r="AS17" s="80">
        <f>TA_NQY!F17+TA_NQO!F17</f>
        <v>287.00000000000011</v>
      </c>
      <c r="AT17" s="6">
        <f>TA_NQY!G17+TA_NQO!G17</f>
        <v>17</v>
      </c>
      <c r="AU17" s="12">
        <v>4</v>
      </c>
      <c r="AV17" s="12">
        <v>6</v>
      </c>
      <c r="AW17" s="12">
        <v>6</v>
      </c>
      <c r="AX17" s="12">
        <v>9</v>
      </c>
      <c r="AY17" s="12">
        <v>5</v>
      </c>
      <c r="AZ17" s="12">
        <v>1</v>
      </c>
      <c r="BA17" s="12">
        <v>8</v>
      </c>
      <c r="BB17" s="12">
        <v>9</v>
      </c>
      <c r="BC17" s="12">
        <v>8</v>
      </c>
      <c r="BD17" s="12">
        <v>8</v>
      </c>
      <c r="BE17" s="12">
        <v>8</v>
      </c>
      <c r="BF17" s="12">
        <v>6</v>
      </c>
      <c r="BG17" s="11" t="s">
        <v>84</v>
      </c>
      <c r="BH17" s="103">
        <f>TA_NQY!E17+TA_NQO!E17</f>
        <v>558.00000000001046</v>
      </c>
      <c r="BI17" s="104">
        <f>TA_QY!E17+TA_QO!E17</f>
        <v>361.00000000000529</v>
      </c>
      <c r="BJ17" s="80">
        <f>TA_QY!F17+TA_QO!F17</f>
        <v>359.00000000000176</v>
      </c>
      <c r="BK17" s="6">
        <f>TA_QY!G17+TA_QO!G17</f>
        <v>16</v>
      </c>
      <c r="BL17" s="12">
        <v>8</v>
      </c>
      <c r="BM17" s="12">
        <v>5</v>
      </c>
      <c r="BN17" s="12">
        <v>7</v>
      </c>
      <c r="BO17" s="12">
        <v>9</v>
      </c>
      <c r="BP17" s="12">
        <v>7</v>
      </c>
      <c r="BQ17" s="12">
        <v>2</v>
      </c>
      <c r="BR17" s="12">
        <v>9</v>
      </c>
      <c r="BS17" s="12">
        <v>6</v>
      </c>
      <c r="BT17" s="12">
        <v>9</v>
      </c>
      <c r="BU17" s="12">
        <v>9</v>
      </c>
      <c r="BV17" s="12">
        <v>8</v>
      </c>
      <c r="BW17" s="12">
        <v>7</v>
      </c>
      <c r="BX17" s="2" t="s">
        <v>216</v>
      </c>
      <c r="BY17" s="2" t="s">
        <v>217</v>
      </c>
      <c r="BZ17" s="2" t="s">
        <v>218</v>
      </c>
      <c r="CA17" s="2" t="s">
        <v>219</v>
      </c>
      <c r="CB17" s="2" t="s">
        <v>220</v>
      </c>
      <c r="CC17" s="2" t="s">
        <v>221</v>
      </c>
      <c r="CD17" s="2" t="s">
        <v>222</v>
      </c>
      <c r="CE17" s="2" t="s">
        <v>223</v>
      </c>
      <c r="CF17" s="2" t="s">
        <v>224</v>
      </c>
      <c r="CG17" s="2" t="s">
        <v>225</v>
      </c>
    </row>
    <row r="18" spans="1:85" x14ac:dyDescent="0.3">
      <c r="A18" s="9">
        <v>45912.400994479161</v>
      </c>
      <c r="B18" s="22" t="s">
        <v>50</v>
      </c>
      <c r="C18" s="20" t="s">
        <v>39</v>
      </c>
      <c r="D18" s="12">
        <v>27</v>
      </c>
      <c r="E18" s="12" t="s">
        <v>37</v>
      </c>
      <c r="F18" s="12">
        <v>4</v>
      </c>
      <c r="G18" s="10">
        <v>3</v>
      </c>
      <c r="H18" s="10">
        <v>2</v>
      </c>
      <c r="I18" s="10">
        <v>1</v>
      </c>
      <c r="J18" s="10">
        <v>3</v>
      </c>
      <c r="K18" s="10">
        <v>4</v>
      </c>
      <c r="L18" s="10">
        <v>4</v>
      </c>
      <c r="M18" s="10">
        <v>2</v>
      </c>
      <c r="N18" s="10">
        <v>4</v>
      </c>
      <c r="O18" s="10">
        <v>4</v>
      </c>
      <c r="P18" s="10">
        <v>3</v>
      </c>
      <c r="Q18" s="10">
        <f>Form_Responses[[#This Row],[SUM]]/10</f>
        <v>3</v>
      </c>
      <c r="R18" s="10">
        <f>SUM(Form_Responses[[#This Row],[1- I can always manage to solve difficult problems if I try hard enough.]:[10- I can usually handle whatever comes my way.]])</f>
        <v>30</v>
      </c>
      <c r="S18" s="10">
        <v>2</v>
      </c>
      <c r="T18" s="10">
        <v>2</v>
      </c>
      <c r="U18" s="10">
        <v>2</v>
      </c>
      <c r="V18" s="10">
        <v>4</v>
      </c>
      <c r="W18" s="10">
        <v>5</v>
      </c>
      <c r="X18" s="10">
        <v>1</v>
      </c>
      <c r="Y18" s="10">
        <v>1</v>
      </c>
      <c r="Z18" s="10">
        <v>1</v>
      </c>
      <c r="AA18" s="10">
        <v>1</v>
      </c>
      <c r="AB18" s="10">
        <v>3</v>
      </c>
      <c r="AC18" s="10">
        <v>5</v>
      </c>
      <c r="AD18" s="10">
        <v>5</v>
      </c>
      <c r="AE18" s="10">
        <v>5</v>
      </c>
      <c r="AF18" s="10">
        <v>5</v>
      </c>
      <c r="AG18" s="10">
        <v>5</v>
      </c>
      <c r="AH18" s="10">
        <v>1</v>
      </c>
      <c r="AI18" s="10">
        <v>4</v>
      </c>
      <c r="AJ18" s="10">
        <v>2</v>
      </c>
      <c r="AK18" s="10">
        <v>4</v>
      </c>
      <c r="AL18" s="10">
        <v>5</v>
      </c>
      <c r="AM18" s="10">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69</v>
      </c>
      <c r="AN18" s="10">
        <f>SUM(Form_Responses[[#This Row],[1- I can trust persons and organizations related to development of robots ]:[5- If robots had emotions, I would be able to be friend with them]])</f>
        <v>15</v>
      </c>
      <c r="AO18" s="10">
        <f>SUM(Form_Responses[[#This Row],[6- I would feel uneasy if I was given a job where I had to use robots]:[10- I don’t want a robot to touch me]])</f>
        <v>7</v>
      </c>
      <c r="AP18" s="10">
        <f>SUM(Form_Responses[[#This Row],[11- Robots are necessary because they can do jobs that are too hard or too dangerous for people ]:[15- Robots are a good thing for society, because they help people]])</f>
        <v>25</v>
      </c>
      <c r="AQ18" s="10">
        <f>SUM(Form_Responses[[#This Row],[16- Robots may make us even lazier ]:[20- Unregulated use of robotics can lead to societal upheavals]])</f>
        <v>16</v>
      </c>
      <c r="AR18" s="11" t="s">
        <v>83</v>
      </c>
      <c r="AS18" s="80">
        <f>TA_NQY!F18+TA_NQO!F18</f>
        <v>271.99999999999295</v>
      </c>
      <c r="AT18" s="6">
        <f>TA_NQY!G18+TA_NQO!G18</f>
        <v>15</v>
      </c>
      <c r="AU18" s="12">
        <v>1</v>
      </c>
      <c r="AV18" s="12">
        <v>1</v>
      </c>
      <c r="AW18" s="12">
        <v>3</v>
      </c>
      <c r="AX18" s="12">
        <v>10</v>
      </c>
      <c r="AY18" s="12">
        <v>3</v>
      </c>
      <c r="AZ18" s="12">
        <v>3</v>
      </c>
      <c r="BA18" s="12">
        <v>10</v>
      </c>
      <c r="BB18" s="12">
        <v>10</v>
      </c>
      <c r="BC18" s="12">
        <v>10</v>
      </c>
      <c r="BD18" s="12">
        <v>10</v>
      </c>
      <c r="BE18" s="12">
        <v>10</v>
      </c>
      <c r="BF18" s="12">
        <v>7</v>
      </c>
      <c r="BG18" s="11" t="s">
        <v>84</v>
      </c>
      <c r="BH18" s="103">
        <f>TA_NQY!E18+TA_NQO!E18</f>
        <v>125.00000000000355</v>
      </c>
      <c r="BI18" s="104">
        <f>TA_QY!E18+TA_QO!E18</f>
        <v>412.99999999999579</v>
      </c>
      <c r="BJ18" s="80">
        <f>TA_QY!F18+TA_QO!F18</f>
        <v>413.00000000000063</v>
      </c>
      <c r="BK18" s="6">
        <f>TA_QY!G18+TA_QO!G18</f>
        <v>18</v>
      </c>
      <c r="BL18" s="12">
        <v>4</v>
      </c>
      <c r="BM18" s="12">
        <v>2</v>
      </c>
      <c r="BN18" s="12">
        <v>5</v>
      </c>
      <c r="BO18" s="12">
        <v>8</v>
      </c>
      <c r="BP18" s="12">
        <v>7</v>
      </c>
      <c r="BQ18" s="12">
        <v>4</v>
      </c>
      <c r="BR18" s="12">
        <v>8</v>
      </c>
      <c r="BS18" s="12">
        <v>6</v>
      </c>
      <c r="BT18" s="12">
        <v>3</v>
      </c>
      <c r="BU18" s="12">
        <v>4</v>
      </c>
      <c r="BV18" s="12">
        <v>10</v>
      </c>
      <c r="BW18" s="12">
        <v>7</v>
      </c>
      <c r="BX18" s="2" t="s">
        <v>226</v>
      </c>
      <c r="BY18" s="2" t="s">
        <v>227</v>
      </c>
      <c r="BZ18" s="2" t="s">
        <v>228</v>
      </c>
      <c r="CA18" s="2" t="s">
        <v>229</v>
      </c>
      <c r="CB18" s="2" t="s">
        <v>230</v>
      </c>
      <c r="CC18" s="2" t="s">
        <v>230</v>
      </c>
      <c r="CD18" s="2" t="s">
        <v>231</v>
      </c>
      <c r="CE18" s="2" t="s">
        <v>232</v>
      </c>
      <c r="CF18" s="2" t="s">
        <v>233</v>
      </c>
      <c r="CG18" s="2" t="s">
        <v>234</v>
      </c>
    </row>
    <row r="19" spans="1:85" x14ac:dyDescent="0.3">
      <c r="A19" s="9">
        <v>45912.446164340276</v>
      </c>
      <c r="B19" s="22" t="s">
        <v>51</v>
      </c>
      <c r="C19" s="21" t="s">
        <v>36</v>
      </c>
      <c r="D19" s="10">
        <v>28</v>
      </c>
      <c r="E19" s="10" t="s">
        <v>43</v>
      </c>
      <c r="F19" s="10">
        <v>4</v>
      </c>
      <c r="G19" s="10">
        <v>3</v>
      </c>
      <c r="H19" s="10">
        <v>3</v>
      </c>
      <c r="I19" s="10">
        <v>3</v>
      </c>
      <c r="J19" s="10">
        <v>2</v>
      </c>
      <c r="K19" s="10">
        <v>2</v>
      </c>
      <c r="L19" s="10">
        <v>4</v>
      </c>
      <c r="M19" s="10">
        <v>2</v>
      </c>
      <c r="N19" s="10">
        <v>3</v>
      </c>
      <c r="O19" s="10">
        <v>3</v>
      </c>
      <c r="P19" s="10">
        <v>4</v>
      </c>
      <c r="Q19" s="10">
        <f>Form_Responses[[#This Row],[SUM]]/10</f>
        <v>2.9</v>
      </c>
      <c r="R19" s="10">
        <f>SUM(Form_Responses[[#This Row],[1- I can always manage to solve difficult problems if I try hard enough.]:[10- I can usually handle whatever comes my way.]])</f>
        <v>29</v>
      </c>
      <c r="S19" s="10">
        <v>3</v>
      </c>
      <c r="T19" s="10">
        <v>4</v>
      </c>
      <c r="U19" s="10">
        <v>3</v>
      </c>
      <c r="V19" s="10">
        <v>3</v>
      </c>
      <c r="W19" s="10">
        <v>1</v>
      </c>
      <c r="X19" s="10">
        <v>1</v>
      </c>
      <c r="Y19" s="10">
        <v>2</v>
      </c>
      <c r="Z19" s="10">
        <v>2</v>
      </c>
      <c r="AA19" s="10">
        <v>2</v>
      </c>
      <c r="AB19" s="10">
        <v>4</v>
      </c>
      <c r="AC19" s="10">
        <v>5</v>
      </c>
      <c r="AD19" s="10">
        <v>5</v>
      </c>
      <c r="AE19" s="10">
        <v>5</v>
      </c>
      <c r="AF19" s="10">
        <v>5</v>
      </c>
      <c r="AG19" s="10">
        <v>5</v>
      </c>
      <c r="AH19" s="10">
        <v>4</v>
      </c>
      <c r="AI19" s="10">
        <v>3</v>
      </c>
      <c r="AJ19" s="10">
        <v>4</v>
      </c>
      <c r="AK19" s="10">
        <v>4</v>
      </c>
      <c r="AL19" s="10">
        <v>4</v>
      </c>
      <c r="AM19" s="10">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66</v>
      </c>
      <c r="AN19" s="10">
        <f>SUM(Form_Responses[[#This Row],[1- I can trust persons and organizations related to development of robots ]:[5- If robots had emotions, I would be able to be friend with them]])</f>
        <v>14</v>
      </c>
      <c r="AO19" s="10">
        <f>SUM(Form_Responses[[#This Row],[6- I would feel uneasy if I was given a job where I had to use robots]:[10- I don’t want a robot to touch me]])</f>
        <v>11</v>
      </c>
      <c r="AP19" s="10">
        <f>SUM(Form_Responses[[#This Row],[11- Robots are necessary because they can do jobs that are too hard or too dangerous for people ]:[15- Robots are a good thing for society, because they help people]])</f>
        <v>25</v>
      </c>
      <c r="AQ19" s="10">
        <f>SUM(Form_Responses[[#This Row],[16- Robots may make us even lazier ]:[20- Unregulated use of robotics can lead to societal upheavals]])</f>
        <v>19</v>
      </c>
      <c r="AR19" s="11" t="s">
        <v>83</v>
      </c>
      <c r="AS19" s="80">
        <f>TA_NQY!F19+TA_NQO!F19</f>
        <v>400.99999999999875</v>
      </c>
      <c r="AT19" s="6">
        <f>TA_NQY!G19+TA_NQO!G19</f>
        <v>22</v>
      </c>
      <c r="AU19" s="12">
        <v>2</v>
      </c>
      <c r="AV19" s="12">
        <v>2</v>
      </c>
      <c r="AW19" s="12">
        <v>2</v>
      </c>
      <c r="AX19" s="12">
        <v>9</v>
      </c>
      <c r="AY19" s="12">
        <v>4</v>
      </c>
      <c r="AZ19" s="12">
        <v>1</v>
      </c>
      <c r="BA19" s="12">
        <v>8</v>
      </c>
      <c r="BB19" s="12">
        <v>3</v>
      </c>
      <c r="BC19" s="12">
        <v>8</v>
      </c>
      <c r="BD19" s="12">
        <v>8</v>
      </c>
      <c r="BE19" s="12">
        <v>8</v>
      </c>
      <c r="BF19" s="12">
        <v>2</v>
      </c>
      <c r="BG19" s="11" t="s">
        <v>84</v>
      </c>
      <c r="BH19" s="103">
        <f>TA_NQY!E19+TA_NQO!E19</f>
        <v>523.00000000000182</v>
      </c>
      <c r="BI19" s="104">
        <f>TA_QY!E19+TA_QO!E19</f>
        <v>166.00000000000355</v>
      </c>
      <c r="BJ19" s="80">
        <f>TA_QY!F19+TA_QO!F19</f>
        <v>471.99999999999864</v>
      </c>
      <c r="BK19" s="6">
        <f>TA_QY!G19+TA_QO!G19</f>
        <v>19</v>
      </c>
      <c r="BL19" s="12">
        <v>6</v>
      </c>
      <c r="BM19" s="12">
        <v>4</v>
      </c>
      <c r="BN19" s="12">
        <v>7</v>
      </c>
      <c r="BO19" s="12">
        <v>7</v>
      </c>
      <c r="BP19" s="12">
        <v>7</v>
      </c>
      <c r="BQ19" s="12">
        <v>3</v>
      </c>
      <c r="BR19" s="12">
        <v>7</v>
      </c>
      <c r="BS19" s="12">
        <v>2</v>
      </c>
      <c r="BT19" s="12">
        <v>6</v>
      </c>
      <c r="BU19" s="12">
        <v>6</v>
      </c>
      <c r="BV19" s="12">
        <v>9</v>
      </c>
      <c r="BW19" s="12">
        <v>2</v>
      </c>
      <c r="BX19" s="2" t="s">
        <v>135</v>
      </c>
      <c r="BY19" s="2" t="s">
        <v>235</v>
      </c>
      <c r="BZ19" s="2" t="s">
        <v>236</v>
      </c>
      <c r="CA19" s="2" t="s">
        <v>43</v>
      </c>
      <c r="CB19" s="2" t="s">
        <v>37</v>
      </c>
      <c r="CC19" s="2" t="s">
        <v>237</v>
      </c>
      <c r="CD19" s="2" t="s">
        <v>238</v>
      </c>
      <c r="CE19" s="2" t="s">
        <v>239</v>
      </c>
      <c r="CF19" s="2" t="s">
        <v>43</v>
      </c>
      <c r="CG19" s="2" t="s">
        <v>240</v>
      </c>
    </row>
    <row r="20" spans="1:85" x14ac:dyDescent="0.3">
      <c r="A20" s="9">
        <v>45912.493647233801</v>
      </c>
      <c r="B20" s="108" t="s">
        <v>52</v>
      </c>
      <c r="C20" s="20" t="s">
        <v>39</v>
      </c>
      <c r="D20" s="12">
        <v>26</v>
      </c>
      <c r="E20" s="12" t="s">
        <v>37</v>
      </c>
      <c r="F20" s="12">
        <v>4</v>
      </c>
      <c r="G20" s="10">
        <v>4</v>
      </c>
      <c r="H20" s="10">
        <v>3</v>
      </c>
      <c r="I20" s="10">
        <v>4</v>
      </c>
      <c r="J20" s="10">
        <v>4</v>
      </c>
      <c r="K20" s="10">
        <v>3</v>
      </c>
      <c r="L20" s="10">
        <v>4</v>
      </c>
      <c r="M20" s="10">
        <v>4</v>
      </c>
      <c r="N20" s="10">
        <v>4</v>
      </c>
      <c r="O20" s="10">
        <v>4</v>
      </c>
      <c r="P20" s="10">
        <v>4</v>
      </c>
      <c r="Q20" s="10">
        <f>Form_Responses[[#This Row],[SUM]]/10</f>
        <v>3.8</v>
      </c>
      <c r="R20" s="10">
        <f>SUM(Form_Responses[[#This Row],[1- I can always manage to solve difficult problems if I try hard enough.]:[10- I can usually handle whatever comes my way.]])</f>
        <v>38</v>
      </c>
      <c r="S20" s="10">
        <v>4</v>
      </c>
      <c r="T20" s="10">
        <v>3</v>
      </c>
      <c r="U20" s="10">
        <v>3</v>
      </c>
      <c r="V20" s="10">
        <v>3</v>
      </c>
      <c r="W20" s="10">
        <v>4</v>
      </c>
      <c r="X20" s="10">
        <v>1</v>
      </c>
      <c r="Y20" s="10">
        <v>3</v>
      </c>
      <c r="Z20" s="10">
        <v>1</v>
      </c>
      <c r="AA20" s="10">
        <v>1</v>
      </c>
      <c r="AB20" s="10">
        <v>2</v>
      </c>
      <c r="AC20" s="10">
        <v>4</v>
      </c>
      <c r="AD20" s="10">
        <v>3</v>
      </c>
      <c r="AE20" s="10">
        <v>3</v>
      </c>
      <c r="AF20" s="10">
        <v>4</v>
      </c>
      <c r="AG20" s="10">
        <v>3</v>
      </c>
      <c r="AH20" s="10">
        <v>4</v>
      </c>
      <c r="AI20" s="10">
        <v>2</v>
      </c>
      <c r="AJ20" s="10">
        <v>2</v>
      </c>
      <c r="AK20" s="10">
        <v>5</v>
      </c>
      <c r="AL20" s="10">
        <v>3</v>
      </c>
      <c r="AM20" s="10">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61</v>
      </c>
      <c r="AN20" s="10">
        <f>SUM(Form_Responses[[#This Row],[1- I can trust persons and organizations related to development of robots ]:[5- If robots had emotions, I would be able to be friend with them]])</f>
        <v>17</v>
      </c>
      <c r="AO20" s="10">
        <f>SUM(Form_Responses[[#This Row],[6- I would feel uneasy if I was given a job where I had to use robots]:[10- I don’t want a robot to touch me]])</f>
        <v>8</v>
      </c>
      <c r="AP20" s="10">
        <f>SUM(Form_Responses[[#This Row],[11- Robots are necessary because they can do jobs that are too hard or too dangerous for people ]:[15- Robots are a good thing for society, because they help people]])</f>
        <v>17</v>
      </c>
      <c r="AQ20" s="10">
        <f>SUM(Form_Responses[[#This Row],[16- Robots may make us even lazier ]:[20- Unregulated use of robotics can lead to societal upheavals]])</f>
        <v>16</v>
      </c>
      <c r="AR20" s="11" t="s">
        <v>83</v>
      </c>
      <c r="AS20" s="80">
        <f>TA_NQY!F20+TA_NQO!F20</f>
        <v>346.00000000001251</v>
      </c>
      <c r="AT20" s="6">
        <f>TA_NQY!G20+TA_NQO!G20</f>
        <v>20</v>
      </c>
      <c r="AU20" s="12">
        <v>2</v>
      </c>
      <c r="AV20" s="12">
        <v>2</v>
      </c>
      <c r="AW20" s="12">
        <v>2</v>
      </c>
      <c r="AX20" s="12">
        <v>9</v>
      </c>
      <c r="AY20" s="12">
        <v>3</v>
      </c>
      <c r="AZ20" s="12">
        <v>1</v>
      </c>
      <c r="BA20" s="12">
        <v>9</v>
      </c>
      <c r="BB20" s="12">
        <v>8</v>
      </c>
      <c r="BC20" s="12">
        <v>8</v>
      </c>
      <c r="BD20" s="12">
        <v>8</v>
      </c>
      <c r="BE20" s="12">
        <v>10</v>
      </c>
      <c r="BF20" s="12">
        <v>2</v>
      </c>
      <c r="BG20" s="11" t="s">
        <v>84</v>
      </c>
      <c r="BH20" s="103">
        <f>TA_NQY!E20+TA_NQO!E20</f>
        <v>253.99999999999494</v>
      </c>
      <c r="BI20" s="104">
        <f>TA_QY!E20+TA_QO!E20</f>
        <v>406.0000000000075</v>
      </c>
      <c r="BJ20" s="80">
        <f>TA_QY!F20+TA_QO!F20</f>
        <v>395.99999999999955</v>
      </c>
      <c r="BK20" s="6">
        <f>TA_QY!G20+TA_QO!G20</f>
        <v>22</v>
      </c>
      <c r="BL20" s="12">
        <v>3</v>
      </c>
      <c r="BM20" s="12">
        <v>3</v>
      </c>
      <c r="BN20" s="12">
        <v>5</v>
      </c>
      <c r="BO20" s="12">
        <v>9</v>
      </c>
      <c r="BP20" s="12">
        <v>6</v>
      </c>
      <c r="BQ20" s="12">
        <v>1</v>
      </c>
      <c r="BR20" s="12">
        <v>9</v>
      </c>
      <c r="BS20" s="12">
        <v>7</v>
      </c>
      <c r="BT20" s="12">
        <v>7</v>
      </c>
      <c r="BU20" s="12">
        <v>7</v>
      </c>
      <c r="BV20" s="12">
        <v>10</v>
      </c>
      <c r="BW20" s="12">
        <v>2</v>
      </c>
      <c r="BX20" s="109" t="s">
        <v>241</v>
      </c>
      <c r="BY20" s="2" t="s">
        <v>242</v>
      </c>
      <c r="BZ20" s="2" t="s">
        <v>243</v>
      </c>
      <c r="CA20" s="2" t="s">
        <v>244</v>
      </c>
      <c r="CB20" s="2" t="s">
        <v>245</v>
      </c>
      <c r="CC20" s="2" t="s">
        <v>246</v>
      </c>
      <c r="CD20" s="2" t="s">
        <v>247</v>
      </c>
      <c r="CE20" s="2" t="s">
        <v>248</v>
      </c>
      <c r="CF20" s="2" t="s">
        <v>249</v>
      </c>
      <c r="CG20" s="2" t="s">
        <v>250</v>
      </c>
    </row>
    <row r="21" spans="1:85" x14ac:dyDescent="0.3">
      <c r="A21" s="9">
        <v>45912.578483981481</v>
      </c>
      <c r="B21" s="22" t="s">
        <v>53</v>
      </c>
      <c r="C21" s="21" t="s">
        <v>39</v>
      </c>
      <c r="D21" s="10">
        <v>33</v>
      </c>
      <c r="E21" s="10" t="s">
        <v>37</v>
      </c>
      <c r="F21" s="10">
        <v>3</v>
      </c>
      <c r="G21" s="10">
        <v>4</v>
      </c>
      <c r="H21" s="10">
        <v>3</v>
      </c>
      <c r="I21" s="10">
        <v>4</v>
      </c>
      <c r="J21" s="10">
        <v>3</v>
      </c>
      <c r="K21" s="10">
        <v>4</v>
      </c>
      <c r="L21" s="10">
        <v>3</v>
      </c>
      <c r="M21" s="10">
        <v>2</v>
      </c>
      <c r="N21" s="10">
        <v>4</v>
      </c>
      <c r="O21" s="10">
        <v>4</v>
      </c>
      <c r="P21" s="10">
        <v>3</v>
      </c>
      <c r="Q21" s="10">
        <f>Form_Responses[[#This Row],[SUM]]/10</f>
        <v>3.4</v>
      </c>
      <c r="R21" s="10">
        <f>SUM(Form_Responses[[#This Row],[1- I can always manage to solve difficult problems if I try hard enough.]:[10- I can usually handle whatever comes my way.]])</f>
        <v>34</v>
      </c>
      <c r="S21" s="10">
        <v>4</v>
      </c>
      <c r="T21" s="10">
        <v>5</v>
      </c>
      <c r="U21" s="10">
        <v>4</v>
      </c>
      <c r="V21" s="10">
        <v>4</v>
      </c>
      <c r="W21" s="10">
        <v>5</v>
      </c>
      <c r="X21" s="10">
        <v>2</v>
      </c>
      <c r="Y21" s="10">
        <v>3</v>
      </c>
      <c r="Z21" s="10">
        <v>3</v>
      </c>
      <c r="AA21" s="10">
        <v>2</v>
      </c>
      <c r="AB21" s="10">
        <v>3</v>
      </c>
      <c r="AC21" s="10">
        <v>5</v>
      </c>
      <c r="AD21" s="10">
        <v>5</v>
      </c>
      <c r="AE21" s="10">
        <v>2</v>
      </c>
      <c r="AF21" s="10">
        <v>5</v>
      </c>
      <c r="AG21" s="10">
        <v>5</v>
      </c>
      <c r="AH21" s="10">
        <v>1</v>
      </c>
      <c r="AI21" s="10">
        <v>4</v>
      </c>
      <c r="AJ21" s="10">
        <v>2</v>
      </c>
      <c r="AK21" s="10">
        <v>5</v>
      </c>
      <c r="AL21" s="10">
        <v>5</v>
      </c>
      <c r="AM21" s="10">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65</v>
      </c>
      <c r="AN21" s="10">
        <f>SUM(Form_Responses[[#This Row],[1- I can trust persons and organizations related to development of robots ]:[5- If robots had emotions, I would be able to be friend with them]])</f>
        <v>22</v>
      </c>
      <c r="AO21" s="10">
        <f>SUM(Form_Responses[[#This Row],[6- I would feel uneasy if I was given a job where I had to use robots]:[10- I don’t want a robot to touch me]])</f>
        <v>13</v>
      </c>
      <c r="AP21" s="10">
        <f>SUM(Form_Responses[[#This Row],[11- Robots are necessary because they can do jobs that are too hard or too dangerous for people ]:[15- Robots are a good thing for society, because they help people]])</f>
        <v>22</v>
      </c>
      <c r="AQ21" s="10">
        <f>SUM(Form_Responses[[#This Row],[16- Robots may make us even lazier ]:[20- Unregulated use of robotics can lead to societal upheavals]])</f>
        <v>17</v>
      </c>
      <c r="AR21" s="11" t="s">
        <v>83</v>
      </c>
      <c r="AS21" s="80">
        <f>TA_NQY!F21+TA_NQO!F21</f>
        <v>409.00000000000318</v>
      </c>
      <c r="AT21" s="6">
        <f>TA_NQY!G21+TA_NQO!G21</f>
        <v>22</v>
      </c>
      <c r="AU21" s="12">
        <v>8</v>
      </c>
      <c r="AV21" s="12">
        <v>3</v>
      </c>
      <c r="AW21" s="12">
        <v>8</v>
      </c>
      <c r="AX21" s="12">
        <v>10</v>
      </c>
      <c r="AY21" s="12">
        <v>3</v>
      </c>
      <c r="AZ21" s="12">
        <v>8</v>
      </c>
      <c r="BA21" s="12">
        <v>10</v>
      </c>
      <c r="BB21" s="12">
        <v>10</v>
      </c>
      <c r="BC21" s="12">
        <v>10</v>
      </c>
      <c r="BD21" s="12">
        <v>10</v>
      </c>
      <c r="BE21" s="12">
        <v>9</v>
      </c>
      <c r="BF21" s="12">
        <v>1</v>
      </c>
      <c r="BG21" s="11" t="s">
        <v>84</v>
      </c>
      <c r="BH21" s="103">
        <f>TA_NQY!E21+TA_NQO!E21</f>
        <v>1012.9999999999985</v>
      </c>
      <c r="BI21" s="104">
        <f>TA_QY!E21+TA_QO!E21</f>
        <v>89.999999999994884</v>
      </c>
      <c r="BJ21" s="80">
        <f>TA_QY!F21+TA_QO!F21</f>
        <v>402.00000000000529</v>
      </c>
      <c r="BK21" s="6">
        <f>TA_QY!G21+TA_QO!G21</f>
        <v>22</v>
      </c>
      <c r="BL21" s="12">
        <v>4</v>
      </c>
      <c r="BM21" s="12">
        <v>3</v>
      </c>
      <c r="BN21" s="12">
        <v>4</v>
      </c>
      <c r="BO21" s="12">
        <v>10</v>
      </c>
      <c r="BP21" s="12">
        <v>10</v>
      </c>
      <c r="BQ21" s="12">
        <v>3</v>
      </c>
      <c r="BR21" s="12">
        <v>10</v>
      </c>
      <c r="BS21" s="12">
        <v>10</v>
      </c>
      <c r="BT21" s="12">
        <v>9</v>
      </c>
      <c r="BU21" s="12">
        <v>10</v>
      </c>
      <c r="BV21" s="12">
        <v>10</v>
      </c>
      <c r="BW21" s="12">
        <v>1</v>
      </c>
      <c r="BX21" s="2" t="s">
        <v>251</v>
      </c>
      <c r="BY21" s="2" t="s">
        <v>252</v>
      </c>
      <c r="BZ21" s="2" t="s">
        <v>253</v>
      </c>
      <c r="CA21" s="2" t="s">
        <v>254</v>
      </c>
      <c r="CB21" s="2" t="s">
        <v>255</v>
      </c>
      <c r="CC21" s="2" t="s">
        <v>256</v>
      </c>
      <c r="CD21" s="2" t="s">
        <v>257</v>
      </c>
      <c r="CE21" s="2" t="s">
        <v>258</v>
      </c>
      <c r="CF21" s="2" t="s">
        <v>259</v>
      </c>
      <c r="CG21" s="2" t="s">
        <v>260</v>
      </c>
    </row>
    <row r="22" spans="1:85" x14ac:dyDescent="0.3">
      <c r="A22" s="9">
        <v>45912.630338414354</v>
      </c>
      <c r="B22" s="110" t="s">
        <v>66</v>
      </c>
      <c r="C22" s="20" t="s">
        <v>39</v>
      </c>
      <c r="D22" s="12">
        <v>37</v>
      </c>
      <c r="E22" s="12" t="s">
        <v>43</v>
      </c>
      <c r="F22" s="12">
        <v>2</v>
      </c>
      <c r="G22" s="10">
        <v>4</v>
      </c>
      <c r="H22" s="10">
        <v>3</v>
      </c>
      <c r="I22" s="10">
        <v>4</v>
      </c>
      <c r="J22" s="10">
        <v>3</v>
      </c>
      <c r="K22" s="10">
        <v>3</v>
      </c>
      <c r="L22" s="10">
        <v>4</v>
      </c>
      <c r="M22" s="10">
        <v>3</v>
      </c>
      <c r="N22" s="10">
        <v>3</v>
      </c>
      <c r="O22" s="10">
        <v>4</v>
      </c>
      <c r="P22" s="10">
        <v>3</v>
      </c>
      <c r="Q22" s="10">
        <f>Form_Responses[[#This Row],[SUM]]/10</f>
        <v>3.4</v>
      </c>
      <c r="R22" s="10">
        <f>SUM(Form_Responses[[#This Row],[1- I can always manage to solve difficult problems if I try hard enough.]:[10- I can usually handle whatever comes my way.]])</f>
        <v>34</v>
      </c>
      <c r="S22" s="10">
        <v>3</v>
      </c>
      <c r="T22" s="10">
        <v>4</v>
      </c>
      <c r="U22" s="10">
        <v>3</v>
      </c>
      <c r="V22" s="10">
        <v>3</v>
      </c>
      <c r="W22" s="10">
        <v>3</v>
      </c>
      <c r="X22" s="10">
        <v>2</v>
      </c>
      <c r="Y22" s="10">
        <v>3</v>
      </c>
      <c r="Z22" s="10">
        <v>2</v>
      </c>
      <c r="AA22" s="10">
        <v>2</v>
      </c>
      <c r="AB22" s="10">
        <v>2</v>
      </c>
      <c r="AC22" s="10">
        <v>5</v>
      </c>
      <c r="AD22" s="10">
        <v>5</v>
      </c>
      <c r="AE22" s="10">
        <v>3</v>
      </c>
      <c r="AF22" s="10">
        <v>4</v>
      </c>
      <c r="AG22" s="10">
        <v>4</v>
      </c>
      <c r="AH22" s="10">
        <v>5</v>
      </c>
      <c r="AI22" s="10">
        <v>4</v>
      </c>
      <c r="AJ22" s="10">
        <v>4</v>
      </c>
      <c r="AK22" s="10">
        <v>3</v>
      </c>
      <c r="AL22" s="10">
        <v>3</v>
      </c>
      <c r="AM22" s="10">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62</v>
      </c>
      <c r="AN22" s="10">
        <f>SUM(Form_Responses[[#This Row],[1- I can trust persons and organizations related to development of robots ]:[5- If robots had emotions, I would be able to be friend with them]])</f>
        <v>16</v>
      </c>
      <c r="AO22" s="10">
        <f>SUM(Form_Responses[[#This Row],[6- I would feel uneasy if I was given a job where I had to use robots]:[10- I don’t want a robot to touch me]])</f>
        <v>11</v>
      </c>
      <c r="AP22" s="10">
        <f>SUM(Form_Responses[[#This Row],[11- Robots are necessary because they can do jobs that are too hard or too dangerous for people ]:[15- Robots are a good thing for society, because they help people]])</f>
        <v>21</v>
      </c>
      <c r="AQ22" s="10">
        <f>SUM(Form_Responses[[#This Row],[16- Robots may make us even lazier ]:[20- Unregulated use of robotics can lead to societal upheavals]])</f>
        <v>19</v>
      </c>
      <c r="AR22" s="11" t="s">
        <v>83</v>
      </c>
      <c r="AS22" s="80">
        <f>TA_NQY!F22+TA_NQO!F22</f>
        <v>369.9999999999971</v>
      </c>
      <c r="AT22" s="6">
        <f>TA_NQY!G22+TA_NQO!G22</f>
        <v>22</v>
      </c>
      <c r="AU22" s="12">
        <v>1</v>
      </c>
      <c r="AV22" s="12">
        <v>4</v>
      </c>
      <c r="AW22" s="12">
        <v>3</v>
      </c>
      <c r="AX22" s="12">
        <v>3</v>
      </c>
      <c r="AY22" s="12">
        <v>1</v>
      </c>
      <c r="AZ22" s="12">
        <v>1</v>
      </c>
      <c r="BA22" s="12">
        <v>3</v>
      </c>
      <c r="BB22" s="12">
        <v>2</v>
      </c>
      <c r="BC22" s="12">
        <v>4</v>
      </c>
      <c r="BD22" s="12">
        <v>4</v>
      </c>
      <c r="BE22" s="12">
        <v>1</v>
      </c>
      <c r="BF22" s="12">
        <v>1</v>
      </c>
      <c r="BG22" s="11" t="s">
        <v>84</v>
      </c>
      <c r="BH22" s="103">
        <f>TA_NQY!E22+TA_NQO!E22</f>
        <v>198.00000000000216</v>
      </c>
      <c r="BI22" s="104">
        <f>TA_QY!E22+TA_QO!E22</f>
        <v>369.00000000000011</v>
      </c>
      <c r="BJ22" s="80">
        <f>TA_QY!F22+TA_QO!F22</f>
        <v>561.00000000000136</v>
      </c>
      <c r="BK22" s="6">
        <f>TA_QY!G22+TA_QO!G22</f>
        <v>22</v>
      </c>
      <c r="BL22" s="12">
        <v>3</v>
      </c>
      <c r="BM22" s="12">
        <v>3</v>
      </c>
      <c r="BN22" s="12">
        <v>4</v>
      </c>
      <c r="BO22" s="12">
        <v>8</v>
      </c>
      <c r="BP22" s="12">
        <v>5</v>
      </c>
      <c r="BQ22" s="12">
        <v>7</v>
      </c>
      <c r="BR22" s="12">
        <v>6</v>
      </c>
      <c r="BS22" s="12">
        <v>7</v>
      </c>
      <c r="BT22" s="12">
        <v>5</v>
      </c>
      <c r="BU22" s="12">
        <v>3</v>
      </c>
      <c r="BV22" s="12">
        <v>1</v>
      </c>
      <c r="BW22" s="12">
        <v>1</v>
      </c>
      <c r="BX22" s="109" t="s">
        <v>261</v>
      </c>
      <c r="BY22" s="2" t="s">
        <v>262</v>
      </c>
      <c r="BZ22" s="2" t="s">
        <v>263</v>
      </c>
      <c r="CA22" s="2" t="s">
        <v>264</v>
      </c>
      <c r="CB22" s="109" t="s">
        <v>102</v>
      </c>
      <c r="CC22" s="2" t="s">
        <v>102</v>
      </c>
      <c r="CD22" s="2" t="s">
        <v>265</v>
      </c>
      <c r="CE22" s="2" t="s">
        <v>266</v>
      </c>
      <c r="CF22" s="2" t="s">
        <v>267</v>
      </c>
      <c r="CG22" s="2" t="s">
        <v>268</v>
      </c>
    </row>
    <row r="23" spans="1:85" x14ac:dyDescent="0.3">
      <c r="A23" s="9">
        <v>45912.669901064815</v>
      </c>
      <c r="B23" s="22" t="s">
        <v>54</v>
      </c>
      <c r="C23" s="21" t="s">
        <v>39</v>
      </c>
      <c r="D23" s="10">
        <v>23</v>
      </c>
      <c r="E23" s="10" t="s">
        <v>37</v>
      </c>
      <c r="F23" s="10">
        <v>4</v>
      </c>
      <c r="G23" s="10">
        <v>4</v>
      </c>
      <c r="H23" s="10">
        <v>3</v>
      </c>
      <c r="I23" s="10">
        <v>3</v>
      </c>
      <c r="J23" s="10">
        <v>4</v>
      </c>
      <c r="K23" s="10">
        <v>3</v>
      </c>
      <c r="L23" s="10">
        <v>4</v>
      </c>
      <c r="M23" s="10">
        <v>3</v>
      </c>
      <c r="N23" s="10">
        <v>2</v>
      </c>
      <c r="O23" s="10">
        <v>3</v>
      </c>
      <c r="P23" s="10">
        <v>3</v>
      </c>
      <c r="Q23" s="10">
        <f>Form_Responses[[#This Row],[SUM]]/10</f>
        <v>3.2</v>
      </c>
      <c r="R23" s="10">
        <f>SUM(Form_Responses[[#This Row],[1- I can always manage to solve difficult problems if I try hard enough.]:[10- I can usually handle whatever comes my way.]])</f>
        <v>32</v>
      </c>
      <c r="S23" s="10">
        <v>5</v>
      </c>
      <c r="T23" s="10">
        <v>3</v>
      </c>
      <c r="U23" s="10">
        <v>3</v>
      </c>
      <c r="V23" s="10">
        <v>4</v>
      </c>
      <c r="W23" s="10">
        <v>1</v>
      </c>
      <c r="X23" s="10">
        <v>1</v>
      </c>
      <c r="Y23" s="10">
        <v>2</v>
      </c>
      <c r="Z23" s="10">
        <v>1</v>
      </c>
      <c r="AA23" s="10">
        <v>1</v>
      </c>
      <c r="AB23" s="10">
        <v>1</v>
      </c>
      <c r="AC23" s="10">
        <v>5</v>
      </c>
      <c r="AD23" s="10">
        <v>5</v>
      </c>
      <c r="AE23" s="10">
        <v>5</v>
      </c>
      <c r="AF23" s="10">
        <v>4</v>
      </c>
      <c r="AG23" s="10">
        <v>5</v>
      </c>
      <c r="AH23" s="10">
        <v>2</v>
      </c>
      <c r="AI23" s="10">
        <v>2</v>
      </c>
      <c r="AJ23" s="10">
        <v>1</v>
      </c>
      <c r="AK23" s="10">
        <v>3</v>
      </c>
      <c r="AL23" s="10">
        <v>4</v>
      </c>
      <c r="AM23" s="10">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72</v>
      </c>
      <c r="AN23" s="10">
        <f>SUM(Form_Responses[[#This Row],[1- I can trust persons and organizations related to development of robots ]:[5- If robots had emotions, I would be able to be friend with them]])</f>
        <v>16</v>
      </c>
      <c r="AO23" s="10">
        <f>SUM(Form_Responses[[#This Row],[6- I would feel uneasy if I was given a job where I had to use robots]:[10- I don’t want a robot to touch me]])</f>
        <v>6</v>
      </c>
      <c r="AP23" s="10">
        <f>SUM(Form_Responses[[#This Row],[11- Robots are necessary because they can do jobs that are too hard or too dangerous for people ]:[15- Robots are a good thing for society, because they help people]])</f>
        <v>24</v>
      </c>
      <c r="AQ23" s="10">
        <f>SUM(Form_Responses[[#This Row],[16- Robots may make us even lazier ]:[20- Unregulated use of robotics can lead to societal upheavals]])</f>
        <v>12</v>
      </c>
      <c r="AR23" s="11" t="s">
        <v>83</v>
      </c>
      <c r="AS23" s="80">
        <f>TA_NQY!F23+TA_NQO!F23</f>
        <v>334.99999999999801</v>
      </c>
      <c r="AT23" s="6">
        <f>TA_NQY!G23+TA_NQO!G23</f>
        <v>20</v>
      </c>
      <c r="AU23" s="12">
        <v>2</v>
      </c>
      <c r="AV23" s="12">
        <v>2</v>
      </c>
      <c r="AW23" s="12">
        <v>2</v>
      </c>
      <c r="AX23" s="12">
        <v>10</v>
      </c>
      <c r="AY23" s="12">
        <v>2</v>
      </c>
      <c r="AZ23" s="12">
        <v>1</v>
      </c>
      <c r="BA23" s="12">
        <v>10</v>
      </c>
      <c r="BB23" s="12">
        <v>8</v>
      </c>
      <c r="BC23" s="12">
        <v>8</v>
      </c>
      <c r="BD23" s="12">
        <v>7</v>
      </c>
      <c r="BE23" s="12">
        <v>10</v>
      </c>
      <c r="BF23" s="12">
        <v>7</v>
      </c>
      <c r="BG23" s="11" t="s">
        <v>84</v>
      </c>
      <c r="BH23" s="103">
        <f>TA_NQY!E23+TA_NQO!E23</f>
        <v>463.99999999999898</v>
      </c>
      <c r="BI23" s="104">
        <f>TA_QY!E23+TA_QO!E23</f>
        <v>186.99999999998766</v>
      </c>
      <c r="BJ23" s="80">
        <f>TA_QY!F23+TA_QO!F23</f>
        <v>300.00000000000853</v>
      </c>
      <c r="BK23" s="6">
        <f>TA_QY!G23+TA_QO!G23</f>
        <v>18</v>
      </c>
      <c r="BL23" s="12">
        <v>4</v>
      </c>
      <c r="BM23" s="12">
        <v>2</v>
      </c>
      <c r="BN23" s="12">
        <v>5</v>
      </c>
      <c r="BO23" s="12">
        <v>8</v>
      </c>
      <c r="BP23" s="12">
        <v>5</v>
      </c>
      <c r="BQ23" s="12">
        <v>3</v>
      </c>
      <c r="BR23" s="12">
        <v>10</v>
      </c>
      <c r="BS23" s="12">
        <v>9</v>
      </c>
      <c r="BT23" s="12">
        <v>9</v>
      </c>
      <c r="BU23" s="12">
        <v>8</v>
      </c>
      <c r="BV23" s="12">
        <v>10</v>
      </c>
      <c r="BW23" s="12">
        <v>8</v>
      </c>
      <c r="BX23" s="2" t="s">
        <v>187</v>
      </c>
      <c r="BY23" s="2" t="s">
        <v>269</v>
      </c>
      <c r="BZ23" s="2" t="s">
        <v>270</v>
      </c>
      <c r="CA23" s="2" t="s">
        <v>271</v>
      </c>
      <c r="CB23" s="2" t="s">
        <v>104</v>
      </c>
      <c r="CC23" s="2" t="s">
        <v>272</v>
      </c>
      <c r="CD23" s="2" t="s">
        <v>104</v>
      </c>
      <c r="CE23" s="2" t="s">
        <v>273</v>
      </c>
      <c r="CF23" s="2" t="s">
        <v>102</v>
      </c>
      <c r="CG23" s="2" t="s">
        <v>274</v>
      </c>
    </row>
    <row r="24" spans="1:85" x14ac:dyDescent="0.3">
      <c r="A24" s="9">
        <v>45912.719724236114</v>
      </c>
      <c r="B24" s="108" t="s">
        <v>55</v>
      </c>
      <c r="C24" s="20" t="s">
        <v>39</v>
      </c>
      <c r="D24" s="12">
        <v>31</v>
      </c>
      <c r="E24" s="12" t="s">
        <v>37</v>
      </c>
      <c r="F24" s="12">
        <v>4</v>
      </c>
      <c r="G24" s="10">
        <v>3</v>
      </c>
      <c r="H24" s="10">
        <v>3</v>
      </c>
      <c r="I24" s="10">
        <v>3</v>
      </c>
      <c r="J24" s="10">
        <v>2</v>
      </c>
      <c r="K24" s="10">
        <v>2</v>
      </c>
      <c r="L24" s="10">
        <v>3</v>
      </c>
      <c r="M24" s="10">
        <v>2</v>
      </c>
      <c r="N24" s="10">
        <v>2</v>
      </c>
      <c r="O24" s="10">
        <v>2</v>
      </c>
      <c r="P24" s="10">
        <v>2</v>
      </c>
      <c r="Q24" s="10">
        <f>Form_Responses[[#This Row],[SUM]]/10</f>
        <v>2.4</v>
      </c>
      <c r="R24" s="10">
        <f>SUM(Form_Responses[[#This Row],[1- I can always manage to solve difficult problems if I try hard enough.]:[10- I can usually handle whatever comes my way.]])</f>
        <v>24</v>
      </c>
      <c r="S24" s="10">
        <v>4</v>
      </c>
      <c r="T24" s="10">
        <v>4</v>
      </c>
      <c r="U24" s="10">
        <v>4</v>
      </c>
      <c r="V24" s="10">
        <v>5</v>
      </c>
      <c r="W24" s="10">
        <v>5</v>
      </c>
      <c r="X24" s="10">
        <v>2</v>
      </c>
      <c r="Y24" s="10">
        <v>2</v>
      </c>
      <c r="Z24" s="10">
        <v>2</v>
      </c>
      <c r="AA24" s="10">
        <v>2</v>
      </c>
      <c r="AB24" s="10">
        <v>4</v>
      </c>
      <c r="AC24" s="10">
        <v>5</v>
      </c>
      <c r="AD24" s="10">
        <v>5</v>
      </c>
      <c r="AE24" s="10">
        <v>5</v>
      </c>
      <c r="AF24" s="10">
        <v>5</v>
      </c>
      <c r="AG24" s="10">
        <v>4</v>
      </c>
      <c r="AH24" s="10">
        <v>4</v>
      </c>
      <c r="AI24" s="10">
        <v>3</v>
      </c>
      <c r="AJ24" s="10">
        <v>3</v>
      </c>
      <c r="AK24" s="10">
        <v>5</v>
      </c>
      <c r="AL24" s="10">
        <v>3</v>
      </c>
      <c r="AM24" s="10">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66</v>
      </c>
      <c r="AN24" s="10">
        <f>SUM(Form_Responses[[#This Row],[1- I can trust persons and organizations related to development of robots ]:[5- If robots had emotions, I would be able to be friend with them]])</f>
        <v>22</v>
      </c>
      <c r="AO24" s="10">
        <f>SUM(Form_Responses[[#This Row],[6- I would feel uneasy if I was given a job where I had to use robots]:[10- I don’t want a robot to touch me]])</f>
        <v>12</v>
      </c>
      <c r="AP24" s="10">
        <f>SUM(Form_Responses[[#This Row],[11- Robots are necessary because they can do jobs that are too hard or too dangerous for people ]:[15- Robots are a good thing for society, because they help people]])</f>
        <v>24</v>
      </c>
      <c r="AQ24" s="10">
        <f>SUM(Form_Responses[[#This Row],[16- Robots may make us even lazier ]:[20- Unregulated use of robotics can lead to societal upheavals]])</f>
        <v>18</v>
      </c>
      <c r="AR24" s="11" t="s">
        <v>83</v>
      </c>
      <c r="AS24" s="80">
        <f>TA_NQY!F24+TA_NQO!F24</f>
        <v>305.0000000000029</v>
      </c>
      <c r="AT24" s="6">
        <f>TA_NQY!G24+TA_NQO!G24</f>
        <v>16</v>
      </c>
      <c r="AU24" s="12">
        <v>8</v>
      </c>
      <c r="AV24" s="12">
        <v>8</v>
      </c>
      <c r="AW24" s="12">
        <v>9</v>
      </c>
      <c r="AX24" s="12">
        <v>9</v>
      </c>
      <c r="AY24" s="12">
        <v>8</v>
      </c>
      <c r="AZ24" s="12">
        <v>1</v>
      </c>
      <c r="BA24" s="12">
        <v>9</v>
      </c>
      <c r="BB24" s="12">
        <v>10</v>
      </c>
      <c r="BC24" s="12">
        <v>10</v>
      </c>
      <c r="BD24" s="12">
        <v>10</v>
      </c>
      <c r="BE24" s="12">
        <v>9</v>
      </c>
      <c r="BF24" s="12">
        <v>3</v>
      </c>
      <c r="BG24" s="11" t="s">
        <v>84</v>
      </c>
      <c r="BH24" s="103">
        <f>TA_NQY!E24+TA_NQO!E24</f>
        <v>64.000000000006807</v>
      </c>
      <c r="BI24" s="104">
        <f>TA_QY!E24+TA_QO!E24</f>
        <v>158.0000000000087</v>
      </c>
      <c r="BJ24" s="80">
        <f>TA_QY!F24+TA_QO!F24</f>
        <v>409.99999999999056</v>
      </c>
      <c r="BK24" s="6">
        <f>TA_QY!G24+TA_QO!G24</f>
        <v>16</v>
      </c>
      <c r="BL24" s="12">
        <v>7</v>
      </c>
      <c r="BM24" s="12">
        <v>9</v>
      </c>
      <c r="BN24" s="12">
        <v>8</v>
      </c>
      <c r="BO24" s="12">
        <v>10</v>
      </c>
      <c r="BP24" s="12">
        <v>7</v>
      </c>
      <c r="BQ24" s="12">
        <v>2</v>
      </c>
      <c r="BR24" s="12">
        <v>9</v>
      </c>
      <c r="BS24" s="12">
        <v>10</v>
      </c>
      <c r="BT24" s="12">
        <v>9</v>
      </c>
      <c r="BU24" s="12">
        <v>9</v>
      </c>
      <c r="BV24" s="12">
        <v>9</v>
      </c>
      <c r="BW24" s="12">
        <v>4</v>
      </c>
      <c r="BX24" s="109" t="s">
        <v>275</v>
      </c>
      <c r="BY24" s="2" t="s">
        <v>276</v>
      </c>
      <c r="BZ24" s="2" t="s">
        <v>277</v>
      </c>
      <c r="CA24" s="2" t="s">
        <v>278</v>
      </c>
      <c r="CB24" s="2" t="s">
        <v>230</v>
      </c>
      <c r="CC24" s="2" t="s">
        <v>279</v>
      </c>
      <c r="CD24" s="2" t="s">
        <v>280</v>
      </c>
      <c r="CE24" s="2" t="s">
        <v>281</v>
      </c>
      <c r="CF24" s="2" t="s">
        <v>282</v>
      </c>
      <c r="CG24" s="2" t="s">
        <v>283</v>
      </c>
    </row>
    <row r="25" spans="1:85" x14ac:dyDescent="0.3">
      <c r="A25" s="9">
        <v>45915.492289108792</v>
      </c>
      <c r="B25" s="22" t="s">
        <v>56</v>
      </c>
      <c r="C25" s="21" t="s">
        <v>39</v>
      </c>
      <c r="D25" s="10">
        <v>25</v>
      </c>
      <c r="E25" s="10" t="s">
        <v>37</v>
      </c>
      <c r="F25" s="10">
        <v>4</v>
      </c>
      <c r="G25" s="10">
        <v>3</v>
      </c>
      <c r="H25" s="10">
        <v>3</v>
      </c>
      <c r="I25" s="10">
        <v>3</v>
      </c>
      <c r="J25" s="10">
        <v>4</v>
      </c>
      <c r="K25" s="10">
        <v>3</v>
      </c>
      <c r="L25" s="10">
        <v>4</v>
      </c>
      <c r="M25" s="10">
        <v>4</v>
      </c>
      <c r="N25" s="10">
        <v>4</v>
      </c>
      <c r="O25" s="10">
        <v>4</v>
      </c>
      <c r="P25" s="10">
        <v>3</v>
      </c>
      <c r="Q25" s="10">
        <f>Form_Responses[[#This Row],[SUM]]/10</f>
        <v>3.5</v>
      </c>
      <c r="R25" s="10">
        <f>SUM(Form_Responses[[#This Row],[1- I can always manage to solve difficult problems if I try hard enough.]:[10- I can usually handle whatever comes my way.]])</f>
        <v>35</v>
      </c>
      <c r="S25" s="10">
        <v>5</v>
      </c>
      <c r="T25" s="10">
        <v>4</v>
      </c>
      <c r="U25" s="10">
        <v>4</v>
      </c>
      <c r="V25" s="10">
        <v>1</v>
      </c>
      <c r="W25" s="10">
        <v>1</v>
      </c>
      <c r="X25" s="10">
        <v>1</v>
      </c>
      <c r="Y25" s="10">
        <v>2</v>
      </c>
      <c r="Z25" s="10">
        <v>1</v>
      </c>
      <c r="AA25" s="10">
        <v>1</v>
      </c>
      <c r="AB25" s="10">
        <v>1</v>
      </c>
      <c r="AC25" s="10">
        <v>3</v>
      </c>
      <c r="AD25" s="10">
        <v>4</v>
      </c>
      <c r="AE25" s="10">
        <v>5</v>
      </c>
      <c r="AF25" s="10">
        <v>4</v>
      </c>
      <c r="AG25" s="10">
        <v>5</v>
      </c>
      <c r="AH25" s="10">
        <v>3</v>
      </c>
      <c r="AI25" s="10">
        <v>2</v>
      </c>
      <c r="AJ25" s="10">
        <v>1</v>
      </c>
      <c r="AK25" s="10">
        <v>4</v>
      </c>
      <c r="AL25" s="10">
        <v>2</v>
      </c>
      <c r="AM25" s="10">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69</v>
      </c>
      <c r="AN25" s="10">
        <f>SUM(Form_Responses[[#This Row],[1- I can trust persons and organizations related to development of robots ]:[5- If robots had emotions, I would be able to be friend with them]])</f>
        <v>15</v>
      </c>
      <c r="AO25" s="10">
        <f>SUM(Form_Responses[[#This Row],[6- I would feel uneasy if I was given a job where I had to use robots]:[10- I don’t want a robot to touch me]])</f>
        <v>6</v>
      </c>
      <c r="AP25" s="10">
        <f>SUM(Form_Responses[[#This Row],[11- Robots are necessary because they can do jobs that are too hard or too dangerous for people ]:[15- Robots are a good thing for society, because they help people]])</f>
        <v>21</v>
      </c>
      <c r="AQ25" s="10">
        <f>SUM(Form_Responses[[#This Row],[16- Robots may make us even lazier ]:[20- Unregulated use of robotics can lead to societal upheavals]])</f>
        <v>12</v>
      </c>
      <c r="AR25" s="11" t="s">
        <v>83</v>
      </c>
      <c r="AS25" s="80">
        <f>TA_NQY!F25+TA_NQO!F25</f>
        <v>294.99999999999977</v>
      </c>
      <c r="AT25" s="6">
        <f>TA_NQY!G25+TA_NQO!G25</f>
        <v>17</v>
      </c>
      <c r="AU25" s="12">
        <v>2</v>
      </c>
      <c r="AV25" s="12">
        <v>4</v>
      </c>
      <c r="AW25" s="12">
        <v>2</v>
      </c>
      <c r="AX25" s="12">
        <v>10</v>
      </c>
      <c r="AY25" s="12">
        <v>3</v>
      </c>
      <c r="AZ25" s="12">
        <v>1</v>
      </c>
      <c r="BA25" s="12">
        <v>9</v>
      </c>
      <c r="BB25" s="12">
        <v>10</v>
      </c>
      <c r="BC25" s="12">
        <v>8</v>
      </c>
      <c r="BD25" s="12">
        <v>8</v>
      </c>
      <c r="BE25" s="12">
        <v>9</v>
      </c>
      <c r="BF25" s="12">
        <v>6</v>
      </c>
      <c r="BG25" s="11" t="s">
        <v>84</v>
      </c>
      <c r="BH25" s="103">
        <f>TA_NQY!E25+TA_NQO!E25</f>
        <v>529.99999999999977</v>
      </c>
      <c r="BI25" s="104">
        <f>TA_QY!E25+TA_QO!E25</f>
        <v>138.99999999999935</v>
      </c>
      <c r="BJ25" s="80">
        <f>TA_QY!F25+TA_QO!F25</f>
        <v>412.00000000000364</v>
      </c>
      <c r="BK25" s="6">
        <f>TA_QY!G25+TA_QO!G25</f>
        <v>22</v>
      </c>
      <c r="BL25" s="12">
        <v>6</v>
      </c>
      <c r="BM25" s="12">
        <v>2</v>
      </c>
      <c r="BN25" s="12">
        <v>5</v>
      </c>
      <c r="BO25" s="12">
        <v>10</v>
      </c>
      <c r="BP25" s="12">
        <v>4</v>
      </c>
      <c r="BQ25" s="12">
        <v>2</v>
      </c>
      <c r="BR25" s="12">
        <v>10</v>
      </c>
      <c r="BS25" s="12">
        <v>10</v>
      </c>
      <c r="BT25" s="12">
        <v>9</v>
      </c>
      <c r="BU25" s="12">
        <v>9</v>
      </c>
      <c r="BV25" s="12">
        <v>10</v>
      </c>
      <c r="BW25" s="12">
        <v>2</v>
      </c>
      <c r="BX25" s="2" t="s">
        <v>196</v>
      </c>
      <c r="BY25" s="2" t="s">
        <v>284</v>
      </c>
      <c r="BZ25" s="2" t="s">
        <v>285</v>
      </c>
      <c r="CA25" s="2" t="s">
        <v>286</v>
      </c>
      <c r="CB25" s="2" t="s">
        <v>287</v>
      </c>
      <c r="CC25" s="2" t="s">
        <v>288</v>
      </c>
      <c r="CD25" s="2" t="s">
        <v>289</v>
      </c>
      <c r="CE25" s="2" t="s">
        <v>290</v>
      </c>
      <c r="CF25" s="2" t="s">
        <v>291</v>
      </c>
      <c r="CG25" s="2" t="s">
        <v>292</v>
      </c>
    </row>
    <row r="26" spans="1:85" x14ac:dyDescent="0.3">
      <c r="A26" s="9">
        <v>45915.572406168983</v>
      </c>
      <c r="B26" s="22" t="s">
        <v>57</v>
      </c>
      <c r="C26" s="20" t="s">
        <v>36</v>
      </c>
      <c r="D26" s="12">
        <v>24</v>
      </c>
      <c r="E26" s="12" t="s">
        <v>37</v>
      </c>
      <c r="F26" s="12">
        <v>3</v>
      </c>
      <c r="G26" s="10">
        <v>3</v>
      </c>
      <c r="H26" s="10">
        <v>3</v>
      </c>
      <c r="I26" s="10">
        <v>3</v>
      </c>
      <c r="J26" s="10">
        <v>3</v>
      </c>
      <c r="K26" s="10">
        <v>3</v>
      </c>
      <c r="L26" s="10">
        <v>4</v>
      </c>
      <c r="M26" s="10">
        <v>2</v>
      </c>
      <c r="N26" s="10">
        <v>4</v>
      </c>
      <c r="O26" s="10">
        <v>3</v>
      </c>
      <c r="P26" s="10">
        <v>3</v>
      </c>
      <c r="Q26" s="10">
        <f>Form_Responses[[#This Row],[SUM]]/10</f>
        <v>3.1</v>
      </c>
      <c r="R26" s="10">
        <f>SUM(Form_Responses[[#This Row],[1- I can always manage to solve difficult problems if I try hard enough.]:[10- I can usually handle whatever comes my way.]])</f>
        <v>31</v>
      </c>
      <c r="S26" s="10">
        <v>4</v>
      </c>
      <c r="T26" s="10">
        <v>4</v>
      </c>
      <c r="U26" s="10">
        <v>4</v>
      </c>
      <c r="V26" s="10">
        <v>3</v>
      </c>
      <c r="W26" s="10">
        <v>2</v>
      </c>
      <c r="X26" s="10">
        <v>1</v>
      </c>
      <c r="Y26" s="10">
        <v>1</v>
      </c>
      <c r="Z26" s="10">
        <v>1</v>
      </c>
      <c r="AA26" s="10">
        <v>1</v>
      </c>
      <c r="AB26" s="10">
        <v>1</v>
      </c>
      <c r="AC26" s="10">
        <v>5</v>
      </c>
      <c r="AD26" s="10">
        <v>5</v>
      </c>
      <c r="AE26" s="10">
        <v>5</v>
      </c>
      <c r="AF26" s="10">
        <v>4</v>
      </c>
      <c r="AG26" s="10">
        <v>4</v>
      </c>
      <c r="AH26" s="10">
        <v>2</v>
      </c>
      <c r="AI26" s="10">
        <v>2</v>
      </c>
      <c r="AJ26" s="10">
        <v>2</v>
      </c>
      <c r="AK26" s="10">
        <v>2</v>
      </c>
      <c r="AL26" s="10">
        <v>3</v>
      </c>
      <c r="AM26" s="10">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72</v>
      </c>
      <c r="AN26" s="10">
        <f>SUM(Form_Responses[[#This Row],[1- I can trust persons and organizations related to development of robots ]:[5- If robots had emotions, I would be able to be friend with them]])</f>
        <v>17</v>
      </c>
      <c r="AO26" s="10">
        <f>SUM(Form_Responses[[#This Row],[6- I would feel uneasy if I was given a job where I had to use robots]:[10- I don’t want a robot to touch me]])</f>
        <v>5</v>
      </c>
      <c r="AP26" s="10">
        <f>SUM(Form_Responses[[#This Row],[11- Robots are necessary because they can do jobs that are too hard or too dangerous for people ]:[15- Robots are a good thing for society, because they help people]])</f>
        <v>23</v>
      </c>
      <c r="AQ26" s="10">
        <f>SUM(Form_Responses[[#This Row],[16- Robots may make us even lazier ]:[20- Unregulated use of robotics can lead to societal upheavals]])</f>
        <v>11</v>
      </c>
      <c r="AR26" s="11" t="s">
        <v>83</v>
      </c>
      <c r="AS26" s="80">
        <f>TA_NQY!F26+TA_NQO!F26</f>
        <v>220.00000000000242</v>
      </c>
      <c r="AT26" s="6">
        <f>TA_NQY!G26+TA_NQO!G26</f>
        <v>12</v>
      </c>
      <c r="AU26" s="12">
        <v>3</v>
      </c>
      <c r="AV26" s="12">
        <v>4</v>
      </c>
      <c r="AW26" s="12">
        <v>3</v>
      </c>
      <c r="AX26" s="12">
        <v>10</v>
      </c>
      <c r="AY26" s="12">
        <v>3</v>
      </c>
      <c r="AZ26" s="12">
        <v>2</v>
      </c>
      <c r="BA26" s="12">
        <v>6</v>
      </c>
      <c r="BB26" s="12">
        <v>7</v>
      </c>
      <c r="BC26" s="12">
        <v>8</v>
      </c>
      <c r="BD26" s="12">
        <v>7</v>
      </c>
      <c r="BE26" s="12">
        <v>9</v>
      </c>
      <c r="BF26" s="12">
        <v>3</v>
      </c>
      <c r="BG26" s="11" t="s">
        <v>84</v>
      </c>
      <c r="BH26" s="103">
        <f>TA_NQY!E26+TA_NQO!E26</f>
        <v>253.99999999999494</v>
      </c>
      <c r="BI26" s="104">
        <f>TA_QY!E26+TA_QO!E26</f>
        <v>497.00000000000415</v>
      </c>
      <c r="BJ26" s="80">
        <f>TA_QY!F26+TA_QO!F26</f>
        <v>325.99999999998704</v>
      </c>
      <c r="BK26" s="6">
        <f>TA_QY!G26+TA_QO!G26</f>
        <v>18</v>
      </c>
      <c r="BL26" s="12">
        <v>6</v>
      </c>
      <c r="BM26" s="12">
        <v>4</v>
      </c>
      <c r="BN26" s="12">
        <v>7</v>
      </c>
      <c r="BO26" s="12">
        <v>9</v>
      </c>
      <c r="BP26" s="12">
        <v>6</v>
      </c>
      <c r="BQ26" s="12">
        <v>1</v>
      </c>
      <c r="BR26" s="12">
        <v>8</v>
      </c>
      <c r="BS26" s="12">
        <v>8</v>
      </c>
      <c r="BT26" s="12">
        <v>7</v>
      </c>
      <c r="BU26" s="12">
        <v>7</v>
      </c>
      <c r="BV26" s="12">
        <v>9</v>
      </c>
      <c r="BW26" s="12">
        <v>6</v>
      </c>
      <c r="BX26" s="2" t="s">
        <v>293</v>
      </c>
      <c r="BY26" s="2" t="s">
        <v>294</v>
      </c>
      <c r="BZ26" s="2" t="s">
        <v>295</v>
      </c>
      <c r="CA26" s="2" t="s">
        <v>296</v>
      </c>
      <c r="CB26" s="2" t="s">
        <v>104</v>
      </c>
      <c r="CC26" s="2" t="s">
        <v>297</v>
      </c>
      <c r="CD26" s="2" t="s">
        <v>298</v>
      </c>
      <c r="CE26" s="2" t="s">
        <v>299</v>
      </c>
      <c r="CF26" s="2" t="s">
        <v>300</v>
      </c>
      <c r="CG26" s="2" t="s">
        <v>301</v>
      </c>
    </row>
    <row r="27" spans="1:85" x14ac:dyDescent="0.3">
      <c r="A27" s="9">
        <v>45916.480977569445</v>
      </c>
      <c r="B27" s="22" t="s">
        <v>58</v>
      </c>
      <c r="C27" s="21" t="s">
        <v>36</v>
      </c>
      <c r="D27" s="10">
        <v>29</v>
      </c>
      <c r="E27" s="10" t="s">
        <v>37</v>
      </c>
      <c r="F27" s="10">
        <v>4</v>
      </c>
      <c r="G27" s="10">
        <v>4</v>
      </c>
      <c r="H27" s="10">
        <v>4</v>
      </c>
      <c r="I27" s="10">
        <v>3</v>
      </c>
      <c r="J27" s="10">
        <v>3</v>
      </c>
      <c r="K27" s="10">
        <v>3</v>
      </c>
      <c r="L27" s="10">
        <v>4</v>
      </c>
      <c r="M27" s="10">
        <v>4</v>
      </c>
      <c r="N27" s="10">
        <v>4</v>
      </c>
      <c r="O27" s="10">
        <v>4</v>
      </c>
      <c r="P27" s="10">
        <v>4</v>
      </c>
      <c r="Q27" s="10">
        <f>Form_Responses[[#This Row],[SUM]]/10</f>
        <v>3.7</v>
      </c>
      <c r="R27" s="10">
        <f>SUM(Form_Responses[[#This Row],[1- I can always manage to solve difficult problems if I try hard enough.]:[10- I can usually handle whatever comes my way.]])</f>
        <v>37</v>
      </c>
      <c r="S27" s="10">
        <v>2</v>
      </c>
      <c r="T27" s="10">
        <v>2</v>
      </c>
      <c r="U27" s="10">
        <v>3</v>
      </c>
      <c r="V27" s="10">
        <v>2</v>
      </c>
      <c r="W27" s="10">
        <v>2</v>
      </c>
      <c r="X27" s="10">
        <v>3</v>
      </c>
      <c r="Y27" s="10">
        <v>3</v>
      </c>
      <c r="Z27" s="10">
        <v>1</v>
      </c>
      <c r="AA27" s="10">
        <v>1</v>
      </c>
      <c r="AB27" s="10">
        <v>2</v>
      </c>
      <c r="AC27" s="10">
        <v>5</v>
      </c>
      <c r="AD27" s="10">
        <v>5</v>
      </c>
      <c r="AE27" s="10">
        <v>4</v>
      </c>
      <c r="AF27" s="10">
        <v>5</v>
      </c>
      <c r="AG27" s="10">
        <v>2</v>
      </c>
      <c r="AH27" s="10">
        <v>5</v>
      </c>
      <c r="AI27" s="10">
        <v>5</v>
      </c>
      <c r="AJ27" s="10">
        <v>5</v>
      </c>
      <c r="AK27" s="10">
        <v>5</v>
      </c>
      <c r="AL27" s="10">
        <v>5</v>
      </c>
      <c r="AM27" s="10">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56</v>
      </c>
      <c r="AN27" s="10">
        <f>SUM(Form_Responses[[#This Row],[1- I can trust persons and organizations related to development of robots ]:[5- If robots had emotions, I would be able to be friend with them]])</f>
        <v>11</v>
      </c>
      <c r="AO27" s="10">
        <f>SUM(Form_Responses[[#This Row],[6- I would feel uneasy if I was given a job where I had to use robots]:[10- I don’t want a robot to touch me]])</f>
        <v>10</v>
      </c>
      <c r="AP27" s="10">
        <f>SUM(Form_Responses[[#This Row],[11- Robots are necessary because they can do jobs that are too hard or too dangerous for people ]:[15- Robots are a good thing for society, because they help people]])</f>
        <v>21</v>
      </c>
      <c r="AQ27" s="10">
        <f>SUM(Form_Responses[[#This Row],[16- Robots may make us even lazier ]:[20- Unregulated use of robotics can lead to societal upheavals]])</f>
        <v>25</v>
      </c>
      <c r="AR27" s="11" t="s">
        <v>83</v>
      </c>
      <c r="AS27" s="80">
        <f>TA_NQY!F27+TA_NQO!F27</f>
        <v>239.99999999999915</v>
      </c>
      <c r="AT27" s="6">
        <f>TA_NQY!G27+TA_NQO!G27</f>
        <v>11</v>
      </c>
      <c r="AU27" s="12">
        <v>2</v>
      </c>
      <c r="AV27" s="12">
        <v>2</v>
      </c>
      <c r="AW27" s="12">
        <v>3</v>
      </c>
      <c r="AX27" s="12">
        <v>10</v>
      </c>
      <c r="AY27" s="12">
        <v>3</v>
      </c>
      <c r="AZ27" s="12">
        <v>1</v>
      </c>
      <c r="BA27" s="12">
        <v>10</v>
      </c>
      <c r="BB27" s="12">
        <v>10</v>
      </c>
      <c r="BC27" s="12">
        <v>10</v>
      </c>
      <c r="BD27" s="12">
        <v>10</v>
      </c>
      <c r="BE27" s="12">
        <v>10</v>
      </c>
      <c r="BF27" s="12">
        <v>4</v>
      </c>
      <c r="BG27" s="11" t="s">
        <v>84</v>
      </c>
      <c r="BH27" s="103">
        <f>TA_NQY!E27+TA_NQO!E27</f>
        <v>454.00000000000063</v>
      </c>
      <c r="BI27" s="104">
        <f>TA_QY!E27+TA_QO!E27</f>
        <v>159.00000000000568</v>
      </c>
      <c r="BJ27" s="80">
        <f>TA_QY!F27+TA_QO!F27</f>
        <v>259.99999999999591</v>
      </c>
      <c r="BK27" s="6">
        <f>TA_QY!G27+TA_QO!G27</f>
        <v>12</v>
      </c>
      <c r="BL27" s="12">
        <v>4</v>
      </c>
      <c r="BM27" s="12">
        <v>2</v>
      </c>
      <c r="BN27" s="12">
        <v>5</v>
      </c>
      <c r="BO27" s="12">
        <v>10</v>
      </c>
      <c r="BP27" s="12">
        <v>5</v>
      </c>
      <c r="BQ27" s="12">
        <v>1</v>
      </c>
      <c r="BR27" s="12">
        <v>10</v>
      </c>
      <c r="BS27" s="12">
        <v>10</v>
      </c>
      <c r="BT27" s="12">
        <v>10</v>
      </c>
      <c r="BU27" s="12">
        <v>10</v>
      </c>
      <c r="BV27" s="12">
        <v>10</v>
      </c>
      <c r="BW27" s="12">
        <v>4</v>
      </c>
      <c r="BX27" s="2" t="s">
        <v>206</v>
      </c>
      <c r="BY27" s="2" t="s">
        <v>302</v>
      </c>
      <c r="BZ27" s="2" t="s">
        <v>303</v>
      </c>
      <c r="CA27" s="2" t="s">
        <v>304</v>
      </c>
      <c r="CB27" s="2" t="s">
        <v>305</v>
      </c>
      <c r="CC27" s="2" t="s">
        <v>306</v>
      </c>
      <c r="CD27" s="2" t="s">
        <v>307</v>
      </c>
      <c r="CE27" s="2" t="s">
        <v>308</v>
      </c>
      <c r="CF27" s="2" t="s">
        <v>43</v>
      </c>
      <c r="CG27" s="2" t="s">
        <v>309</v>
      </c>
    </row>
    <row r="28" spans="1:85" x14ac:dyDescent="0.3">
      <c r="A28" s="9">
        <v>45916.565919652778</v>
      </c>
      <c r="B28" s="22" t="s">
        <v>59</v>
      </c>
      <c r="C28" s="21" t="s">
        <v>39</v>
      </c>
      <c r="D28" s="10">
        <v>25</v>
      </c>
      <c r="E28" s="10" t="s">
        <v>37</v>
      </c>
      <c r="F28" s="10">
        <v>2</v>
      </c>
      <c r="G28" s="10">
        <v>3</v>
      </c>
      <c r="H28" s="10">
        <v>2</v>
      </c>
      <c r="I28" s="10">
        <v>3</v>
      </c>
      <c r="J28" s="10">
        <v>3</v>
      </c>
      <c r="K28" s="10">
        <v>4</v>
      </c>
      <c r="L28" s="10">
        <v>4</v>
      </c>
      <c r="M28" s="10">
        <v>2</v>
      </c>
      <c r="N28" s="10">
        <v>3</v>
      </c>
      <c r="O28" s="10">
        <v>3</v>
      </c>
      <c r="P28" s="10">
        <v>3</v>
      </c>
      <c r="Q28" s="10">
        <f>Form_Responses[[#This Row],[SUM]]/10</f>
        <v>3</v>
      </c>
      <c r="R28" s="10">
        <f>SUM(Form_Responses[[#This Row],[1- I can always manage to solve difficult problems if I try hard enough.]:[10- I can usually handle whatever comes my way.]])</f>
        <v>30</v>
      </c>
      <c r="S28" s="10">
        <v>4</v>
      </c>
      <c r="T28" s="10">
        <v>3</v>
      </c>
      <c r="U28" s="10">
        <v>2</v>
      </c>
      <c r="V28" s="10">
        <v>2</v>
      </c>
      <c r="W28" s="10">
        <v>1</v>
      </c>
      <c r="X28" s="10">
        <v>1</v>
      </c>
      <c r="Y28" s="10">
        <v>4</v>
      </c>
      <c r="Z28" s="10">
        <v>2</v>
      </c>
      <c r="AA28" s="10">
        <v>1</v>
      </c>
      <c r="AB28" s="10">
        <v>4</v>
      </c>
      <c r="AC28" s="10">
        <v>5</v>
      </c>
      <c r="AD28" s="10">
        <v>5</v>
      </c>
      <c r="AE28" s="10">
        <v>5</v>
      </c>
      <c r="AF28" s="10">
        <v>5</v>
      </c>
      <c r="AG28" s="10">
        <v>3</v>
      </c>
      <c r="AH28" s="10">
        <v>5</v>
      </c>
      <c r="AI28" s="10">
        <v>4</v>
      </c>
      <c r="AJ28" s="10">
        <v>5</v>
      </c>
      <c r="AK28" s="10">
        <v>5</v>
      </c>
      <c r="AL28" s="10">
        <v>4</v>
      </c>
      <c r="AM28" s="10">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60</v>
      </c>
      <c r="AN28" s="10">
        <f>SUM(Form_Responses[[#This Row],[1- I can trust persons and organizations related to development of robots ]:[5- If robots had emotions, I would be able to be friend with them]])</f>
        <v>12</v>
      </c>
      <c r="AO28" s="10">
        <f>SUM(Form_Responses[[#This Row],[6- I would feel uneasy if I was given a job where I had to use robots]:[10- I don’t want a robot to touch me]])</f>
        <v>12</v>
      </c>
      <c r="AP28" s="10">
        <f>SUM(Form_Responses[[#This Row],[11- Robots are necessary because they can do jobs that are too hard or too dangerous for people ]:[15- Robots are a good thing for society, because they help people]])</f>
        <v>23</v>
      </c>
      <c r="AQ28" s="10">
        <f>SUM(Form_Responses[[#This Row],[16- Robots may make us even lazier ]:[20- Unregulated use of robotics can lead to societal upheavals]])</f>
        <v>23</v>
      </c>
      <c r="AR28" s="11" t="s">
        <v>83</v>
      </c>
      <c r="AS28" s="80">
        <f>TA_NQY!F28+TA_NQO!F28</f>
        <v>336.00000000001415</v>
      </c>
      <c r="AT28" s="6">
        <f>TA_NQY!G28+TA_NQO!G28</f>
        <v>16</v>
      </c>
      <c r="AU28" s="12">
        <v>4</v>
      </c>
      <c r="AV28" s="12">
        <v>3</v>
      </c>
      <c r="AW28" s="12">
        <v>6</v>
      </c>
      <c r="AX28" s="12">
        <v>10</v>
      </c>
      <c r="AY28" s="12">
        <v>6</v>
      </c>
      <c r="AZ28" s="12">
        <v>2</v>
      </c>
      <c r="BA28" s="12">
        <v>9</v>
      </c>
      <c r="BB28" s="12">
        <v>7</v>
      </c>
      <c r="BC28" s="12">
        <v>8</v>
      </c>
      <c r="BD28" s="12">
        <v>8</v>
      </c>
      <c r="BE28" s="12">
        <v>10</v>
      </c>
      <c r="BF28" s="12">
        <v>5</v>
      </c>
      <c r="BG28" s="11" t="s">
        <v>84</v>
      </c>
      <c r="BH28" s="103">
        <f>TA_NQY!E28+TA_NQO!E28</f>
        <v>275.99999999998556</v>
      </c>
      <c r="BI28" s="104">
        <f>TA_QY!E28+TA_QO!E28</f>
        <v>378.00000000000153</v>
      </c>
      <c r="BJ28" s="80">
        <f>TA_QY!F28+TA_QO!F28</f>
        <v>420.00000000000813</v>
      </c>
      <c r="BK28" s="6">
        <f>TA_QY!G28+TA_QO!G28</f>
        <v>20</v>
      </c>
      <c r="BL28" s="12">
        <v>7</v>
      </c>
      <c r="BM28" s="12">
        <v>3</v>
      </c>
      <c r="BN28" s="12">
        <v>5</v>
      </c>
      <c r="BO28" s="12">
        <v>10</v>
      </c>
      <c r="BP28" s="12">
        <v>6</v>
      </c>
      <c r="BQ28" s="12">
        <v>7</v>
      </c>
      <c r="BR28" s="12">
        <v>8</v>
      </c>
      <c r="BS28" s="12">
        <v>9</v>
      </c>
      <c r="BT28" s="12">
        <v>9</v>
      </c>
      <c r="BU28" s="12">
        <v>9</v>
      </c>
      <c r="BV28" s="12">
        <v>9</v>
      </c>
      <c r="BW28" s="12">
        <v>3</v>
      </c>
      <c r="BX28" s="2" t="s">
        <v>310</v>
      </c>
      <c r="BY28" s="2" t="s">
        <v>311</v>
      </c>
      <c r="BZ28" s="2" t="s">
        <v>312</v>
      </c>
      <c r="CA28" s="2" t="s">
        <v>313</v>
      </c>
      <c r="CB28" s="2" t="s">
        <v>314</v>
      </c>
      <c r="CC28" s="2" t="s">
        <v>315</v>
      </c>
      <c r="CD28" s="2" t="s">
        <v>316</v>
      </c>
      <c r="CE28" s="2" t="s">
        <v>317</v>
      </c>
      <c r="CF28" s="2" t="s">
        <v>102</v>
      </c>
      <c r="CG28" s="2" t="s">
        <v>318</v>
      </c>
    </row>
    <row r="29" spans="1:85" x14ac:dyDescent="0.3">
      <c r="A29" s="9">
        <v>45916.622170173607</v>
      </c>
      <c r="B29" s="22" t="s">
        <v>60</v>
      </c>
      <c r="C29" s="21" t="s">
        <v>36</v>
      </c>
      <c r="D29" s="10">
        <v>20</v>
      </c>
      <c r="E29" s="10" t="s">
        <v>43</v>
      </c>
      <c r="F29" s="10">
        <v>3</v>
      </c>
      <c r="G29" s="10">
        <v>3</v>
      </c>
      <c r="H29" s="10">
        <v>3</v>
      </c>
      <c r="I29" s="10">
        <v>4</v>
      </c>
      <c r="J29" s="10">
        <v>2</v>
      </c>
      <c r="K29" s="10">
        <v>3</v>
      </c>
      <c r="L29" s="10">
        <v>3</v>
      </c>
      <c r="M29" s="10">
        <v>2</v>
      </c>
      <c r="N29" s="10">
        <v>1</v>
      </c>
      <c r="O29" s="10">
        <v>3</v>
      </c>
      <c r="P29" s="10">
        <v>2</v>
      </c>
      <c r="Q29" s="10">
        <f>Form_Responses[[#This Row],[SUM]]/10</f>
        <v>2.6</v>
      </c>
      <c r="R29" s="10">
        <f>SUM(Form_Responses[[#This Row],[1- I can always manage to solve difficult problems if I try hard enough.]:[10- I can usually handle whatever comes my way.]])</f>
        <v>26</v>
      </c>
      <c r="S29" s="10">
        <v>2</v>
      </c>
      <c r="T29" s="10">
        <v>3</v>
      </c>
      <c r="U29" s="10">
        <v>5</v>
      </c>
      <c r="V29" s="10">
        <v>2</v>
      </c>
      <c r="W29" s="10">
        <v>1</v>
      </c>
      <c r="X29" s="10">
        <v>1</v>
      </c>
      <c r="Y29" s="10">
        <v>1</v>
      </c>
      <c r="Z29" s="10">
        <v>3</v>
      </c>
      <c r="AA29" s="10">
        <v>2</v>
      </c>
      <c r="AB29" s="10">
        <v>4</v>
      </c>
      <c r="AC29" s="10">
        <v>5</v>
      </c>
      <c r="AD29" s="10">
        <v>5</v>
      </c>
      <c r="AE29" s="10">
        <v>5</v>
      </c>
      <c r="AF29" s="10">
        <v>5</v>
      </c>
      <c r="AG29" s="10">
        <v>5</v>
      </c>
      <c r="AH29" s="10">
        <v>4</v>
      </c>
      <c r="AI29" s="10">
        <v>2</v>
      </c>
      <c r="AJ29" s="10">
        <v>2</v>
      </c>
      <c r="AK29" s="10">
        <v>4</v>
      </c>
      <c r="AL29" s="10">
        <v>1</v>
      </c>
      <c r="AM29" s="10">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72</v>
      </c>
      <c r="AN29" s="10">
        <f>SUM(Form_Responses[[#This Row],[1- I can trust persons and organizations related to development of robots ]:[5- If robots had emotions, I would be able to be friend with them]])</f>
        <v>13</v>
      </c>
      <c r="AO29" s="10">
        <f>SUM(Form_Responses[[#This Row],[6- I would feel uneasy if I was given a job where I had to use robots]:[10- I don’t want a robot to touch me]])</f>
        <v>11</v>
      </c>
      <c r="AP29" s="10">
        <f>SUM(Form_Responses[[#This Row],[11- Robots are necessary because they can do jobs that are too hard or too dangerous for people ]:[15- Robots are a good thing for society, because they help people]])</f>
        <v>25</v>
      </c>
      <c r="AQ29" s="10">
        <f>SUM(Form_Responses[[#This Row],[16- Robots may make us even lazier ]:[20- Unregulated use of robotics can lead to societal upheavals]])</f>
        <v>13</v>
      </c>
      <c r="AR29" s="11" t="s">
        <v>83</v>
      </c>
      <c r="AS29" s="80">
        <f>TA_NQY!F29+TA_NQO!F29</f>
        <v>387.00000000000296</v>
      </c>
      <c r="AT29" s="6">
        <f>TA_NQY!G29+TA_NQO!G29</f>
        <v>17</v>
      </c>
      <c r="AU29" s="12">
        <v>3</v>
      </c>
      <c r="AV29" s="12">
        <v>2</v>
      </c>
      <c r="AW29" s="12">
        <v>5</v>
      </c>
      <c r="AX29" s="12">
        <v>10</v>
      </c>
      <c r="AY29" s="12">
        <v>6</v>
      </c>
      <c r="AZ29" s="12">
        <v>4</v>
      </c>
      <c r="BA29" s="12">
        <v>10</v>
      </c>
      <c r="BB29" s="12">
        <v>6</v>
      </c>
      <c r="BC29" s="12">
        <v>9</v>
      </c>
      <c r="BD29" s="12">
        <v>9</v>
      </c>
      <c r="BE29" s="12">
        <v>9</v>
      </c>
      <c r="BF29" s="12">
        <v>8</v>
      </c>
      <c r="BG29" s="11" t="s">
        <v>84</v>
      </c>
      <c r="BH29" s="103">
        <f>TA_NQY!E29+TA_NQO!E29</f>
        <v>223.0000000000029</v>
      </c>
      <c r="BI29" s="104">
        <f>TA_QY!E29+TA_QO!E29</f>
        <v>121.00000000000612</v>
      </c>
      <c r="BJ29" s="80">
        <f>TA_QY!F29+TA_QO!F29</f>
        <v>370.99999999999403</v>
      </c>
      <c r="BK29" s="6">
        <f>TA_QY!G29+TA_QO!G29</f>
        <v>17</v>
      </c>
      <c r="BL29" s="12">
        <v>6</v>
      </c>
      <c r="BM29" s="12">
        <v>2</v>
      </c>
      <c r="BN29" s="12">
        <v>5</v>
      </c>
      <c r="BO29" s="12">
        <v>9</v>
      </c>
      <c r="BP29" s="12">
        <v>4</v>
      </c>
      <c r="BQ29" s="12">
        <v>7</v>
      </c>
      <c r="BR29" s="12">
        <v>8</v>
      </c>
      <c r="BS29" s="12">
        <v>8</v>
      </c>
      <c r="BT29" s="12">
        <v>8</v>
      </c>
      <c r="BU29" s="12">
        <v>7</v>
      </c>
      <c r="BV29" s="12">
        <v>10</v>
      </c>
      <c r="BW29" s="12">
        <v>9</v>
      </c>
      <c r="BX29" s="2" t="s">
        <v>161</v>
      </c>
      <c r="BY29" s="2" t="s">
        <v>319</v>
      </c>
      <c r="BZ29" s="2" t="s">
        <v>320</v>
      </c>
      <c r="CA29" s="2" t="s">
        <v>321</v>
      </c>
      <c r="CB29" s="2" t="s">
        <v>322</v>
      </c>
      <c r="CC29" s="2" t="s">
        <v>323</v>
      </c>
      <c r="CD29" s="2" t="s">
        <v>324</v>
      </c>
      <c r="CE29" s="2" t="s">
        <v>325</v>
      </c>
      <c r="CF29" s="2" t="s">
        <v>326</v>
      </c>
      <c r="CG29" s="2" t="s">
        <v>327</v>
      </c>
    </row>
    <row r="30" spans="1:85" x14ac:dyDescent="0.3">
      <c r="A30" s="9">
        <v>45916.736991331018</v>
      </c>
      <c r="B30" s="22" t="s">
        <v>61</v>
      </c>
      <c r="C30" s="21" t="s">
        <v>39</v>
      </c>
      <c r="D30" s="10">
        <v>33</v>
      </c>
      <c r="E30" s="10" t="s">
        <v>37</v>
      </c>
      <c r="F30" s="10">
        <v>4</v>
      </c>
      <c r="G30" s="10">
        <v>4</v>
      </c>
      <c r="H30" s="10">
        <v>4</v>
      </c>
      <c r="I30" s="10">
        <v>4</v>
      </c>
      <c r="J30" s="10">
        <v>4</v>
      </c>
      <c r="K30" s="10">
        <v>4</v>
      </c>
      <c r="L30" s="10">
        <v>4</v>
      </c>
      <c r="M30" s="10">
        <v>3</v>
      </c>
      <c r="N30" s="10">
        <v>4</v>
      </c>
      <c r="O30" s="10">
        <v>4</v>
      </c>
      <c r="P30" s="10">
        <v>4</v>
      </c>
      <c r="Q30" s="10">
        <f>Form_Responses[[#This Row],[SUM]]/10</f>
        <v>3.9</v>
      </c>
      <c r="R30" s="10">
        <f>SUM(Form_Responses[[#This Row],[1- I can always manage to solve difficult problems if I try hard enough.]:[10- I can usually handle whatever comes my way.]])</f>
        <v>39</v>
      </c>
      <c r="S30" s="10">
        <v>3</v>
      </c>
      <c r="T30" s="10">
        <v>2</v>
      </c>
      <c r="U30" s="10">
        <v>3</v>
      </c>
      <c r="V30" s="10">
        <v>4</v>
      </c>
      <c r="W30" s="10">
        <v>1</v>
      </c>
      <c r="X30" s="10">
        <v>1</v>
      </c>
      <c r="Y30" s="10">
        <v>2</v>
      </c>
      <c r="Z30" s="10">
        <v>1</v>
      </c>
      <c r="AA30" s="10">
        <v>1</v>
      </c>
      <c r="AB30" s="10">
        <v>1</v>
      </c>
      <c r="AC30" s="10">
        <v>5</v>
      </c>
      <c r="AD30" s="10">
        <v>5</v>
      </c>
      <c r="AE30" s="10">
        <v>5</v>
      </c>
      <c r="AF30" s="10">
        <v>2</v>
      </c>
      <c r="AG30" s="10">
        <v>3</v>
      </c>
      <c r="AH30" s="10">
        <v>1</v>
      </c>
      <c r="AI30" s="10">
        <v>1</v>
      </c>
      <c r="AJ30" s="10">
        <v>1</v>
      </c>
      <c r="AK30" s="10">
        <v>4</v>
      </c>
      <c r="AL30" s="10">
        <v>5</v>
      </c>
      <c r="AM30" s="10">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68</v>
      </c>
      <c r="AN30" s="10">
        <f>SUM(Form_Responses[[#This Row],[1- I can trust persons and organizations related to development of robots ]:[5- If robots had emotions, I would be able to be friend with them]])</f>
        <v>13</v>
      </c>
      <c r="AO30" s="10">
        <f>SUM(Form_Responses[[#This Row],[6- I would feel uneasy if I was given a job where I had to use robots]:[10- I don’t want a robot to touch me]])</f>
        <v>6</v>
      </c>
      <c r="AP30" s="10">
        <f>SUM(Form_Responses[[#This Row],[11- Robots are necessary because they can do jobs that are too hard or too dangerous for people ]:[15- Robots are a good thing for society, because they help people]])</f>
        <v>20</v>
      </c>
      <c r="AQ30" s="10">
        <f>SUM(Form_Responses[[#This Row],[16- Robots may make us even lazier ]:[20- Unregulated use of robotics can lead to societal upheavals]])</f>
        <v>12</v>
      </c>
      <c r="AR30" s="11" t="s">
        <v>83</v>
      </c>
      <c r="AS30" s="80">
        <f>TA_NQY!F30+TA_NQO!F30</f>
        <v>310.99999999999426</v>
      </c>
      <c r="AT30" s="6">
        <f>TA_NQY!G30+TA_NQO!G30</f>
        <v>18</v>
      </c>
      <c r="AU30" s="12">
        <v>2</v>
      </c>
      <c r="AV30" s="12">
        <v>2</v>
      </c>
      <c r="AW30" s="12">
        <v>3</v>
      </c>
      <c r="AX30" s="12">
        <v>10</v>
      </c>
      <c r="AY30" s="12">
        <v>5</v>
      </c>
      <c r="AZ30" s="12">
        <v>3</v>
      </c>
      <c r="BA30" s="12">
        <v>10</v>
      </c>
      <c r="BB30" s="12">
        <v>10</v>
      </c>
      <c r="BC30" s="12">
        <v>10</v>
      </c>
      <c r="BD30" s="12">
        <v>10</v>
      </c>
      <c r="BE30" s="12">
        <v>9</v>
      </c>
      <c r="BF30" s="12">
        <v>6</v>
      </c>
      <c r="BG30" s="11" t="s">
        <v>84</v>
      </c>
      <c r="BH30" s="103">
        <f>TA_NQY!E30+TA_NQO!E30</f>
        <v>127.00000000000706</v>
      </c>
      <c r="BI30" s="104">
        <f>TA_QY!E30+TA_QO!E30</f>
        <v>471.99999999999386</v>
      </c>
      <c r="BJ30" s="80">
        <f>TA_QY!F30+TA_QO!F30</f>
        <v>416.99999999999801</v>
      </c>
      <c r="BK30" s="6">
        <f>TA_QY!G30+TA_QO!G30</f>
        <v>20</v>
      </c>
      <c r="BL30" s="12">
        <v>4</v>
      </c>
      <c r="BM30" s="12">
        <v>2</v>
      </c>
      <c r="BN30" s="12">
        <v>6</v>
      </c>
      <c r="BO30" s="12">
        <v>10</v>
      </c>
      <c r="BP30" s="12">
        <v>7</v>
      </c>
      <c r="BQ30" s="12">
        <v>5</v>
      </c>
      <c r="BR30" s="12">
        <v>9</v>
      </c>
      <c r="BS30" s="12">
        <v>9</v>
      </c>
      <c r="BT30" s="12">
        <v>8</v>
      </c>
      <c r="BU30" s="12">
        <v>9</v>
      </c>
      <c r="BV30" s="12">
        <v>9</v>
      </c>
      <c r="BW30" s="12">
        <v>7</v>
      </c>
      <c r="BX30" s="2" t="s">
        <v>328</v>
      </c>
      <c r="BY30" s="2" t="s">
        <v>329</v>
      </c>
      <c r="BZ30" s="2" t="s">
        <v>330</v>
      </c>
      <c r="CA30" s="2" t="s">
        <v>331</v>
      </c>
      <c r="CB30" s="2" t="s">
        <v>104</v>
      </c>
      <c r="CC30" s="2" t="s">
        <v>104</v>
      </c>
      <c r="CD30" s="2" t="s">
        <v>332</v>
      </c>
      <c r="CE30" s="2" t="s">
        <v>333</v>
      </c>
      <c r="CF30" s="2" t="s">
        <v>334</v>
      </c>
      <c r="CG30" s="2" t="s">
        <v>335</v>
      </c>
    </row>
    <row r="31" spans="1:85" x14ac:dyDescent="0.3">
      <c r="A31" s="9">
        <v>45916.796940046297</v>
      </c>
      <c r="B31" s="22" t="s">
        <v>62</v>
      </c>
      <c r="C31" s="21" t="s">
        <v>36</v>
      </c>
      <c r="D31" s="10">
        <v>30</v>
      </c>
      <c r="E31" s="10" t="s">
        <v>37</v>
      </c>
      <c r="F31" s="10">
        <v>3</v>
      </c>
      <c r="G31" s="10">
        <v>4</v>
      </c>
      <c r="H31" s="10">
        <v>3</v>
      </c>
      <c r="I31" s="10">
        <v>3</v>
      </c>
      <c r="J31" s="10">
        <v>2</v>
      </c>
      <c r="K31" s="10">
        <v>3</v>
      </c>
      <c r="L31" s="10">
        <v>4</v>
      </c>
      <c r="M31" s="10">
        <v>3</v>
      </c>
      <c r="N31" s="10">
        <v>3</v>
      </c>
      <c r="O31" s="10">
        <v>3</v>
      </c>
      <c r="P31" s="10">
        <v>3</v>
      </c>
      <c r="Q31" s="10">
        <f>Form_Responses[[#This Row],[SUM]]/10</f>
        <v>3.1</v>
      </c>
      <c r="R31" s="10">
        <f>SUM(Form_Responses[[#This Row],[1- I can always manage to solve difficult problems if I try hard enough.]:[10- I can usually handle whatever comes my way.]])</f>
        <v>31</v>
      </c>
      <c r="S31" s="10">
        <v>1</v>
      </c>
      <c r="T31" s="10">
        <v>2</v>
      </c>
      <c r="U31" s="10">
        <v>3</v>
      </c>
      <c r="V31" s="10">
        <v>3</v>
      </c>
      <c r="W31" s="10">
        <v>4</v>
      </c>
      <c r="X31" s="10">
        <v>3</v>
      </c>
      <c r="Y31" s="10">
        <v>3</v>
      </c>
      <c r="Z31" s="10">
        <v>2</v>
      </c>
      <c r="AA31" s="10">
        <v>1</v>
      </c>
      <c r="AB31" s="10">
        <v>4</v>
      </c>
      <c r="AC31" s="10">
        <v>5</v>
      </c>
      <c r="AD31" s="10">
        <v>5</v>
      </c>
      <c r="AE31" s="10">
        <v>5</v>
      </c>
      <c r="AF31" s="10">
        <v>5</v>
      </c>
      <c r="AG31" s="10">
        <v>5</v>
      </c>
      <c r="AH31" s="10">
        <v>4</v>
      </c>
      <c r="AI31" s="10">
        <v>4</v>
      </c>
      <c r="AJ31" s="10">
        <v>4</v>
      </c>
      <c r="AK31" s="10">
        <v>5</v>
      </c>
      <c r="AL31" s="10">
        <v>4</v>
      </c>
      <c r="AM31" s="10">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64</v>
      </c>
      <c r="AN31" s="10">
        <f>SUM(Form_Responses[[#This Row],[1- I can trust persons and organizations related to development of robots ]:[5- If robots had emotions, I would be able to be friend with them]])</f>
        <v>13</v>
      </c>
      <c r="AO31" s="10">
        <f>SUM(Form_Responses[[#This Row],[6- I would feel uneasy if I was given a job where I had to use robots]:[10- I don’t want a robot to touch me]])</f>
        <v>13</v>
      </c>
      <c r="AP31" s="10">
        <f>SUM(Form_Responses[[#This Row],[11- Robots are necessary because they can do jobs that are too hard or too dangerous for people ]:[15- Robots are a good thing for society, because they help people]])</f>
        <v>25</v>
      </c>
      <c r="AQ31" s="10">
        <f>SUM(Form_Responses[[#This Row],[16- Robots may make us even lazier ]:[20- Unregulated use of robotics can lead to societal upheavals]])</f>
        <v>21</v>
      </c>
      <c r="AR31" s="11" t="s">
        <v>83</v>
      </c>
      <c r="AS31" s="80">
        <f>TA_NQY!F31+TA_NQO!F31</f>
        <v>297.99999999999545</v>
      </c>
      <c r="AT31" s="6">
        <f>TA_NQY!G31+TA_NQO!G31</f>
        <v>17</v>
      </c>
      <c r="AU31" s="12">
        <v>6</v>
      </c>
      <c r="AV31" s="12">
        <v>3</v>
      </c>
      <c r="AW31" s="12">
        <v>3</v>
      </c>
      <c r="AX31" s="12">
        <v>10</v>
      </c>
      <c r="AY31" s="12">
        <v>8</v>
      </c>
      <c r="AZ31" s="12">
        <v>8</v>
      </c>
      <c r="BA31" s="12">
        <v>7</v>
      </c>
      <c r="BB31" s="12">
        <v>8</v>
      </c>
      <c r="BC31" s="12">
        <v>6</v>
      </c>
      <c r="BD31" s="12">
        <v>6</v>
      </c>
      <c r="BE31" s="12">
        <v>8</v>
      </c>
      <c r="BF31" s="12">
        <v>8</v>
      </c>
      <c r="BG31" s="11" t="s">
        <v>84</v>
      </c>
      <c r="BH31" s="103">
        <f>TA_NQY!E31+TA_NQO!E31</f>
        <v>493.00000000000676</v>
      </c>
      <c r="BI31" s="104">
        <f>TA_QY!E31+TA_QO!E31</f>
        <v>217.00000000000193</v>
      </c>
      <c r="BJ31" s="80">
        <f>TA_QY!F31+TA_QO!F31</f>
        <v>280.9999999999992</v>
      </c>
      <c r="BK31" s="6">
        <f>TA_QY!G31+TA_QO!G31</f>
        <v>16</v>
      </c>
      <c r="BL31" s="12">
        <v>9</v>
      </c>
      <c r="BM31" s="12">
        <v>4</v>
      </c>
      <c r="BN31" s="12">
        <v>7</v>
      </c>
      <c r="BO31" s="12">
        <v>9</v>
      </c>
      <c r="BP31" s="12">
        <v>9</v>
      </c>
      <c r="BQ31" s="12">
        <v>4</v>
      </c>
      <c r="BR31" s="12">
        <v>8</v>
      </c>
      <c r="BS31" s="12">
        <v>9</v>
      </c>
      <c r="BT31" s="12">
        <v>10</v>
      </c>
      <c r="BU31" s="12">
        <v>9</v>
      </c>
      <c r="BV31" s="12">
        <v>10</v>
      </c>
      <c r="BW31" s="12">
        <v>10</v>
      </c>
      <c r="BX31" s="2" t="s">
        <v>336</v>
      </c>
      <c r="BY31" s="2" t="s">
        <v>337</v>
      </c>
      <c r="BZ31" s="2" t="s">
        <v>338</v>
      </c>
      <c r="CA31" s="2" t="s">
        <v>43</v>
      </c>
      <c r="CB31" s="2" t="s">
        <v>339</v>
      </c>
      <c r="CC31" s="2" t="s">
        <v>340</v>
      </c>
      <c r="CD31" s="2" t="s">
        <v>341</v>
      </c>
      <c r="CE31" s="2" t="s">
        <v>342</v>
      </c>
      <c r="CF31" s="2" t="s">
        <v>343</v>
      </c>
      <c r="CG31" s="2" t="s">
        <v>344</v>
      </c>
    </row>
    <row r="32" spans="1:85" x14ac:dyDescent="0.3">
      <c r="A32" s="9">
        <v>45917.607987812502</v>
      </c>
      <c r="B32" s="22" t="s">
        <v>63</v>
      </c>
      <c r="C32" s="21" t="s">
        <v>36</v>
      </c>
      <c r="D32" s="10">
        <v>23</v>
      </c>
      <c r="E32" s="10" t="s">
        <v>43</v>
      </c>
      <c r="F32" s="10">
        <v>4</v>
      </c>
      <c r="G32" s="10">
        <v>3</v>
      </c>
      <c r="H32" s="10">
        <v>3</v>
      </c>
      <c r="I32" s="10">
        <v>3</v>
      </c>
      <c r="J32" s="10">
        <v>3</v>
      </c>
      <c r="K32" s="10">
        <v>3</v>
      </c>
      <c r="L32" s="10">
        <v>3</v>
      </c>
      <c r="M32" s="10">
        <v>4</v>
      </c>
      <c r="N32" s="10">
        <v>2</v>
      </c>
      <c r="O32" s="10">
        <v>3</v>
      </c>
      <c r="P32" s="10">
        <v>3</v>
      </c>
      <c r="Q32" s="10">
        <f>Form_Responses[[#This Row],[SUM]]/10</f>
        <v>3</v>
      </c>
      <c r="R32" s="10">
        <f>SUM(Form_Responses[[#This Row],[1- I can always manage to solve difficult problems if I try hard enough.]:[10- I can usually handle whatever comes my way.]])</f>
        <v>30</v>
      </c>
      <c r="S32" s="10">
        <v>4</v>
      </c>
      <c r="T32" s="10">
        <v>3</v>
      </c>
      <c r="U32" s="10">
        <v>4</v>
      </c>
      <c r="V32" s="10">
        <v>3</v>
      </c>
      <c r="W32" s="10">
        <v>4</v>
      </c>
      <c r="X32" s="10">
        <v>2</v>
      </c>
      <c r="Y32" s="10">
        <v>2</v>
      </c>
      <c r="Z32" s="10">
        <v>1</v>
      </c>
      <c r="AA32" s="10">
        <v>1</v>
      </c>
      <c r="AB32" s="10">
        <v>3</v>
      </c>
      <c r="AC32" s="10">
        <v>4</v>
      </c>
      <c r="AD32" s="10">
        <v>5</v>
      </c>
      <c r="AE32" s="10">
        <v>5</v>
      </c>
      <c r="AF32" s="10">
        <v>4</v>
      </c>
      <c r="AG32" s="10">
        <v>4</v>
      </c>
      <c r="AH32" s="10">
        <v>2</v>
      </c>
      <c r="AI32" s="10">
        <v>3</v>
      </c>
      <c r="AJ32" s="10">
        <v>2</v>
      </c>
      <c r="AK32" s="10">
        <v>4</v>
      </c>
      <c r="AL32" s="10">
        <v>3</v>
      </c>
      <c r="AM32" s="10">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68</v>
      </c>
      <c r="AN32" s="10">
        <f>SUM(Form_Responses[[#This Row],[1- I can trust persons and organizations related to development of robots ]:[5- If robots had emotions, I would be able to be friend with them]])</f>
        <v>18</v>
      </c>
      <c r="AO32" s="10">
        <f>SUM(Form_Responses[[#This Row],[6- I would feel uneasy if I was given a job where I had to use robots]:[10- I don’t want a robot to touch me]])</f>
        <v>9</v>
      </c>
      <c r="AP32" s="10">
        <f>SUM(Form_Responses[[#This Row],[11- Robots are necessary because they can do jobs that are too hard or too dangerous for people ]:[15- Robots are a good thing for society, because they help people]])</f>
        <v>22</v>
      </c>
      <c r="AQ32" s="10">
        <f>SUM(Form_Responses[[#This Row],[16- Robots may make us even lazier ]:[20- Unregulated use of robotics can lead to societal upheavals]])</f>
        <v>14</v>
      </c>
      <c r="AR32" s="11" t="s">
        <v>83</v>
      </c>
      <c r="AS32" s="80">
        <f>TA_NQY!F32+TA_NQO!F32</f>
        <v>236.00000000001131</v>
      </c>
      <c r="AT32" s="6">
        <f>TA_NQY!G32+TA_NQO!G32</f>
        <v>13</v>
      </c>
      <c r="AU32" s="12">
        <v>2</v>
      </c>
      <c r="AV32" s="12">
        <v>3</v>
      </c>
      <c r="AW32" s="12">
        <v>5</v>
      </c>
      <c r="AX32" s="12">
        <v>8</v>
      </c>
      <c r="AY32" s="12">
        <v>5</v>
      </c>
      <c r="AZ32" s="12">
        <v>2</v>
      </c>
      <c r="BA32" s="12">
        <v>7</v>
      </c>
      <c r="BB32" s="12">
        <v>8</v>
      </c>
      <c r="BC32" s="12">
        <v>6</v>
      </c>
      <c r="BD32" s="12">
        <v>5</v>
      </c>
      <c r="BE32" s="12">
        <v>9</v>
      </c>
      <c r="BF32" s="12">
        <v>7</v>
      </c>
      <c r="BG32" s="11" t="s">
        <v>84</v>
      </c>
      <c r="BH32" s="103">
        <f>TA_NQY!E32+TA_NQO!E32</f>
        <v>201.9999999999996</v>
      </c>
      <c r="BI32" s="104">
        <f>TA_QY!E32+TA_QO!E32</f>
        <v>564.00000000000182</v>
      </c>
      <c r="BJ32" s="80">
        <f>TA_QY!F32+TA_QO!F32</f>
        <v>373.00000000000716</v>
      </c>
      <c r="BK32" s="6">
        <f>TA_QY!G32+TA_QO!G32</f>
        <v>17</v>
      </c>
      <c r="BL32" s="12">
        <v>7</v>
      </c>
      <c r="BM32" s="12">
        <v>3</v>
      </c>
      <c r="BN32" s="12">
        <v>7</v>
      </c>
      <c r="BO32" s="12">
        <v>8</v>
      </c>
      <c r="BP32" s="12">
        <v>3</v>
      </c>
      <c r="BQ32" s="12">
        <v>2</v>
      </c>
      <c r="BR32" s="12">
        <v>8</v>
      </c>
      <c r="BS32" s="12">
        <v>9</v>
      </c>
      <c r="BT32" s="12">
        <v>7</v>
      </c>
      <c r="BU32" s="12">
        <v>6</v>
      </c>
      <c r="BV32" s="12">
        <v>9</v>
      </c>
      <c r="BW32" s="12">
        <v>7</v>
      </c>
      <c r="BX32" s="2" t="s">
        <v>345</v>
      </c>
      <c r="BY32" s="2" t="s">
        <v>346</v>
      </c>
      <c r="BZ32" s="2" t="s">
        <v>347</v>
      </c>
      <c r="CA32" s="2" t="s">
        <v>348</v>
      </c>
      <c r="CB32" s="2" t="s">
        <v>230</v>
      </c>
      <c r="CC32" s="2" t="s">
        <v>349</v>
      </c>
      <c r="CD32" s="2" t="s">
        <v>350</v>
      </c>
      <c r="CE32" s="2" t="s">
        <v>351</v>
      </c>
      <c r="CF32" s="2" t="s">
        <v>352</v>
      </c>
      <c r="CG32" s="2" t="s">
        <v>353</v>
      </c>
    </row>
    <row r="33" spans="1:85" x14ac:dyDescent="0.3">
      <c r="A33" s="9">
        <v>45917.730855567133</v>
      </c>
      <c r="B33" s="23" t="s">
        <v>65</v>
      </c>
      <c r="C33" s="21" t="s">
        <v>36</v>
      </c>
      <c r="D33" s="10">
        <v>30</v>
      </c>
      <c r="E33" s="10" t="s">
        <v>43</v>
      </c>
      <c r="F33" s="10">
        <v>4</v>
      </c>
      <c r="G33" s="10">
        <v>4</v>
      </c>
      <c r="H33" s="10">
        <v>2</v>
      </c>
      <c r="I33" s="10">
        <v>4</v>
      </c>
      <c r="J33" s="10">
        <v>4</v>
      </c>
      <c r="K33" s="10">
        <v>3</v>
      </c>
      <c r="L33" s="10">
        <v>3</v>
      </c>
      <c r="M33" s="10">
        <v>3</v>
      </c>
      <c r="N33" s="10">
        <v>4</v>
      </c>
      <c r="O33" s="10">
        <v>4</v>
      </c>
      <c r="P33" s="10">
        <v>3</v>
      </c>
      <c r="Q33" s="10">
        <f>Form_Responses[[#This Row],[SUM]]/10</f>
        <v>3.4</v>
      </c>
      <c r="R33" s="10">
        <f>SUM(Form_Responses[[#This Row],[1- I can always manage to solve difficult problems if I try hard enough.]:[10- I can usually handle whatever comes my way.]])</f>
        <v>34</v>
      </c>
      <c r="S33" s="10">
        <v>4</v>
      </c>
      <c r="T33" s="10">
        <v>3</v>
      </c>
      <c r="U33" s="10">
        <v>4</v>
      </c>
      <c r="V33" s="10">
        <v>3</v>
      </c>
      <c r="W33" s="10">
        <v>4</v>
      </c>
      <c r="X33" s="10">
        <v>1</v>
      </c>
      <c r="Y33" s="10">
        <v>1</v>
      </c>
      <c r="Z33" s="10">
        <v>1</v>
      </c>
      <c r="AA33" s="10">
        <v>1</v>
      </c>
      <c r="AB33" s="10">
        <v>1</v>
      </c>
      <c r="AC33" s="10">
        <v>5</v>
      </c>
      <c r="AD33" s="10">
        <v>5</v>
      </c>
      <c r="AE33" s="10">
        <v>5</v>
      </c>
      <c r="AF33" s="10">
        <v>3</v>
      </c>
      <c r="AG33" s="10">
        <v>5</v>
      </c>
      <c r="AH33" s="10">
        <v>1</v>
      </c>
      <c r="AI33" s="10">
        <v>2</v>
      </c>
      <c r="AJ33" s="10">
        <v>3</v>
      </c>
      <c r="AK33" s="10">
        <v>4</v>
      </c>
      <c r="AL33" s="10">
        <v>2</v>
      </c>
      <c r="AM33" s="10">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71</v>
      </c>
      <c r="AN33" s="10">
        <f>SUM(Form_Responses[[#This Row],[1- I can trust persons and organizations related to development of robots ]:[5- If robots had emotions, I would be able to be friend with them]])</f>
        <v>18</v>
      </c>
      <c r="AO33" s="10">
        <f>SUM(Form_Responses[[#This Row],[6- I would feel uneasy if I was given a job where I had to use robots]:[10- I don’t want a robot to touch me]])</f>
        <v>5</v>
      </c>
      <c r="AP33" s="10">
        <f>SUM(Form_Responses[[#This Row],[11- Robots are necessary because they can do jobs that are too hard or too dangerous for people ]:[15- Robots are a good thing for society, because they help people]])</f>
        <v>23</v>
      </c>
      <c r="AQ33" s="10">
        <f>SUM(Form_Responses[[#This Row],[16- Robots may make us even lazier ]:[20- Unregulated use of robotics can lead to societal upheavals]])</f>
        <v>12</v>
      </c>
      <c r="AR33" s="11" t="s">
        <v>83</v>
      </c>
      <c r="AS33" s="80">
        <f>TA_NQY!F33+TA_NQO!F33</f>
        <v>382.99999999998636</v>
      </c>
      <c r="AT33" s="6">
        <f>TA_NQY!G33+TA_NQO!G33</f>
        <v>22</v>
      </c>
      <c r="AU33" s="12">
        <v>3</v>
      </c>
      <c r="AV33" s="12">
        <v>3</v>
      </c>
      <c r="AW33" s="12">
        <v>4</v>
      </c>
      <c r="AX33" s="12">
        <v>10</v>
      </c>
      <c r="AY33" s="12">
        <v>3</v>
      </c>
      <c r="AZ33" s="12">
        <v>1</v>
      </c>
      <c r="BA33" s="12">
        <v>9</v>
      </c>
      <c r="BB33" s="12">
        <v>10</v>
      </c>
      <c r="BC33" s="12">
        <v>10</v>
      </c>
      <c r="BD33" s="12">
        <v>10</v>
      </c>
      <c r="BE33" s="12">
        <v>10</v>
      </c>
      <c r="BF33" s="12">
        <v>2</v>
      </c>
      <c r="BG33" s="11" t="s">
        <v>84</v>
      </c>
      <c r="BH33" s="103">
        <f>TA_NQY!E33+TA_NQO!E33</f>
        <v>409.00000000000318</v>
      </c>
      <c r="BI33" s="104">
        <f>TA_QY!E33+TA_QO!E33</f>
        <v>88.000000000000966</v>
      </c>
      <c r="BJ33" s="80">
        <f>TA_QY!F33+TA_QO!F33</f>
        <v>391.99999999999733</v>
      </c>
      <c r="BK33" s="6">
        <f>TA_QY!G33+TA_QO!G33</f>
        <v>22</v>
      </c>
      <c r="BL33" s="12">
        <v>4</v>
      </c>
      <c r="BM33" s="12">
        <v>3</v>
      </c>
      <c r="BN33" s="12">
        <v>4</v>
      </c>
      <c r="BO33" s="12">
        <v>9</v>
      </c>
      <c r="BP33" s="12">
        <v>4</v>
      </c>
      <c r="BQ33" s="12">
        <v>2</v>
      </c>
      <c r="BR33" s="12">
        <v>9</v>
      </c>
      <c r="BS33" s="12">
        <v>10</v>
      </c>
      <c r="BT33" s="12">
        <v>10</v>
      </c>
      <c r="BU33" s="12">
        <v>10</v>
      </c>
      <c r="BV33" s="12">
        <v>9</v>
      </c>
      <c r="BW33" s="12">
        <v>2</v>
      </c>
      <c r="BX33" s="2" t="s">
        <v>354</v>
      </c>
      <c r="BY33" s="2" t="s">
        <v>355</v>
      </c>
      <c r="BZ33" s="2" t="s">
        <v>356</v>
      </c>
      <c r="CA33" s="2" t="s">
        <v>102</v>
      </c>
      <c r="CB33" s="2" t="s">
        <v>104</v>
      </c>
      <c r="CC33" s="2" t="s">
        <v>104</v>
      </c>
      <c r="CD33" s="2" t="s">
        <v>357</v>
      </c>
      <c r="CE33" s="2" t="s">
        <v>358</v>
      </c>
      <c r="CF33" s="2" t="s">
        <v>102</v>
      </c>
      <c r="CG33" s="2" t="s">
        <v>359</v>
      </c>
    </row>
    <row r="34" spans="1:85" x14ac:dyDescent="0.3">
      <c r="A34" s="9">
        <v>45918.561457800926</v>
      </c>
      <c r="B34" s="22" t="s">
        <v>64</v>
      </c>
      <c r="C34" s="21" t="s">
        <v>39</v>
      </c>
      <c r="D34" s="10">
        <v>28</v>
      </c>
      <c r="E34" s="10" t="s">
        <v>37</v>
      </c>
      <c r="F34" s="10">
        <v>3</v>
      </c>
      <c r="G34" s="10">
        <v>4</v>
      </c>
      <c r="H34" s="10">
        <v>2</v>
      </c>
      <c r="I34" s="10">
        <v>3</v>
      </c>
      <c r="J34" s="10">
        <v>4</v>
      </c>
      <c r="K34" s="10">
        <v>3</v>
      </c>
      <c r="L34" s="10">
        <v>3</v>
      </c>
      <c r="M34" s="10">
        <v>3</v>
      </c>
      <c r="N34" s="10">
        <v>4</v>
      </c>
      <c r="O34" s="10">
        <v>3</v>
      </c>
      <c r="P34" s="10">
        <v>3</v>
      </c>
      <c r="Q34" s="10">
        <f>Form_Responses[[#This Row],[SUM]]/10</f>
        <v>3.2</v>
      </c>
      <c r="R34" s="10">
        <f>SUM(Form_Responses[[#This Row],[1- I can always manage to solve difficult problems if I try hard enough.]:[10- I can usually handle whatever comes my way.]])</f>
        <v>32</v>
      </c>
      <c r="S34" s="10">
        <v>4</v>
      </c>
      <c r="T34" s="10">
        <v>3</v>
      </c>
      <c r="U34" s="10">
        <v>4</v>
      </c>
      <c r="V34" s="10">
        <v>3</v>
      </c>
      <c r="W34" s="10">
        <v>2</v>
      </c>
      <c r="X34" s="10">
        <v>1</v>
      </c>
      <c r="Y34" s="10">
        <v>1</v>
      </c>
      <c r="Z34" s="10">
        <v>1</v>
      </c>
      <c r="AA34" s="10">
        <v>2</v>
      </c>
      <c r="AB34" s="10">
        <v>4</v>
      </c>
      <c r="AC34" s="10">
        <v>3</v>
      </c>
      <c r="AD34" s="10">
        <v>4</v>
      </c>
      <c r="AE34" s="10">
        <v>4</v>
      </c>
      <c r="AF34" s="10">
        <v>3</v>
      </c>
      <c r="AG34" s="10">
        <v>4</v>
      </c>
      <c r="AH34" s="10">
        <v>2</v>
      </c>
      <c r="AI34" s="10">
        <v>1</v>
      </c>
      <c r="AJ34" s="10">
        <v>1</v>
      </c>
      <c r="AK34" s="10">
        <v>2</v>
      </c>
      <c r="AL34" s="10">
        <v>2</v>
      </c>
      <c r="AM34" s="41">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70</v>
      </c>
      <c r="AN34" s="41">
        <f>SUM(Form_Responses[[#This Row],[1- I can trust persons and organizations related to development of robots ]:[5- If robots had emotions, I would be able to be friend with them]])</f>
        <v>16</v>
      </c>
      <c r="AO34" s="41">
        <f>SUM(Form_Responses[[#This Row],[6- I would feel uneasy if I was given a job where I had to use robots]:[10- I don’t want a robot to touch me]])</f>
        <v>9</v>
      </c>
      <c r="AP34" s="41">
        <f>SUM(Form_Responses[[#This Row],[11- Robots are necessary because they can do jobs that are too hard or too dangerous for people ]:[15- Robots are a good thing for society, because they help people]])</f>
        <v>18</v>
      </c>
      <c r="AQ34" s="41">
        <f>SUM(Form_Responses[[#This Row],[16- Robots may make us even lazier ]:[20- Unregulated use of robotics can lead to societal upheavals]])</f>
        <v>8</v>
      </c>
      <c r="AR34" s="13" t="s">
        <v>83</v>
      </c>
      <c r="AS34" s="81">
        <f>TA_NQY!F34+TA_NQO!F34</f>
        <v>345.00000000000597</v>
      </c>
      <c r="AT34" s="6">
        <f>TA_NQY!G34+TA_NQO!G34</f>
        <v>20</v>
      </c>
      <c r="AU34" s="14">
        <v>1</v>
      </c>
      <c r="AV34" s="14">
        <v>5</v>
      </c>
      <c r="AW34" s="14">
        <v>2</v>
      </c>
      <c r="AX34" s="14">
        <v>7</v>
      </c>
      <c r="AY34" s="14">
        <v>3</v>
      </c>
      <c r="AZ34" s="14">
        <v>2</v>
      </c>
      <c r="BA34" s="14">
        <v>7</v>
      </c>
      <c r="BB34" s="14">
        <v>7</v>
      </c>
      <c r="BC34" s="14">
        <v>8</v>
      </c>
      <c r="BD34" s="14">
        <v>7</v>
      </c>
      <c r="BE34" s="14">
        <v>10</v>
      </c>
      <c r="BF34" s="14">
        <v>8</v>
      </c>
      <c r="BG34" s="11" t="s">
        <v>84</v>
      </c>
      <c r="BH34" s="103">
        <f>TA_NQY!E34+TA_NQO!E34</f>
        <v>176.99999999999889</v>
      </c>
      <c r="BI34" s="104">
        <f>TA_QY!E34+TA_QO!E34</f>
        <v>446.99999999999318</v>
      </c>
      <c r="BJ34" s="80">
        <f>TA_QY!F34+TA_QO!F34</f>
        <v>386.00000000000597</v>
      </c>
      <c r="BK34" s="6">
        <f>TA_QY!G34+TA_QO!G34</f>
        <v>22</v>
      </c>
      <c r="BL34" s="12">
        <v>6</v>
      </c>
      <c r="BM34" s="12">
        <v>6</v>
      </c>
      <c r="BN34" s="12">
        <v>7</v>
      </c>
      <c r="BO34" s="12">
        <v>5</v>
      </c>
      <c r="BP34" s="12">
        <v>4</v>
      </c>
      <c r="BQ34" s="12">
        <v>1</v>
      </c>
      <c r="BR34" s="12">
        <v>6</v>
      </c>
      <c r="BS34" s="12">
        <v>6</v>
      </c>
      <c r="BT34" s="12">
        <v>7</v>
      </c>
      <c r="BU34" s="12">
        <v>7</v>
      </c>
      <c r="BV34" s="12">
        <v>9</v>
      </c>
      <c r="BW34" s="12">
        <v>9</v>
      </c>
      <c r="BX34" s="2" t="s">
        <v>196</v>
      </c>
      <c r="BY34" s="2" t="s">
        <v>360</v>
      </c>
      <c r="BZ34" s="2" t="s">
        <v>361</v>
      </c>
      <c r="CA34" s="2" t="s">
        <v>362</v>
      </c>
      <c r="CB34" s="2" t="s">
        <v>37</v>
      </c>
      <c r="CC34" s="2" t="s">
        <v>363</v>
      </c>
      <c r="CD34" s="2" t="s">
        <v>364</v>
      </c>
      <c r="CE34" s="2" t="s">
        <v>365</v>
      </c>
      <c r="CF34" s="2" t="s">
        <v>43</v>
      </c>
      <c r="CG34" s="2" t="s">
        <v>366</v>
      </c>
    </row>
    <row r="36" spans="1:85" ht="15.6" x14ac:dyDescent="0.3">
      <c r="P36" s="44" t="s">
        <v>380</v>
      </c>
      <c r="Q36" s="44">
        <f>AVERAGE(Q8:Q34)</f>
        <v>3.2185185185185183</v>
      </c>
      <c r="R36" s="44">
        <f>AVERAGE(R8:R34)</f>
        <v>32.185185185185183</v>
      </c>
      <c r="AL36" s="44" t="s">
        <v>380</v>
      </c>
      <c r="AM36" s="44">
        <f>AVERAGE(AM8:AM34)</f>
        <v>66.851851851851848</v>
      </c>
      <c r="AN36" s="44">
        <f t="shared" ref="AN36:AQ36" si="0">AVERAGE(AN8:AN34)</f>
        <v>16.962962962962962</v>
      </c>
      <c r="AO36" s="44">
        <f t="shared" si="0"/>
        <v>8.9259259259259256</v>
      </c>
      <c r="AP36" s="44">
        <f t="shared" si="0"/>
        <v>22.518518518518519</v>
      </c>
      <c r="AQ36" s="44">
        <f t="shared" si="0"/>
        <v>15.666666666666666</v>
      </c>
      <c r="AT36" s="47"/>
      <c r="AU36" s="44">
        <f t="shared" ref="AU36:BF36" si="1">AVERAGE(AU8:AU34)</f>
        <v>2.925925925925926</v>
      </c>
      <c r="AV36" s="44">
        <f t="shared" si="1"/>
        <v>3.7037037037037037</v>
      </c>
      <c r="AW36" s="44">
        <f t="shared" si="1"/>
        <v>4.1481481481481479</v>
      </c>
      <c r="AX36" s="44">
        <f t="shared" si="1"/>
        <v>9.0370370370370363</v>
      </c>
      <c r="AY36" s="44">
        <f t="shared" si="1"/>
        <v>4.2962962962962967</v>
      </c>
      <c r="AZ36" s="44">
        <f t="shared" si="1"/>
        <v>2.4814814814814814</v>
      </c>
      <c r="BA36" s="44">
        <f t="shared" si="1"/>
        <v>8.7037037037037042</v>
      </c>
      <c r="BB36" s="44">
        <f t="shared" si="1"/>
        <v>8.2592592592592595</v>
      </c>
      <c r="BC36" s="44">
        <f t="shared" si="1"/>
        <v>8.1851851851851851</v>
      </c>
      <c r="BD36" s="44">
        <f t="shared" si="1"/>
        <v>8</v>
      </c>
      <c r="BE36" s="44">
        <f t="shared" si="1"/>
        <v>9.1481481481481488</v>
      </c>
      <c r="BF36" s="44">
        <f t="shared" si="1"/>
        <v>4.7777777777777777</v>
      </c>
      <c r="BJ36" s="44">
        <f t="shared" ref="BJ36:BU36" si="2">AVERAGE(BL8:BL34)</f>
        <v>5.8518518518518521</v>
      </c>
      <c r="BK36" s="44">
        <f t="shared" si="2"/>
        <v>3.8518518518518516</v>
      </c>
      <c r="BL36" s="44">
        <f t="shared" si="2"/>
        <v>5.9259259259259256</v>
      </c>
      <c r="BM36" s="44">
        <f t="shared" si="2"/>
        <v>8.8148148148148149</v>
      </c>
      <c r="BN36" s="44">
        <f t="shared" si="2"/>
        <v>6</v>
      </c>
      <c r="BO36" s="44">
        <f t="shared" si="2"/>
        <v>3.4074074074074074</v>
      </c>
      <c r="BP36" s="44">
        <f t="shared" si="2"/>
        <v>8.6296296296296298</v>
      </c>
      <c r="BQ36" s="44">
        <f t="shared" si="2"/>
        <v>8.2962962962962958</v>
      </c>
      <c r="BR36" s="44">
        <f t="shared" si="2"/>
        <v>7.8518518518518521</v>
      </c>
      <c r="BS36" s="44">
        <f t="shared" si="2"/>
        <v>7.9629629629629628</v>
      </c>
      <c r="BT36" s="44">
        <f t="shared" si="2"/>
        <v>9.1851851851851851</v>
      </c>
      <c r="BU36" s="44">
        <f t="shared" si="2"/>
        <v>5.3703703703703702</v>
      </c>
    </row>
    <row r="37" spans="1:85" ht="15.6" x14ac:dyDescent="0.3">
      <c r="P37" s="44" t="s">
        <v>381</v>
      </c>
      <c r="Q37" s="44">
        <f>_xlfn.STDEV.S(Q8:Q34)</f>
        <v>0.37006967850875311</v>
      </c>
      <c r="R37" s="44">
        <f>_xlfn.STDEV.S(R8:R34)</f>
        <v>3.7006967850874588</v>
      </c>
      <c r="AL37" s="44" t="s">
        <v>381</v>
      </c>
      <c r="AM37" s="44">
        <f>_xlfn.STDEV.S(AM8:AM34)</f>
        <v>5.2455380577848745</v>
      </c>
      <c r="AN37" s="44">
        <f t="shared" ref="AN37:AQ37" si="3">_xlfn.STDEV.S(AN8:AN34)</f>
        <v>4.0046269535422425</v>
      </c>
      <c r="AO37" s="44">
        <f t="shared" si="3"/>
        <v>3.0118474515195928</v>
      </c>
      <c r="AP37" s="44">
        <f t="shared" si="3"/>
        <v>2.2764745072888877</v>
      </c>
      <c r="AQ37" s="44">
        <f t="shared" si="3"/>
        <v>4.6160255965161534</v>
      </c>
      <c r="AT37" s="47"/>
      <c r="AU37" s="44">
        <f t="shared" ref="AU37:BF37" si="4">_xlfn.STDEV.S(AU8:AU34)</f>
        <v>1.92005460511145</v>
      </c>
      <c r="AV37" s="44">
        <f t="shared" si="4"/>
        <v>1.8147857431243208</v>
      </c>
      <c r="AW37" s="44">
        <f t="shared" si="4"/>
        <v>2.1068332726503156</v>
      </c>
      <c r="AX37" s="44">
        <f t="shared" si="4"/>
        <v>1.7863043388188906</v>
      </c>
      <c r="AY37" s="44">
        <f t="shared" si="4"/>
        <v>1.8566888396533887</v>
      </c>
      <c r="AZ37" s="44">
        <f t="shared" si="4"/>
        <v>2.2078595685966702</v>
      </c>
      <c r="BA37" s="44">
        <f t="shared" si="4"/>
        <v>1.6128048862585946</v>
      </c>
      <c r="BB37" s="44">
        <f t="shared" si="4"/>
        <v>2.1410384359103842</v>
      </c>
      <c r="BC37" s="44">
        <f t="shared" si="4"/>
        <v>1.77670908048987</v>
      </c>
      <c r="BD37" s="44">
        <f t="shared" si="4"/>
        <v>1.901416476047427</v>
      </c>
      <c r="BE37" s="44">
        <f t="shared" si="4"/>
        <v>1.7694784912663195</v>
      </c>
      <c r="BF37" s="44">
        <f t="shared" si="4"/>
        <v>2.3588350014578303</v>
      </c>
      <c r="BJ37" s="44">
        <f t="shared" ref="BJ37:BU37" si="5">_xlfn.STDEV.S(BL8:BL34)</f>
        <v>1.8954135676924422</v>
      </c>
      <c r="BK37" s="44">
        <f t="shared" si="5"/>
        <v>1.9749138969294078</v>
      </c>
      <c r="BL37" s="44">
        <f t="shared" si="5"/>
        <v>1.591465844045524</v>
      </c>
      <c r="BM37" s="44">
        <f t="shared" si="5"/>
        <v>1.3311948663061188</v>
      </c>
      <c r="BN37" s="44">
        <f t="shared" si="5"/>
        <v>1.901416476047427</v>
      </c>
      <c r="BO37" s="44">
        <f t="shared" si="5"/>
        <v>2.3247706133204638</v>
      </c>
      <c r="BP37" s="44">
        <f t="shared" si="5"/>
        <v>1.1815292615976112</v>
      </c>
      <c r="BQ37" s="44">
        <f t="shared" si="5"/>
        <v>1.8772896750945289</v>
      </c>
      <c r="BR37" s="44">
        <f t="shared" si="5"/>
        <v>1.7910826915520142</v>
      </c>
      <c r="BS37" s="44">
        <f t="shared" si="5"/>
        <v>1.8908988802943902</v>
      </c>
      <c r="BT37" s="44">
        <f t="shared" si="5"/>
        <v>1.7549279414756815</v>
      </c>
      <c r="BU37" s="44">
        <f t="shared" si="5"/>
        <v>2.8842829817977846</v>
      </c>
    </row>
    <row r="39" spans="1:85" x14ac:dyDescent="0.3">
      <c r="AT39" t="s">
        <v>383</v>
      </c>
      <c r="AU39" s="48">
        <v>5.8518518518518521</v>
      </c>
      <c r="AV39" s="48">
        <v>3.8518518518518516</v>
      </c>
      <c r="AW39" s="48">
        <v>5.9259259259259256</v>
      </c>
      <c r="AX39" s="48">
        <v>8.8148148148148149</v>
      </c>
      <c r="AY39" s="48">
        <v>6</v>
      </c>
      <c r="AZ39" s="48">
        <v>3.4074074074074074</v>
      </c>
      <c r="BA39" s="48">
        <v>8.6296296296296298</v>
      </c>
      <c r="BB39" s="48">
        <v>8.2962962962962958</v>
      </c>
      <c r="BC39" s="48">
        <v>7.8518518518518521</v>
      </c>
      <c r="BD39" s="48">
        <v>7.9629629629629628</v>
      </c>
      <c r="BE39" s="48">
        <v>9.1851851851851851</v>
      </c>
      <c r="BF39" s="48">
        <v>5.3703703703703702</v>
      </c>
    </row>
    <row r="40" spans="1:85" x14ac:dyDescent="0.3">
      <c r="AU40" s="48">
        <v>1.8954135676924422</v>
      </c>
      <c r="AV40" s="48">
        <v>1.9749138969294078</v>
      </c>
      <c r="AW40" s="48">
        <v>1.591465844045524</v>
      </c>
      <c r="AX40" s="48">
        <v>1.3311948663061188</v>
      </c>
      <c r="AY40" s="48">
        <v>1.901416476047427</v>
      </c>
      <c r="AZ40" s="48">
        <v>2.3247706133204638</v>
      </c>
      <c r="BA40" s="48">
        <v>1.1815292615976112</v>
      </c>
      <c r="BB40" s="48">
        <v>1.8772896750945289</v>
      </c>
      <c r="BC40" s="48">
        <v>1.7910826915520142</v>
      </c>
      <c r="BD40" s="48">
        <v>1.8908988802943902</v>
      </c>
      <c r="BE40" s="48">
        <v>1.7549279414756815</v>
      </c>
      <c r="BF40" s="48">
        <v>2.8842829817977846</v>
      </c>
    </row>
  </sheetData>
  <mergeCells count="5">
    <mergeCell ref="BB1:BM1"/>
    <mergeCell ref="Q1:AL1"/>
    <mergeCell ref="B1:F1"/>
    <mergeCell ref="G1:P1"/>
    <mergeCell ref="AO1:AZ1"/>
  </mergeCells>
  <phoneticPr fontId="4" type="noConversion"/>
  <pageMargins left="0.7" right="0.7" top="0.75" bottom="0.75" header="0.3" footer="0.3"/>
  <pageSetup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8F71D-81CB-4152-B3EC-3B8CB0C648E8}">
  <dimension ref="A2:AM37"/>
  <sheetViews>
    <sheetView workbookViewId="0">
      <pane xSplit="2" ySplit="2" topLeftCell="H3" activePane="bottomRight" state="frozen"/>
      <selection pane="topRight" activeCell="C1" sqref="C1"/>
      <selection pane="bottomLeft" activeCell="A3" sqref="A3"/>
      <selection pane="bottomRight" activeCell="A17" sqref="A17:XFD17"/>
    </sheetView>
  </sheetViews>
  <sheetFormatPr defaultRowHeight="14.4" x14ac:dyDescent="0.3"/>
  <cols>
    <col min="1" max="1" width="17.33203125" customWidth="1"/>
    <col min="3" max="3" width="18.6640625" customWidth="1"/>
    <col min="4" max="4" width="18.21875" customWidth="1"/>
    <col min="5" max="5" width="21.109375" customWidth="1"/>
    <col min="6" max="6" width="18.21875" customWidth="1"/>
    <col min="7" max="7" width="20.5546875" customWidth="1"/>
    <col min="8" max="8" width="15" customWidth="1"/>
    <col min="9" max="9" width="19.88671875" customWidth="1"/>
    <col min="10" max="11" width="7.5546875" customWidth="1"/>
    <col min="12" max="13" width="8.88671875" customWidth="1"/>
    <col min="28" max="28" width="9.44140625" customWidth="1"/>
  </cols>
  <sheetData>
    <row r="2" spans="1:39" ht="55.8" thickBot="1" x14ac:dyDescent="0.35">
      <c r="A2" s="78" t="s">
        <v>0</v>
      </c>
      <c r="B2" s="79" t="s">
        <v>1</v>
      </c>
      <c r="C2" s="83" t="s">
        <v>6634</v>
      </c>
      <c r="D2" s="83" t="s">
        <v>6635</v>
      </c>
      <c r="E2" s="84" t="s">
        <v>382</v>
      </c>
      <c r="F2" s="84" t="s">
        <v>384</v>
      </c>
      <c r="G2" s="84" t="s">
        <v>385</v>
      </c>
      <c r="H2" s="84" t="s">
        <v>386</v>
      </c>
      <c r="I2" s="84" t="s">
        <v>387</v>
      </c>
      <c r="J2" s="106" t="s">
        <v>6665</v>
      </c>
      <c r="K2" s="105" t="s">
        <v>6666</v>
      </c>
      <c r="L2" s="85" t="s">
        <v>6636</v>
      </c>
      <c r="M2" s="86" t="s">
        <v>6638</v>
      </c>
      <c r="N2" s="87" t="s">
        <v>6637</v>
      </c>
      <c r="O2" s="88" t="s">
        <v>6639</v>
      </c>
      <c r="P2" s="89" t="s">
        <v>6640</v>
      </c>
      <c r="Q2" s="90" t="s">
        <v>6641</v>
      </c>
      <c r="R2" s="91" t="s">
        <v>6642</v>
      </c>
      <c r="S2" s="92" t="s">
        <v>6643</v>
      </c>
      <c r="T2" s="93" t="s">
        <v>6644</v>
      </c>
      <c r="U2" s="94" t="s">
        <v>6645</v>
      </c>
      <c r="V2" s="89" t="s">
        <v>6646</v>
      </c>
      <c r="W2" s="90" t="s">
        <v>6647</v>
      </c>
      <c r="X2" s="91" t="s">
        <v>6648</v>
      </c>
      <c r="Y2" s="92" t="s">
        <v>6649</v>
      </c>
      <c r="Z2" s="93" t="s">
        <v>6650</v>
      </c>
      <c r="AA2" s="94" t="s">
        <v>6651</v>
      </c>
      <c r="AB2" s="89" t="s">
        <v>6652</v>
      </c>
      <c r="AC2" s="90" t="s">
        <v>6653</v>
      </c>
      <c r="AD2" s="91" t="s">
        <v>6654</v>
      </c>
      <c r="AE2" s="92" t="s">
        <v>6655</v>
      </c>
      <c r="AF2" s="93" t="s">
        <v>6656</v>
      </c>
      <c r="AG2" s="94" t="s">
        <v>6657</v>
      </c>
      <c r="AH2" s="89" t="s">
        <v>6658</v>
      </c>
      <c r="AI2" s="90" t="s">
        <v>6659</v>
      </c>
      <c r="AJ2" s="91" t="s">
        <v>6660</v>
      </c>
      <c r="AK2" s="92" t="s">
        <v>6661</v>
      </c>
      <c r="AL2" s="93" t="s">
        <v>6662</v>
      </c>
      <c r="AM2" s="94" t="s">
        <v>6663</v>
      </c>
    </row>
    <row r="3" spans="1:39" x14ac:dyDescent="0.3">
      <c r="A3" s="49">
        <v>45881.446388668977</v>
      </c>
      <c r="B3" s="50">
        <v>1</v>
      </c>
      <c r="C3" s="6">
        <f>Form_Responses[[#This Row],[SUM]]/10</f>
        <v>3.1</v>
      </c>
      <c r="D3" s="6">
        <f>SUM(Form_Responses[[#This Row],[1- I can always manage to solve difficult problems if I try hard enough.]:[10- I can usually handle whatever comes my way.]])</f>
        <v>31</v>
      </c>
      <c r="E3" s="6">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64</v>
      </c>
      <c r="F3" s="6">
        <f>SUM(Form_Responses[[#This Row],[1- I can trust persons and organizations related to development of robots ]:[5- If robots had emotions, I would be able to be friend with them]])</f>
        <v>10</v>
      </c>
      <c r="G3" s="6">
        <f>SUM(Form_Responses[[#This Row],[6- I would feel uneasy if I was given a job where I had to use robots]:[10- I don’t want a robot to touch me]])</f>
        <v>9</v>
      </c>
      <c r="H3" s="6">
        <f>SUM(Form_Responses[[#This Row],[11- Robots are necessary because they can do jobs that are too hard or too dangerous for people ]:[15- Robots are a good thing for society, because they help people]])</f>
        <v>22</v>
      </c>
      <c r="I3" s="6">
        <f>SUM(Form_Responses[[#This Row],[16- Robots may make us even lazier ]:[20- Unregulated use of robotics can lead to societal upheavals]])</f>
        <v>18</v>
      </c>
      <c r="J3" s="103">
        <f>TA_NQY!E3+TA_NQO!E3</f>
        <v>182.99999999999505</v>
      </c>
      <c r="K3" s="104">
        <f>TA_QY!E3+TA_QO!E3</f>
        <v>101.00000000000459</v>
      </c>
      <c r="L3" s="95">
        <v>332.00000000000716</v>
      </c>
      <c r="M3" s="72">
        <v>340.99999999999415</v>
      </c>
      <c r="N3" s="73">
        <v>16</v>
      </c>
      <c r="O3" s="96">
        <v>13</v>
      </c>
      <c r="P3" s="97">
        <v>2</v>
      </c>
      <c r="Q3" s="98">
        <v>3</v>
      </c>
      <c r="R3" s="99">
        <v>1</v>
      </c>
      <c r="S3" s="100">
        <v>2</v>
      </c>
      <c r="T3" s="101">
        <v>4</v>
      </c>
      <c r="U3" s="102">
        <v>6</v>
      </c>
      <c r="V3" s="97">
        <v>10</v>
      </c>
      <c r="W3" s="98">
        <v>9</v>
      </c>
      <c r="X3" s="99">
        <v>1</v>
      </c>
      <c r="Y3" s="100">
        <v>4</v>
      </c>
      <c r="Z3" s="101">
        <v>1</v>
      </c>
      <c r="AA3" s="102">
        <v>1</v>
      </c>
      <c r="AB3" s="97">
        <v>3</v>
      </c>
      <c r="AC3" s="98">
        <v>5</v>
      </c>
      <c r="AD3" s="99">
        <v>9</v>
      </c>
      <c r="AE3" s="100">
        <v>5</v>
      </c>
      <c r="AF3" s="101">
        <v>4</v>
      </c>
      <c r="AG3" s="102">
        <v>6</v>
      </c>
      <c r="AH3" s="97">
        <v>4</v>
      </c>
      <c r="AI3" s="98">
        <v>5</v>
      </c>
      <c r="AJ3" s="99">
        <v>3</v>
      </c>
      <c r="AK3" s="100">
        <v>3</v>
      </c>
      <c r="AL3" s="101">
        <v>9</v>
      </c>
      <c r="AM3" s="102">
        <v>8</v>
      </c>
    </row>
    <row r="4" spans="1:39" x14ac:dyDescent="0.3">
      <c r="A4" s="51">
        <v>45881.617943437501</v>
      </c>
      <c r="B4" s="52">
        <v>2</v>
      </c>
      <c r="C4" s="8">
        <f>Form_Responses[[#This Row],[SUM]]/10</f>
        <v>3.3</v>
      </c>
      <c r="D4" s="8">
        <f>SUM(Form_Responses[[#This Row],[1- I can always manage to solve difficult problems if I try hard enough.]:[10- I can usually handle whatever comes my way.]])</f>
        <v>33</v>
      </c>
      <c r="E4" s="8">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64</v>
      </c>
      <c r="F4" s="8">
        <f>SUM(Form_Responses[[#This Row],[1- I can trust persons and organizations related to development of robots ]:[5- If robots had emotions, I would be able to be friend with them]])</f>
        <v>17</v>
      </c>
      <c r="G4" s="8">
        <f>SUM(Form_Responses[[#This Row],[6- I would feel uneasy if I was given a job where I had to use robots]:[10- I don’t want a robot to touch me]])</f>
        <v>8</v>
      </c>
      <c r="H4" s="8">
        <f>SUM(Form_Responses[[#This Row],[11- Robots are necessary because they can do jobs that are too hard or too dangerous for people ]:[15- Robots are a good thing for society, because they help people]])</f>
        <v>23</v>
      </c>
      <c r="I4" s="8">
        <f>SUM(Form_Responses[[#This Row],[16- Robots may make us even lazier ]:[20- Unregulated use of robotics can lead to societal upheavals]])</f>
        <v>19</v>
      </c>
      <c r="J4" s="103">
        <f>TA_NQY!E4+TA_NQO!E4</f>
        <v>194.00000000000477</v>
      </c>
      <c r="K4" s="104">
        <f>TA_QY!E4+TA_QO!E4</f>
        <v>124.99999999999396</v>
      </c>
      <c r="L4" s="95">
        <v>383.99999999999284</v>
      </c>
      <c r="M4" s="72">
        <v>372.00000000000057</v>
      </c>
      <c r="N4" s="73">
        <v>20</v>
      </c>
      <c r="O4" s="96">
        <v>14</v>
      </c>
      <c r="P4" s="97">
        <v>4</v>
      </c>
      <c r="Q4" s="98">
        <v>5</v>
      </c>
      <c r="R4" s="99">
        <v>4</v>
      </c>
      <c r="S4" s="100">
        <v>4</v>
      </c>
      <c r="T4" s="101">
        <v>3</v>
      </c>
      <c r="U4" s="102">
        <v>6</v>
      </c>
      <c r="V4" s="97">
        <v>10</v>
      </c>
      <c r="W4" s="98">
        <v>8</v>
      </c>
      <c r="X4" s="99">
        <v>6</v>
      </c>
      <c r="Y4" s="100">
        <v>7</v>
      </c>
      <c r="Z4" s="101">
        <v>2</v>
      </c>
      <c r="AA4" s="102">
        <v>3</v>
      </c>
      <c r="AB4" s="97">
        <v>9</v>
      </c>
      <c r="AC4" s="98">
        <v>8</v>
      </c>
      <c r="AD4" s="99">
        <v>9</v>
      </c>
      <c r="AE4" s="100">
        <v>9</v>
      </c>
      <c r="AF4" s="101">
        <v>8</v>
      </c>
      <c r="AG4" s="102">
        <v>8</v>
      </c>
      <c r="AH4" s="97">
        <v>9</v>
      </c>
      <c r="AI4" s="98">
        <v>9</v>
      </c>
      <c r="AJ4" s="99">
        <v>9</v>
      </c>
      <c r="AK4" s="100">
        <v>9</v>
      </c>
      <c r="AL4" s="101">
        <v>3</v>
      </c>
      <c r="AM4" s="102">
        <v>7</v>
      </c>
    </row>
    <row r="5" spans="1:39" x14ac:dyDescent="0.3">
      <c r="A5" s="51">
        <v>45887.610196423615</v>
      </c>
      <c r="B5" s="52">
        <v>3</v>
      </c>
      <c r="C5" s="8">
        <f>Form_Responses[[#This Row],[SUM]]/10</f>
        <v>3.4</v>
      </c>
      <c r="D5" s="8">
        <f>SUM(Form_Responses[[#This Row],[1- I can always manage to solve difficult problems if I try hard enough.]:[10- I can usually handle whatever comes my way.]])</f>
        <v>34</v>
      </c>
      <c r="E5" s="8">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64</v>
      </c>
      <c r="F5" s="8">
        <f>SUM(Form_Responses[[#This Row],[1- I can trust persons and organizations related to development of robots ]:[5- If robots had emotions, I would be able to be friend with them]])</f>
        <v>14</v>
      </c>
      <c r="G5" s="8">
        <f>SUM(Form_Responses[[#This Row],[6- I would feel uneasy if I was given a job where I had to use robots]:[10- I don’t want a robot to touch me]])</f>
        <v>9</v>
      </c>
      <c r="H5" s="8">
        <f>SUM(Form_Responses[[#This Row],[11- Robots are necessary because they can do jobs that are too hard or too dangerous for people ]:[15- Robots are a good thing for society, because they help people]])</f>
        <v>22</v>
      </c>
      <c r="I5" s="8">
        <f>SUM(Form_Responses[[#This Row],[16- Robots may make us even lazier ]:[20- Unregulated use of robotics can lead to societal upheavals]])</f>
        <v>18</v>
      </c>
      <c r="J5" s="103">
        <f>TA_NQY!E5+TA_NQO!E5</f>
        <v>169.00000000000404</v>
      </c>
      <c r="K5" s="104">
        <f>TA_QY!E5+TA_QO!E5</f>
        <v>134.00000000000495</v>
      </c>
      <c r="L5" s="95">
        <v>331.99999999998795</v>
      </c>
      <c r="M5" s="72">
        <v>258.00000000000199</v>
      </c>
      <c r="N5" s="73">
        <v>14</v>
      </c>
      <c r="O5" s="96">
        <v>14</v>
      </c>
      <c r="P5" s="97">
        <v>3</v>
      </c>
      <c r="Q5" s="98">
        <v>6</v>
      </c>
      <c r="R5" s="99">
        <v>1</v>
      </c>
      <c r="S5" s="100">
        <v>2</v>
      </c>
      <c r="T5" s="101">
        <v>3</v>
      </c>
      <c r="U5" s="102">
        <v>5</v>
      </c>
      <c r="V5" s="97">
        <v>10</v>
      </c>
      <c r="W5" s="98">
        <v>10</v>
      </c>
      <c r="X5" s="99">
        <v>1</v>
      </c>
      <c r="Y5" s="100">
        <v>5</v>
      </c>
      <c r="Z5" s="101">
        <v>1</v>
      </c>
      <c r="AA5" s="102">
        <v>1</v>
      </c>
      <c r="AB5" s="97">
        <v>10</v>
      </c>
      <c r="AC5" s="98">
        <v>10</v>
      </c>
      <c r="AD5" s="99">
        <v>10</v>
      </c>
      <c r="AE5" s="100">
        <v>10</v>
      </c>
      <c r="AF5" s="101">
        <v>9</v>
      </c>
      <c r="AG5" s="102">
        <v>9</v>
      </c>
      <c r="AH5" s="97">
        <v>10</v>
      </c>
      <c r="AI5" s="98">
        <v>10</v>
      </c>
      <c r="AJ5" s="99">
        <v>10</v>
      </c>
      <c r="AK5" s="100">
        <v>10</v>
      </c>
      <c r="AL5" s="101">
        <v>2</v>
      </c>
      <c r="AM5" s="102">
        <v>2</v>
      </c>
    </row>
    <row r="6" spans="1:39" x14ac:dyDescent="0.3">
      <c r="A6" s="51">
        <v>45887.647473391204</v>
      </c>
      <c r="B6" s="52">
        <v>4</v>
      </c>
      <c r="C6" s="8">
        <f>Form_Responses[[#This Row],[SUM]]/10</f>
        <v>3.9</v>
      </c>
      <c r="D6" s="8">
        <f>SUM(Form_Responses[[#This Row],[1- I can always manage to solve difficult problems if I try hard enough.]:[10- I can usually handle whatever comes my way.]])</f>
        <v>39</v>
      </c>
      <c r="E6" s="8">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72</v>
      </c>
      <c r="F6" s="8">
        <f>SUM(Form_Responses[[#This Row],[1- I can trust persons and organizations related to development of robots ]:[5- If robots had emotions, I would be able to be friend with them]])</f>
        <v>16</v>
      </c>
      <c r="G6" s="8">
        <f>SUM(Form_Responses[[#This Row],[6- I would feel uneasy if I was given a job where I had to use robots]:[10- I don’t want a robot to touch me]])</f>
        <v>8</v>
      </c>
      <c r="H6" s="8">
        <f>SUM(Form_Responses[[#This Row],[11- Robots are necessary because they can do jobs that are too hard or too dangerous for people ]:[15- Robots are a good thing for society, because they help people]])</f>
        <v>19</v>
      </c>
      <c r="I6" s="8">
        <f>SUM(Form_Responses[[#This Row],[16- Robots may make us even lazier ]:[20- Unregulated use of robotics can lead to societal upheavals]])</f>
        <v>7</v>
      </c>
      <c r="J6" s="103">
        <f>TA_NQY!E6+TA_NQO!E6</f>
        <v>343.99999999999943</v>
      </c>
      <c r="K6" s="104">
        <f>TA_QY!E6+TA_QO!E6</f>
        <v>406.99999999999966</v>
      </c>
      <c r="L6" s="95">
        <v>282.00000000000574</v>
      </c>
      <c r="M6" s="72">
        <v>330.99999999999102</v>
      </c>
      <c r="N6" s="73">
        <v>14</v>
      </c>
      <c r="O6" s="96">
        <v>12</v>
      </c>
      <c r="P6" s="97">
        <v>6</v>
      </c>
      <c r="Q6" s="98">
        <v>8</v>
      </c>
      <c r="R6" s="99">
        <v>6</v>
      </c>
      <c r="S6" s="100">
        <v>7</v>
      </c>
      <c r="T6" s="101">
        <v>6</v>
      </c>
      <c r="U6" s="102">
        <v>10</v>
      </c>
      <c r="V6" s="97">
        <v>8</v>
      </c>
      <c r="W6" s="98">
        <v>7</v>
      </c>
      <c r="X6" s="99">
        <v>3</v>
      </c>
      <c r="Y6" s="100">
        <v>3</v>
      </c>
      <c r="Z6" s="101">
        <v>4</v>
      </c>
      <c r="AA6" s="102">
        <v>8</v>
      </c>
      <c r="AB6" s="97">
        <v>7</v>
      </c>
      <c r="AC6" s="98">
        <v>5</v>
      </c>
      <c r="AD6" s="99">
        <v>5</v>
      </c>
      <c r="AE6" s="100">
        <v>5</v>
      </c>
      <c r="AF6" s="101">
        <v>7</v>
      </c>
      <c r="AG6" s="102">
        <v>6</v>
      </c>
      <c r="AH6" s="97">
        <v>7</v>
      </c>
      <c r="AI6" s="98">
        <v>4</v>
      </c>
      <c r="AJ6" s="99">
        <v>5</v>
      </c>
      <c r="AK6" s="100">
        <v>5</v>
      </c>
      <c r="AL6" s="101">
        <v>4</v>
      </c>
      <c r="AM6" s="102">
        <v>8</v>
      </c>
    </row>
    <row r="7" spans="1:39" x14ac:dyDescent="0.3">
      <c r="A7" s="51">
        <v>45889.499309328705</v>
      </c>
      <c r="B7" s="52">
        <v>5</v>
      </c>
      <c r="C7" s="8">
        <f>Form_Responses[[#This Row],[SUM]]/10</f>
        <v>3</v>
      </c>
      <c r="D7" s="8">
        <f>SUM(Form_Responses[[#This Row],[1- I can always manage to solve difficult problems if I try hard enough.]:[10- I can usually handle whatever comes my way.]])</f>
        <v>30</v>
      </c>
      <c r="E7" s="8">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71</v>
      </c>
      <c r="F7" s="8">
        <f>SUM(Form_Responses[[#This Row],[1- I can trust persons and organizations related to development of robots ]:[5- If robots had emotions, I would be able to be friend with them]])</f>
        <v>20</v>
      </c>
      <c r="G7" s="8">
        <f>SUM(Form_Responses[[#This Row],[6- I would feel uneasy if I was given a job where I had to use robots]:[10- I don’t want a robot to touch me]])</f>
        <v>9</v>
      </c>
      <c r="H7" s="8">
        <f>SUM(Form_Responses[[#This Row],[11- Robots are necessary because they can do jobs that are too hard or too dangerous for people ]:[15- Robots are a good thing for society, because they help people]])</f>
        <v>21</v>
      </c>
      <c r="I7" s="8">
        <f>SUM(Form_Responses[[#This Row],[16- Robots may make us even lazier ]:[20- Unregulated use of robotics can lead to societal upheavals]])</f>
        <v>10</v>
      </c>
      <c r="J7" s="103">
        <f>TA_NQY!E7+TA_NQO!E7</f>
        <v>162.99999999999829</v>
      </c>
      <c r="K7" s="104">
        <f>TA_QY!E7+TA_QO!E7</f>
        <v>87.000000000004007</v>
      </c>
      <c r="L7" s="95">
        <v>342.99999999999284</v>
      </c>
      <c r="M7" s="72">
        <v>353.0000000000104</v>
      </c>
      <c r="N7" s="73">
        <v>15</v>
      </c>
      <c r="O7" s="96">
        <v>15</v>
      </c>
      <c r="P7" s="97">
        <v>2</v>
      </c>
      <c r="Q7" s="98">
        <v>2</v>
      </c>
      <c r="R7" s="99">
        <v>2</v>
      </c>
      <c r="S7" s="100">
        <v>2</v>
      </c>
      <c r="T7" s="101">
        <v>3</v>
      </c>
      <c r="U7" s="102">
        <v>4</v>
      </c>
      <c r="V7" s="97">
        <v>8</v>
      </c>
      <c r="W7" s="98">
        <v>8</v>
      </c>
      <c r="X7" s="99">
        <v>4</v>
      </c>
      <c r="Y7" s="100">
        <v>2</v>
      </c>
      <c r="Z7" s="101">
        <v>5</v>
      </c>
      <c r="AA7" s="102">
        <v>5</v>
      </c>
      <c r="AB7" s="97">
        <v>7</v>
      </c>
      <c r="AC7" s="98">
        <v>8</v>
      </c>
      <c r="AD7" s="99">
        <v>8</v>
      </c>
      <c r="AE7" s="100">
        <v>8</v>
      </c>
      <c r="AF7" s="101">
        <v>7</v>
      </c>
      <c r="AG7" s="102">
        <v>7</v>
      </c>
      <c r="AH7" s="97">
        <v>7</v>
      </c>
      <c r="AI7" s="98">
        <v>8</v>
      </c>
      <c r="AJ7" s="99">
        <v>7</v>
      </c>
      <c r="AK7" s="100">
        <v>8</v>
      </c>
      <c r="AL7" s="101">
        <v>5</v>
      </c>
      <c r="AM7" s="102">
        <v>8</v>
      </c>
    </row>
    <row r="8" spans="1:39" x14ac:dyDescent="0.3">
      <c r="A8" s="53">
        <v>45910.691854594908</v>
      </c>
      <c r="B8" s="23" t="s">
        <v>48</v>
      </c>
      <c r="C8" s="12">
        <f>Form_Responses[[#This Row],[SUM]]/10</f>
        <v>3.2</v>
      </c>
      <c r="D8" s="12">
        <f>SUM(Form_Responses[[#This Row],[1- I can always manage to solve difficult problems if I try hard enough.]:[10- I can usually handle whatever comes my way.]])</f>
        <v>32</v>
      </c>
      <c r="E8" s="12">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63</v>
      </c>
      <c r="F8" s="12">
        <f>SUM(Form_Responses[[#This Row],[1- I can trust persons and organizations related to development of robots ]:[5- If robots had emotions, I would be able to be friend with them]])</f>
        <v>25</v>
      </c>
      <c r="G8" s="12">
        <f>SUM(Form_Responses[[#This Row],[6- I would feel uneasy if I was given a job where I had to use robots]:[10- I don’t want a robot to touch me]])</f>
        <v>5</v>
      </c>
      <c r="H8" s="12">
        <f>SUM(Form_Responses[[#This Row],[11- Robots are necessary because they can do jobs that are too hard or too dangerous for people ]:[15- Robots are a good thing for society, because they help people]])</f>
        <v>24</v>
      </c>
      <c r="I8" s="12">
        <f>SUM(Form_Responses[[#This Row],[16- Robots may make us even lazier ]:[20- Unregulated use of robotics can lead to societal upheavals]])</f>
        <v>21</v>
      </c>
      <c r="J8" s="103">
        <f>TA_NQY!E16+TA_NQO!E16</f>
        <v>280.00000000000222</v>
      </c>
      <c r="K8" s="104">
        <f>TA_QY!E16+TA_QO!E16</f>
        <v>470.00000000000955</v>
      </c>
      <c r="L8" s="95">
        <v>268.99999999998772</v>
      </c>
      <c r="M8" s="72">
        <v>375.99999999999801</v>
      </c>
      <c r="N8" s="73">
        <v>15</v>
      </c>
      <c r="O8" s="96">
        <v>22</v>
      </c>
      <c r="P8" s="97">
        <v>2</v>
      </c>
      <c r="Q8" s="98">
        <v>4</v>
      </c>
      <c r="R8" s="99">
        <v>5</v>
      </c>
      <c r="S8" s="100">
        <v>3</v>
      </c>
      <c r="T8" s="101">
        <v>5</v>
      </c>
      <c r="U8" s="102">
        <v>3</v>
      </c>
      <c r="V8" s="97">
        <v>10</v>
      </c>
      <c r="W8" s="98">
        <v>10</v>
      </c>
      <c r="X8" s="99">
        <v>6</v>
      </c>
      <c r="Y8" s="100">
        <v>2</v>
      </c>
      <c r="Z8" s="101">
        <v>1</v>
      </c>
      <c r="AA8" s="102">
        <v>1</v>
      </c>
      <c r="AB8" s="97">
        <v>10</v>
      </c>
      <c r="AC8" s="98">
        <v>10</v>
      </c>
      <c r="AD8" s="99">
        <v>10</v>
      </c>
      <c r="AE8" s="100">
        <v>10</v>
      </c>
      <c r="AF8" s="101">
        <v>10</v>
      </c>
      <c r="AG8" s="102">
        <v>7</v>
      </c>
      <c r="AH8" s="97">
        <v>7</v>
      </c>
      <c r="AI8" s="98">
        <v>10</v>
      </c>
      <c r="AJ8" s="99">
        <v>10</v>
      </c>
      <c r="AK8" s="100">
        <v>10</v>
      </c>
      <c r="AL8" s="101">
        <v>3</v>
      </c>
      <c r="AM8" s="102">
        <v>3</v>
      </c>
    </row>
    <row r="9" spans="1:39" x14ac:dyDescent="0.3">
      <c r="A9" s="53">
        <v>45909.444653206017</v>
      </c>
      <c r="B9" s="23" t="s">
        <v>38</v>
      </c>
      <c r="C9" s="12">
        <f>Form_Responses[[#This Row],[SUM]]/10</f>
        <v>3.9</v>
      </c>
      <c r="D9" s="12">
        <f>SUM(Form_Responses[[#This Row],[1- I can always manage to solve difficult problems if I try hard enough.]:[10- I can usually handle whatever comes my way.]])</f>
        <v>39</v>
      </c>
      <c r="E9" s="12">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64</v>
      </c>
      <c r="F9" s="12">
        <f>SUM(Form_Responses[[#This Row],[1- I can trust persons and organizations related to development of robots ]:[5- If robots had emotions, I would be able to be friend with them]])</f>
        <v>20</v>
      </c>
      <c r="G9" s="12">
        <f>SUM(Form_Responses[[#This Row],[6- I would feel uneasy if I was given a job where I had to use robots]:[10- I don’t want a robot to touch me]])</f>
        <v>17</v>
      </c>
      <c r="H9" s="12">
        <f>SUM(Form_Responses[[#This Row],[11- Robots are necessary because they can do jobs that are too hard or too dangerous for people ]:[15- Robots are a good thing for society, because they help people]])</f>
        <v>21</v>
      </c>
      <c r="I9" s="12">
        <f>SUM(Form_Responses[[#This Row],[16- Robots may make us even lazier ]:[20- Unregulated use of robotics can lead to societal upheavals]])</f>
        <v>17</v>
      </c>
      <c r="J9" s="103">
        <f>TA_NQY!E8+TA_NQO!E8</f>
        <v>108.99999999999946</v>
      </c>
      <c r="K9" s="104">
        <f>TA_QY!E8+TA_QO!E8</f>
        <v>126.00000000000051</v>
      </c>
      <c r="L9" s="95">
        <v>346.99999999999511</v>
      </c>
      <c r="M9" s="72">
        <v>581.00000000000296</v>
      </c>
      <c r="N9" s="73">
        <v>19</v>
      </c>
      <c r="O9" s="96">
        <v>21</v>
      </c>
      <c r="P9" s="97">
        <v>4</v>
      </c>
      <c r="Q9" s="98">
        <v>10</v>
      </c>
      <c r="R9" s="99">
        <v>7</v>
      </c>
      <c r="S9" s="100">
        <v>9</v>
      </c>
      <c r="T9" s="101">
        <v>6</v>
      </c>
      <c r="U9" s="102">
        <v>8</v>
      </c>
      <c r="V9" s="97">
        <v>10</v>
      </c>
      <c r="W9" s="98">
        <v>10</v>
      </c>
      <c r="X9" s="99">
        <v>7</v>
      </c>
      <c r="Y9" s="100">
        <v>9</v>
      </c>
      <c r="Z9" s="101">
        <v>6</v>
      </c>
      <c r="AA9" s="102">
        <v>9</v>
      </c>
      <c r="AB9" s="97">
        <v>10</v>
      </c>
      <c r="AC9" s="98">
        <v>9</v>
      </c>
      <c r="AD9" s="99">
        <v>10</v>
      </c>
      <c r="AE9" s="100">
        <v>8</v>
      </c>
      <c r="AF9" s="101">
        <v>9</v>
      </c>
      <c r="AG9" s="102">
        <v>9</v>
      </c>
      <c r="AH9" s="97">
        <v>9</v>
      </c>
      <c r="AI9" s="98">
        <v>9</v>
      </c>
      <c r="AJ9" s="99">
        <v>10</v>
      </c>
      <c r="AK9" s="100">
        <v>10</v>
      </c>
      <c r="AL9" s="101">
        <v>4</v>
      </c>
      <c r="AM9" s="102">
        <v>10</v>
      </c>
    </row>
    <row r="10" spans="1:39" x14ac:dyDescent="0.3">
      <c r="A10" s="53">
        <v>45909.490350810185</v>
      </c>
      <c r="B10" s="23" t="s">
        <v>40</v>
      </c>
      <c r="C10" s="12">
        <f>Form_Responses[[#This Row],[SUM]]/10</f>
        <v>3</v>
      </c>
      <c r="D10" s="12">
        <f>SUM(Form_Responses[[#This Row],[1- I can always manage to solve difficult problems if I try hard enough.]:[10- I can usually handle whatever comes my way.]])</f>
        <v>30</v>
      </c>
      <c r="E10" s="12">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62</v>
      </c>
      <c r="F10" s="12">
        <f>SUM(Form_Responses[[#This Row],[1- I can trust persons and organizations related to development of robots ]:[5- If robots had emotions, I would be able to be friend with them]])</f>
        <v>8</v>
      </c>
      <c r="G10" s="12">
        <f>SUM(Form_Responses[[#This Row],[6- I would feel uneasy if I was given a job where I had to use robots]:[10- I don’t want a robot to touch me]])</f>
        <v>7</v>
      </c>
      <c r="H10" s="12">
        <f>SUM(Form_Responses[[#This Row],[11- Robots are necessary because they can do jobs that are too hard or too dangerous for people ]:[15- Robots are a good thing for society, because they help people]])</f>
        <v>23</v>
      </c>
      <c r="I10" s="12">
        <f>SUM(Form_Responses[[#This Row],[16- Robots may make us even lazier ]:[20- Unregulated use of robotics can lead to societal upheavals]])</f>
        <v>21</v>
      </c>
      <c r="J10" s="103">
        <f>TA_NQY!E9+TA_NQO!E9</f>
        <v>124.00000000000179</v>
      </c>
      <c r="K10" s="104">
        <f>TA_QY!E9+TA_QO!E9</f>
        <v>209.99999999999446</v>
      </c>
      <c r="L10" s="95">
        <v>340.99999999999898</v>
      </c>
      <c r="M10" s="72">
        <v>301.00000000000546</v>
      </c>
      <c r="N10" s="73">
        <v>20</v>
      </c>
      <c r="O10" s="96">
        <v>19</v>
      </c>
      <c r="P10" s="97">
        <v>1</v>
      </c>
      <c r="Q10" s="98">
        <v>6</v>
      </c>
      <c r="R10" s="99">
        <v>2</v>
      </c>
      <c r="S10" s="100">
        <v>3</v>
      </c>
      <c r="T10" s="101">
        <v>3</v>
      </c>
      <c r="U10" s="102">
        <v>7</v>
      </c>
      <c r="V10" s="97">
        <v>10</v>
      </c>
      <c r="W10" s="98">
        <v>9</v>
      </c>
      <c r="X10" s="99">
        <v>2</v>
      </c>
      <c r="Y10" s="100">
        <v>8</v>
      </c>
      <c r="Z10" s="101">
        <v>1</v>
      </c>
      <c r="AA10" s="102">
        <v>6</v>
      </c>
      <c r="AB10" s="97">
        <v>10</v>
      </c>
      <c r="AC10" s="98">
        <v>9</v>
      </c>
      <c r="AD10" s="99">
        <v>10</v>
      </c>
      <c r="AE10" s="100">
        <v>9</v>
      </c>
      <c r="AF10" s="101">
        <v>10</v>
      </c>
      <c r="AG10" s="102">
        <v>8</v>
      </c>
      <c r="AH10" s="97">
        <v>10</v>
      </c>
      <c r="AI10" s="98">
        <v>9</v>
      </c>
      <c r="AJ10" s="99">
        <v>10</v>
      </c>
      <c r="AK10" s="100">
        <v>10</v>
      </c>
      <c r="AL10" s="101">
        <v>2</v>
      </c>
      <c r="AM10" s="102">
        <v>3</v>
      </c>
    </row>
    <row r="11" spans="1:39" x14ac:dyDescent="0.3">
      <c r="A11" s="53">
        <v>45909.571112488426</v>
      </c>
      <c r="B11" s="23" t="s">
        <v>41</v>
      </c>
      <c r="C11" s="12">
        <f>Form_Responses[[#This Row],[SUM]]/10</f>
        <v>3.4</v>
      </c>
      <c r="D11" s="12">
        <f>SUM(Form_Responses[[#This Row],[1- I can always manage to solve difficult problems if I try hard enough.]:[10- I can usually handle whatever comes my way.]])</f>
        <v>34</v>
      </c>
      <c r="E11" s="12">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73</v>
      </c>
      <c r="F11" s="12">
        <f>SUM(Form_Responses[[#This Row],[1- I can trust persons and organizations related to development of robots ]:[5- If robots had emotions, I would be able to be friend with them]])</f>
        <v>15</v>
      </c>
      <c r="G11" s="12">
        <f>SUM(Form_Responses[[#This Row],[6- I would feel uneasy if I was given a job where I had to use robots]:[10- I don’t want a robot to touch me]])</f>
        <v>6</v>
      </c>
      <c r="H11" s="12">
        <f>SUM(Form_Responses[[#This Row],[11- Robots are necessary because they can do jobs that are too hard or too dangerous for people ]:[15- Robots are a good thing for society, because they help people]])</f>
        <v>24</v>
      </c>
      <c r="I11" s="12">
        <f>SUM(Form_Responses[[#This Row],[16- Robots may make us even lazier ]:[20- Unregulated use of robotics can lead to societal upheavals]])</f>
        <v>11</v>
      </c>
      <c r="J11" s="103">
        <f>TA_NQY!E10+TA_NQO!E10</f>
        <v>570.99999999999977</v>
      </c>
      <c r="K11" s="104">
        <f>TA_QY!E10+TA_QO!E10</f>
        <v>123.999999999997</v>
      </c>
      <c r="L11" s="95">
        <v>264.99999999999989</v>
      </c>
      <c r="M11" s="72">
        <v>300.00000000000853</v>
      </c>
      <c r="N11" s="73">
        <v>14</v>
      </c>
      <c r="O11" s="96">
        <v>14</v>
      </c>
      <c r="P11" s="97">
        <v>3</v>
      </c>
      <c r="Q11" s="98">
        <v>9</v>
      </c>
      <c r="R11" s="99">
        <v>6</v>
      </c>
      <c r="S11" s="100">
        <v>7</v>
      </c>
      <c r="T11" s="101">
        <v>8</v>
      </c>
      <c r="U11" s="102">
        <v>9</v>
      </c>
      <c r="V11" s="97">
        <v>4</v>
      </c>
      <c r="W11" s="98">
        <v>10</v>
      </c>
      <c r="X11" s="99">
        <v>4</v>
      </c>
      <c r="Y11" s="100">
        <v>7</v>
      </c>
      <c r="Z11" s="101">
        <v>7</v>
      </c>
      <c r="AA11" s="102">
        <v>5</v>
      </c>
      <c r="AB11" s="97">
        <v>8</v>
      </c>
      <c r="AC11" s="98">
        <v>10</v>
      </c>
      <c r="AD11" s="99">
        <v>8</v>
      </c>
      <c r="AE11" s="100">
        <v>10</v>
      </c>
      <c r="AF11" s="101">
        <v>6</v>
      </c>
      <c r="AG11" s="102">
        <v>10</v>
      </c>
      <c r="AH11" s="97">
        <v>3</v>
      </c>
      <c r="AI11" s="98">
        <v>10</v>
      </c>
      <c r="AJ11" s="99">
        <v>10</v>
      </c>
      <c r="AK11" s="100">
        <v>10</v>
      </c>
      <c r="AL11" s="101">
        <v>4</v>
      </c>
      <c r="AM11" s="102">
        <v>5</v>
      </c>
    </row>
    <row r="12" spans="1:39" x14ac:dyDescent="0.3">
      <c r="A12" s="53">
        <v>45909.613403391202</v>
      </c>
      <c r="B12" s="23" t="s">
        <v>42</v>
      </c>
      <c r="C12" s="12">
        <f>Form_Responses[[#This Row],[SUM]]/10</f>
        <v>3.2</v>
      </c>
      <c r="D12" s="12">
        <f>SUM(Form_Responses[[#This Row],[1- I can always manage to solve difficult problems if I try hard enough.]:[10- I can usually handle whatever comes my way.]])</f>
        <v>32</v>
      </c>
      <c r="E12" s="12">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73</v>
      </c>
      <c r="F12" s="12">
        <f>SUM(Form_Responses[[#This Row],[1- I can trust persons and organizations related to development of robots ]:[5- If robots had emotions, I would be able to be friend with them]])</f>
        <v>21</v>
      </c>
      <c r="G12" s="12">
        <f>SUM(Form_Responses[[#This Row],[6- I would feel uneasy if I was given a job where I had to use robots]:[10- I don’t want a robot to touch me]])</f>
        <v>8</v>
      </c>
      <c r="H12" s="12">
        <f>SUM(Form_Responses[[#This Row],[11- Robots are necessary because they can do jobs that are too hard or too dangerous for people ]:[15- Robots are a good thing for society, because they help people]])</f>
        <v>24</v>
      </c>
      <c r="I12" s="12">
        <f>SUM(Form_Responses[[#This Row],[16- Robots may make us even lazier ]:[20- Unregulated use of robotics can lead to societal upheavals]])</f>
        <v>11</v>
      </c>
      <c r="J12" s="103">
        <f>TA_NQY!E11+TA_NQO!E11</f>
        <v>249.00000000001015</v>
      </c>
      <c r="K12" s="104">
        <f>TA_QY!E11+TA_QO!E11</f>
        <v>138.99999999998977</v>
      </c>
      <c r="L12" s="95">
        <v>310.99999999999426</v>
      </c>
      <c r="M12" s="72">
        <v>374.00000000000409</v>
      </c>
      <c r="N12" s="73">
        <v>19</v>
      </c>
      <c r="O12" s="96">
        <v>22</v>
      </c>
      <c r="P12" s="97">
        <v>2</v>
      </c>
      <c r="Q12" s="98">
        <v>5</v>
      </c>
      <c r="R12" s="99">
        <v>2</v>
      </c>
      <c r="S12" s="100">
        <v>3</v>
      </c>
      <c r="T12" s="101">
        <v>2</v>
      </c>
      <c r="U12" s="102">
        <v>4</v>
      </c>
      <c r="V12" s="97">
        <v>8</v>
      </c>
      <c r="W12" s="98">
        <v>7</v>
      </c>
      <c r="X12" s="99">
        <v>3</v>
      </c>
      <c r="Y12" s="100">
        <v>4</v>
      </c>
      <c r="Z12" s="101">
        <v>1</v>
      </c>
      <c r="AA12" s="102">
        <v>1</v>
      </c>
      <c r="AB12" s="97">
        <v>9</v>
      </c>
      <c r="AC12" s="98">
        <v>9</v>
      </c>
      <c r="AD12" s="99">
        <v>6</v>
      </c>
      <c r="AE12" s="100">
        <v>8</v>
      </c>
      <c r="AF12" s="101">
        <v>4</v>
      </c>
      <c r="AG12" s="102">
        <v>8</v>
      </c>
      <c r="AH12" s="97">
        <v>7</v>
      </c>
      <c r="AI12" s="98">
        <v>8</v>
      </c>
      <c r="AJ12" s="99">
        <v>10</v>
      </c>
      <c r="AK12" s="100">
        <v>8</v>
      </c>
      <c r="AL12" s="101">
        <v>4</v>
      </c>
      <c r="AM12" s="102">
        <v>3</v>
      </c>
    </row>
    <row r="13" spans="1:39" x14ac:dyDescent="0.3">
      <c r="A13" s="53">
        <v>45909.662530416666</v>
      </c>
      <c r="B13" s="23" t="s">
        <v>44</v>
      </c>
      <c r="C13" s="12">
        <f>Form_Responses[[#This Row],[SUM]]/10</f>
        <v>2.9</v>
      </c>
      <c r="D13" s="12">
        <f>SUM(Form_Responses[[#This Row],[1- I can always manage to solve difficult problems if I try hard enough.]:[10- I can usually handle whatever comes my way.]])</f>
        <v>29</v>
      </c>
      <c r="E13" s="12">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70</v>
      </c>
      <c r="F13" s="12">
        <f>SUM(Form_Responses[[#This Row],[1- I can trust persons and organizations related to development of robots ]:[5- If robots had emotions, I would be able to be friend with them]])</f>
        <v>22</v>
      </c>
      <c r="G13" s="12">
        <f>SUM(Form_Responses[[#This Row],[6- I would feel uneasy if I was given a job where I had to use robots]:[10- I don’t want a robot to touch me]])</f>
        <v>8</v>
      </c>
      <c r="H13" s="12">
        <f>SUM(Form_Responses[[#This Row],[11- Robots are necessary because they can do jobs that are too hard or too dangerous for people ]:[15- Robots are a good thing for society, because they help people]])</f>
        <v>24</v>
      </c>
      <c r="I13" s="12">
        <f>SUM(Form_Responses[[#This Row],[16- Robots may make us even lazier ]:[20- Unregulated use of robotics can lead to societal upheavals]])</f>
        <v>14</v>
      </c>
      <c r="J13" s="103">
        <f>TA_NQY!E12+TA_NQO!E12</f>
        <v>127.00000000000706</v>
      </c>
      <c r="K13" s="104">
        <f>TA_QY!E12+TA_QO!E12</f>
        <v>170.99999999999795</v>
      </c>
      <c r="L13" s="95">
        <v>243.99999999999656</v>
      </c>
      <c r="M13" s="72">
        <v>668.00000000000205</v>
      </c>
      <c r="N13" s="73">
        <v>10</v>
      </c>
      <c r="O13" s="96">
        <v>17</v>
      </c>
      <c r="P13" s="97">
        <v>3</v>
      </c>
      <c r="Q13" s="98">
        <v>7</v>
      </c>
      <c r="R13" s="99">
        <v>6</v>
      </c>
      <c r="S13" s="100">
        <v>4</v>
      </c>
      <c r="T13" s="101">
        <v>6</v>
      </c>
      <c r="U13" s="102">
        <v>5</v>
      </c>
      <c r="V13" s="97">
        <v>10</v>
      </c>
      <c r="W13" s="98">
        <v>6</v>
      </c>
      <c r="X13" s="99">
        <v>6</v>
      </c>
      <c r="Y13" s="100">
        <v>6</v>
      </c>
      <c r="Z13" s="101">
        <v>3</v>
      </c>
      <c r="AA13" s="102">
        <v>5</v>
      </c>
      <c r="AB13" s="97">
        <v>9</v>
      </c>
      <c r="AC13" s="98">
        <v>7</v>
      </c>
      <c r="AD13" s="99">
        <v>10</v>
      </c>
      <c r="AE13" s="100">
        <v>10</v>
      </c>
      <c r="AF13" s="101">
        <v>8</v>
      </c>
      <c r="AG13" s="102">
        <v>7</v>
      </c>
      <c r="AH13" s="97">
        <v>8</v>
      </c>
      <c r="AI13" s="98">
        <v>6</v>
      </c>
      <c r="AJ13" s="99">
        <v>10</v>
      </c>
      <c r="AK13" s="100">
        <v>10</v>
      </c>
      <c r="AL13" s="101">
        <v>6</v>
      </c>
      <c r="AM13" s="102">
        <v>7</v>
      </c>
    </row>
    <row r="14" spans="1:39" x14ac:dyDescent="0.3">
      <c r="A14" s="53">
        <v>45909.707308969912</v>
      </c>
      <c r="B14" s="23" t="s">
        <v>45</v>
      </c>
      <c r="C14" s="12">
        <f>Form_Responses[[#This Row],[SUM]]/10</f>
        <v>3</v>
      </c>
      <c r="D14" s="12">
        <f>SUM(Form_Responses[[#This Row],[1- I can always manage to solve difficult problems if I try hard enough.]:[10- I can usually handle whatever comes my way.]])</f>
        <v>30</v>
      </c>
      <c r="E14" s="12">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69</v>
      </c>
      <c r="F14" s="12">
        <f>SUM(Form_Responses[[#This Row],[1- I can trust persons and organizations related to development of robots ]:[5- If robots had emotions, I would be able to be friend with them]])</f>
        <v>19</v>
      </c>
      <c r="G14" s="12">
        <f>SUM(Form_Responses[[#This Row],[6- I would feel uneasy if I was given a job where I had to use robots]:[10- I don’t want a robot to touch me]])</f>
        <v>7</v>
      </c>
      <c r="H14" s="12">
        <f>SUM(Form_Responses[[#This Row],[11- Robots are necessary because they can do jobs that are too hard or too dangerous for people ]:[15- Robots are a good thing for society, because they help people]])</f>
        <v>24</v>
      </c>
      <c r="I14" s="12">
        <f>SUM(Form_Responses[[#This Row],[16- Robots may make us even lazier ]:[20- Unregulated use of robotics can lead to societal upheavals]])</f>
        <v>15</v>
      </c>
      <c r="J14" s="103">
        <f>TA_NQY!E13+TA_NQO!E13</f>
        <v>137.00000000000543</v>
      </c>
      <c r="K14" s="104">
        <f>TA_QY!E13+TA_QO!E13</f>
        <v>509.99999999999341</v>
      </c>
      <c r="L14" s="95">
        <v>304.99999999999329</v>
      </c>
      <c r="M14" s="72">
        <v>433.00000000000693</v>
      </c>
      <c r="N14" s="73">
        <v>15</v>
      </c>
      <c r="O14" s="96">
        <v>19</v>
      </c>
      <c r="P14" s="97">
        <v>1</v>
      </c>
      <c r="Q14" s="98">
        <v>6</v>
      </c>
      <c r="R14" s="99">
        <v>5</v>
      </c>
      <c r="S14" s="100">
        <v>6</v>
      </c>
      <c r="T14" s="101">
        <v>2</v>
      </c>
      <c r="U14" s="102">
        <v>8</v>
      </c>
      <c r="V14" s="97">
        <v>10</v>
      </c>
      <c r="W14" s="98">
        <v>9</v>
      </c>
      <c r="X14" s="99">
        <v>6</v>
      </c>
      <c r="Y14" s="100">
        <v>7</v>
      </c>
      <c r="Z14" s="101">
        <v>2</v>
      </c>
      <c r="AA14" s="102">
        <v>5</v>
      </c>
      <c r="AB14" s="97">
        <v>9</v>
      </c>
      <c r="AC14" s="98">
        <v>8</v>
      </c>
      <c r="AD14" s="99">
        <v>8</v>
      </c>
      <c r="AE14" s="100">
        <v>7</v>
      </c>
      <c r="AF14" s="101">
        <v>8</v>
      </c>
      <c r="AG14" s="102">
        <v>4</v>
      </c>
      <c r="AH14" s="97">
        <v>8</v>
      </c>
      <c r="AI14" s="98">
        <v>6</v>
      </c>
      <c r="AJ14" s="99">
        <v>10</v>
      </c>
      <c r="AK14" s="100">
        <v>10</v>
      </c>
      <c r="AL14" s="101">
        <v>8</v>
      </c>
      <c r="AM14" s="102">
        <v>8</v>
      </c>
    </row>
    <row r="15" spans="1:39" x14ac:dyDescent="0.3">
      <c r="A15" s="53">
        <v>45909.751557291667</v>
      </c>
      <c r="B15" s="23" t="s">
        <v>46</v>
      </c>
      <c r="C15" s="12">
        <f>Form_Responses[[#This Row],[SUM]]/10</f>
        <v>2.8</v>
      </c>
      <c r="D15" s="12">
        <f>SUM(Form_Responses[[#This Row],[1- I can always manage to solve difficult problems if I try hard enough.]:[10- I can usually handle whatever comes my way.]])</f>
        <v>28</v>
      </c>
      <c r="E15" s="12">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65</v>
      </c>
      <c r="F15" s="12">
        <f>SUM(Form_Responses[[#This Row],[1- I can trust persons and organizations related to development of robots ]:[5- If robots had emotions, I would be able to be friend with them]])</f>
        <v>21</v>
      </c>
      <c r="G15" s="12">
        <f>SUM(Form_Responses[[#This Row],[6- I would feel uneasy if I was given a job where I had to use robots]:[10- I don’t want a robot to touch me]])</f>
        <v>8</v>
      </c>
      <c r="H15" s="12">
        <f>SUM(Form_Responses[[#This Row],[11- Robots are necessary because they can do jobs that are too hard or too dangerous for people ]:[15- Robots are a good thing for society, because they help people]])</f>
        <v>22</v>
      </c>
      <c r="I15" s="12">
        <f>SUM(Form_Responses[[#This Row],[16- Robots may make us even lazier ]:[20- Unregulated use of robotics can lead to societal upheavals]])</f>
        <v>17</v>
      </c>
      <c r="J15" s="103">
        <f>TA_NQY!E14+TA_NQO!E14</f>
        <v>724.99999999999181</v>
      </c>
      <c r="K15" s="104">
        <f>TA_QY!E14+TA_QO!E14</f>
        <v>262.99999999999636</v>
      </c>
      <c r="L15" s="95">
        <v>343.00000000000244</v>
      </c>
      <c r="M15" s="72">
        <v>387.00000000000296</v>
      </c>
      <c r="N15" s="73">
        <v>20</v>
      </c>
      <c r="O15" s="96">
        <v>20</v>
      </c>
      <c r="P15" s="97">
        <v>2</v>
      </c>
      <c r="Q15" s="98">
        <v>5</v>
      </c>
      <c r="R15" s="99">
        <v>3</v>
      </c>
      <c r="S15" s="100">
        <v>3</v>
      </c>
      <c r="T15" s="101">
        <v>3</v>
      </c>
      <c r="U15" s="102">
        <v>5</v>
      </c>
      <c r="V15" s="97">
        <v>9</v>
      </c>
      <c r="W15" s="98">
        <v>10</v>
      </c>
      <c r="X15" s="99">
        <v>3</v>
      </c>
      <c r="Y15" s="100">
        <v>6</v>
      </c>
      <c r="Z15" s="101">
        <v>1</v>
      </c>
      <c r="AA15" s="102">
        <v>1</v>
      </c>
      <c r="AB15" s="97">
        <v>10</v>
      </c>
      <c r="AC15" s="98">
        <v>10</v>
      </c>
      <c r="AD15" s="99">
        <v>10</v>
      </c>
      <c r="AE15" s="100">
        <v>10</v>
      </c>
      <c r="AF15" s="101">
        <v>10</v>
      </c>
      <c r="AG15" s="102">
        <v>9</v>
      </c>
      <c r="AH15" s="97">
        <v>10</v>
      </c>
      <c r="AI15" s="98">
        <v>10</v>
      </c>
      <c r="AJ15" s="99">
        <v>10</v>
      </c>
      <c r="AK15" s="100">
        <v>10</v>
      </c>
      <c r="AL15" s="101">
        <v>4</v>
      </c>
      <c r="AM15" s="102">
        <v>7</v>
      </c>
    </row>
    <row r="16" spans="1:39" x14ac:dyDescent="0.3">
      <c r="A16" s="53">
        <v>45910.584917060187</v>
      </c>
      <c r="B16" s="23" t="s">
        <v>47</v>
      </c>
      <c r="C16" s="12">
        <f>Form_Responses[[#This Row],[SUM]]/10</f>
        <v>3.6</v>
      </c>
      <c r="D16" s="12">
        <f>SUM(Form_Responses[[#This Row],[1- I can always manage to solve difficult problems if I try hard enough.]:[10- I can usually handle whatever comes my way.]])</f>
        <v>36</v>
      </c>
      <c r="E16" s="12">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78</v>
      </c>
      <c r="F16" s="12">
        <f>SUM(Form_Responses[[#This Row],[1- I can trust persons and organizations related to development of robots ]:[5- If robots had emotions, I would be able to be friend with them]])</f>
        <v>21</v>
      </c>
      <c r="G16" s="12">
        <f>SUM(Form_Responses[[#This Row],[6- I would feel uneasy if I was given a job where I had to use robots]:[10- I don’t want a robot to touch me]])</f>
        <v>9</v>
      </c>
      <c r="H16" s="12">
        <f>SUM(Form_Responses[[#This Row],[11- Robots are necessary because they can do jobs that are too hard or too dangerous for people ]:[15- Robots are a good thing for society, because they help people]])</f>
        <v>25</v>
      </c>
      <c r="I16" s="12">
        <f>SUM(Form_Responses[[#This Row],[16- Robots may make us even lazier ]:[20- Unregulated use of robotics can lead to societal upheavals]])</f>
        <v>7</v>
      </c>
      <c r="J16" s="103">
        <f>TA_NQY!E15+TA_NQO!E15</f>
        <v>407.00000000000927</v>
      </c>
      <c r="K16" s="104">
        <f>TA_QY!E15+TA_QO!E15</f>
        <v>624.00000000000159</v>
      </c>
      <c r="L16" s="95">
        <v>249.99999999999753</v>
      </c>
      <c r="M16" s="72">
        <v>356.00000000000131</v>
      </c>
      <c r="N16" s="73">
        <v>13</v>
      </c>
      <c r="O16" s="96">
        <v>19</v>
      </c>
      <c r="P16" s="97">
        <v>5</v>
      </c>
      <c r="Q16" s="98">
        <v>8</v>
      </c>
      <c r="R16" s="99">
        <v>5</v>
      </c>
      <c r="S16" s="100">
        <v>4</v>
      </c>
      <c r="T16" s="101">
        <v>6</v>
      </c>
      <c r="U16" s="102">
        <v>8</v>
      </c>
      <c r="V16" s="97">
        <v>9</v>
      </c>
      <c r="W16" s="98">
        <v>9</v>
      </c>
      <c r="X16" s="99">
        <v>5</v>
      </c>
      <c r="Y16" s="100">
        <v>7</v>
      </c>
      <c r="Z16" s="101">
        <v>2</v>
      </c>
      <c r="AA16" s="102">
        <v>2</v>
      </c>
      <c r="AB16" s="97">
        <v>9</v>
      </c>
      <c r="AC16" s="98">
        <v>9</v>
      </c>
      <c r="AD16" s="99">
        <v>8</v>
      </c>
      <c r="AE16" s="100">
        <v>7</v>
      </c>
      <c r="AF16" s="101">
        <v>7</v>
      </c>
      <c r="AG16" s="102">
        <v>8</v>
      </c>
      <c r="AH16" s="97">
        <v>9</v>
      </c>
      <c r="AI16" s="98">
        <v>8</v>
      </c>
      <c r="AJ16" s="99">
        <v>9</v>
      </c>
      <c r="AK16" s="100">
        <v>9</v>
      </c>
      <c r="AL16" s="101">
        <v>8</v>
      </c>
      <c r="AM16" s="102">
        <v>8</v>
      </c>
    </row>
    <row r="17" spans="1:39" x14ac:dyDescent="0.3">
      <c r="A17" s="53">
        <v>45910.737771979169</v>
      </c>
      <c r="B17" s="23" t="s">
        <v>49</v>
      </c>
      <c r="C17" s="12">
        <f>Form_Responses[[#This Row],[SUM]]/10</f>
        <v>3.3</v>
      </c>
      <c r="D17" s="12">
        <f>SUM(Form_Responses[[#This Row],[1- I can always manage to solve difficult problems if I try hard enough.]:[10- I can usually handle whatever comes my way.]])</f>
        <v>33</v>
      </c>
      <c r="E17" s="12">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57</v>
      </c>
      <c r="F17" s="12">
        <f>SUM(Form_Responses[[#This Row],[1- I can trust persons and organizations related to development of robots ]:[5- If robots had emotions, I would be able to be friend with them]])</f>
        <v>18</v>
      </c>
      <c r="G17" s="12">
        <f>SUM(Form_Responses[[#This Row],[6- I would feel uneasy if I was given a job where I had to use robots]:[10- I don’t want a robot to touch me]])</f>
        <v>12</v>
      </c>
      <c r="H17" s="12">
        <f>SUM(Form_Responses[[#This Row],[11- Robots are necessary because they can do jobs that are too hard or too dangerous for people ]:[15- Robots are a good thing for society, because they help people]])</f>
        <v>18</v>
      </c>
      <c r="I17" s="12">
        <f>SUM(Form_Responses[[#This Row],[16- Robots may make us even lazier ]:[20- Unregulated use of robotics can lead to societal upheavals]])</f>
        <v>21</v>
      </c>
      <c r="J17" s="103">
        <f>TA_NQY!E17+TA_NQO!E17</f>
        <v>558.00000000001046</v>
      </c>
      <c r="K17" s="104">
        <f>TA_QY!E17+TA_QO!E17</f>
        <v>361.00000000000529</v>
      </c>
      <c r="L17" s="95">
        <v>287.00000000000011</v>
      </c>
      <c r="M17" s="72">
        <v>359.00000000000176</v>
      </c>
      <c r="N17" s="73">
        <v>17</v>
      </c>
      <c r="O17" s="96">
        <v>16</v>
      </c>
      <c r="P17" s="97">
        <v>4</v>
      </c>
      <c r="Q17" s="98">
        <v>8</v>
      </c>
      <c r="R17" s="99">
        <v>6</v>
      </c>
      <c r="S17" s="100">
        <v>5</v>
      </c>
      <c r="T17" s="101">
        <v>6</v>
      </c>
      <c r="U17" s="102">
        <v>7</v>
      </c>
      <c r="V17" s="97">
        <v>9</v>
      </c>
      <c r="W17" s="98">
        <v>9</v>
      </c>
      <c r="X17" s="99">
        <v>5</v>
      </c>
      <c r="Y17" s="100">
        <v>7</v>
      </c>
      <c r="Z17" s="101">
        <v>1</v>
      </c>
      <c r="AA17" s="102">
        <v>2</v>
      </c>
      <c r="AB17" s="97">
        <v>8</v>
      </c>
      <c r="AC17" s="98">
        <v>9</v>
      </c>
      <c r="AD17" s="99">
        <v>9</v>
      </c>
      <c r="AE17" s="100">
        <v>6</v>
      </c>
      <c r="AF17" s="101">
        <v>8</v>
      </c>
      <c r="AG17" s="102">
        <v>9</v>
      </c>
      <c r="AH17" s="97">
        <v>8</v>
      </c>
      <c r="AI17" s="98">
        <v>9</v>
      </c>
      <c r="AJ17" s="99">
        <v>8</v>
      </c>
      <c r="AK17" s="100">
        <v>8</v>
      </c>
      <c r="AL17" s="101">
        <v>6</v>
      </c>
      <c r="AM17" s="102">
        <v>7</v>
      </c>
    </row>
    <row r="18" spans="1:39" x14ac:dyDescent="0.3">
      <c r="A18" s="53">
        <v>45912.400994479161</v>
      </c>
      <c r="B18" s="23" t="s">
        <v>50</v>
      </c>
      <c r="C18" s="12">
        <f>Form_Responses[[#This Row],[SUM]]/10</f>
        <v>3</v>
      </c>
      <c r="D18" s="12">
        <f>SUM(Form_Responses[[#This Row],[1- I can always manage to solve difficult problems if I try hard enough.]:[10- I can usually handle whatever comes my way.]])</f>
        <v>30</v>
      </c>
      <c r="E18" s="12">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69</v>
      </c>
      <c r="F18" s="12">
        <f>SUM(Form_Responses[[#This Row],[1- I can trust persons and organizations related to development of robots ]:[5- If robots had emotions, I would be able to be friend with them]])</f>
        <v>15</v>
      </c>
      <c r="G18" s="12">
        <f>SUM(Form_Responses[[#This Row],[6- I would feel uneasy if I was given a job where I had to use robots]:[10- I don’t want a robot to touch me]])</f>
        <v>7</v>
      </c>
      <c r="H18" s="12">
        <f>SUM(Form_Responses[[#This Row],[11- Robots are necessary because they can do jobs that are too hard or too dangerous for people ]:[15- Robots are a good thing for society, because they help people]])</f>
        <v>25</v>
      </c>
      <c r="I18" s="12">
        <f>SUM(Form_Responses[[#This Row],[16- Robots may make us even lazier ]:[20- Unregulated use of robotics can lead to societal upheavals]])</f>
        <v>16</v>
      </c>
      <c r="J18" s="103">
        <f>TA_NQY!E18+TA_NQO!E18</f>
        <v>125.00000000000355</v>
      </c>
      <c r="K18" s="104">
        <f>TA_QY!E18+TA_QO!E18</f>
        <v>412.99999999999579</v>
      </c>
      <c r="L18" s="95">
        <v>271.99999999999295</v>
      </c>
      <c r="M18" s="72">
        <v>413.00000000000063</v>
      </c>
      <c r="N18" s="73">
        <v>15</v>
      </c>
      <c r="O18" s="96">
        <v>18</v>
      </c>
      <c r="P18" s="97">
        <v>1</v>
      </c>
      <c r="Q18" s="98">
        <v>4</v>
      </c>
      <c r="R18" s="99">
        <v>1</v>
      </c>
      <c r="S18" s="100">
        <v>2</v>
      </c>
      <c r="T18" s="101">
        <v>3</v>
      </c>
      <c r="U18" s="102">
        <v>5</v>
      </c>
      <c r="V18" s="97">
        <v>10</v>
      </c>
      <c r="W18" s="98">
        <v>8</v>
      </c>
      <c r="X18" s="99">
        <v>3</v>
      </c>
      <c r="Y18" s="100">
        <v>7</v>
      </c>
      <c r="Z18" s="101">
        <v>3</v>
      </c>
      <c r="AA18" s="102">
        <v>4</v>
      </c>
      <c r="AB18" s="97">
        <v>10</v>
      </c>
      <c r="AC18" s="98">
        <v>8</v>
      </c>
      <c r="AD18" s="99">
        <v>10</v>
      </c>
      <c r="AE18" s="100">
        <v>6</v>
      </c>
      <c r="AF18" s="101">
        <v>10</v>
      </c>
      <c r="AG18" s="102">
        <v>3</v>
      </c>
      <c r="AH18" s="97">
        <v>10</v>
      </c>
      <c r="AI18" s="98">
        <v>4</v>
      </c>
      <c r="AJ18" s="99">
        <v>10</v>
      </c>
      <c r="AK18" s="100">
        <v>10</v>
      </c>
      <c r="AL18" s="101">
        <v>7</v>
      </c>
      <c r="AM18" s="102">
        <v>7</v>
      </c>
    </row>
    <row r="19" spans="1:39" x14ac:dyDescent="0.3">
      <c r="A19" s="53">
        <v>45912.446164340276</v>
      </c>
      <c r="B19" s="23" t="s">
        <v>51</v>
      </c>
      <c r="C19" s="12">
        <f>Form_Responses[[#This Row],[SUM]]/10</f>
        <v>2.9</v>
      </c>
      <c r="D19" s="12">
        <f>SUM(Form_Responses[[#This Row],[1- I can always manage to solve difficult problems if I try hard enough.]:[10- I can usually handle whatever comes my way.]])</f>
        <v>29</v>
      </c>
      <c r="E19" s="12">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66</v>
      </c>
      <c r="F19" s="12">
        <f>SUM(Form_Responses[[#This Row],[1- I can trust persons and organizations related to development of robots ]:[5- If robots had emotions, I would be able to be friend with them]])</f>
        <v>14</v>
      </c>
      <c r="G19" s="12">
        <f>SUM(Form_Responses[[#This Row],[6- I would feel uneasy if I was given a job where I had to use robots]:[10- I don’t want a robot to touch me]])</f>
        <v>11</v>
      </c>
      <c r="H19" s="12">
        <f>SUM(Form_Responses[[#This Row],[11- Robots are necessary because they can do jobs that are too hard or too dangerous for people ]:[15- Robots are a good thing for society, because they help people]])</f>
        <v>25</v>
      </c>
      <c r="I19" s="12">
        <f>SUM(Form_Responses[[#This Row],[16- Robots may make us even lazier ]:[20- Unregulated use of robotics can lead to societal upheavals]])</f>
        <v>19</v>
      </c>
      <c r="J19" s="103">
        <f>TA_NQY!E19+TA_NQO!E19</f>
        <v>523.00000000000182</v>
      </c>
      <c r="K19" s="104">
        <f>TA_QY!E19+TA_QO!E19</f>
        <v>166.00000000000355</v>
      </c>
      <c r="L19" s="95">
        <v>400.99999999999875</v>
      </c>
      <c r="M19" s="72">
        <v>471.99999999999864</v>
      </c>
      <c r="N19" s="73">
        <v>22</v>
      </c>
      <c r="O19" s="96">
        <v>19</v>
      </c>
      <c r="P19" s="97">
        <v>2</v>
      </c>
      <c r="Q19" s="98">
        <v>6</v>
      </c>
      <c r="R19" s="99">
        <v>2</v>
      </c>
      <c r="S19" s="100">
        <v>4</v>
      </c>
      <c r="T19" s="101">
        <v>2</v>
      </c>
      <c r="U19" s="102">
        <v>7</v>
      </c>
      <c r="V19" s="97">
        <v>9</v>
      </c>
      <c r="W19" s="98">
        <v>7</v>
      </c>
      <c r="X19" s="99">
        <v>4</v>
      </c>
      <c r="Y19" s="100">
        <v>7</v>
      </c>
      <c r="Z19" s="101">
        <v>1</v>
      </c>
      <c r="AA19" s="102">
        <v>3</v>
      </c>
      <c r="AB19" s="97">
        <v>8</v>
      </c>
      <c r="AC19" s="98">
        <v>7</v>
      </c>
      <c r="AD19" s="99">
        <v>3</v>
      </c>
      <c r="AE19" s="100">
        <v>2</v>
      </c>
      <c r="AF19" s="101">
        <v>8</v>
      </c>
      <c r="AG19" s="102">
        <v>6</v>
      </c>
      <c r="AH19" s="97">
        <v>8</v>
      </c>
      <c r="AI19" s="98">
        <v>6</v>
      </c>
      <c r="AJ19" s="99">
        <v>8</v>
      </c>
      <c r="AK19" s="100">
        <v>9</v>
      </c>
      <c r="AL19" s="101">
        <v>2</v>
      </c>
      <c r="AM19" s="102">
        <v>2</v>
      </c>
    </row>
    <row r="20" spans="1:39" x14ac:dyDescent="0.3">
      <c r="A20" s="53">
        <v>45912.493647233801</v>
      </c>
      <c r="B20" s="23" t="s">
        <v>52</v>
      </c>
      <c r="C20" s="12">
        <f>Form_Responses[[#This Row],[SUM]]/10</f>
        <v>3.8</v>
      </c>
      <c r="D20" s="12">
        <f>SUM(Form_Responses[[#This Row],[1- I can always manage to solve difficult problems if I try hard enough.]:[10- I can usually handle whatever comes my way.]])</f>
        <v>38</v>
      </c>
      <c r="E20" s="12">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61</v>
      </c>
      <c r="F20" s="12">
        <f>SUM(Form_Responses[[#This Row],[1- I can trust persons and organizations related to development of robots ]:[5- If robots had emotions, I would be able to be friend with them]])</f>
        <v>17</v>
      </c>
      <c r="G20" s="12">
        <f>SUM(Form_Responses[[#This Row],[6- I would feel uneasy if I was given a job where I had to use robots]:[10- I don’t want a robot to touch me]])</f>
        <v>8</v>
      </c>
      <c r="H20" s="12">
        <f>SUM(Form_Responses[[#This Row],[11- Robots are necessary because they can do jobs that are too hard or too dangerous for people ]:[15- Robots are a good thing for society, because they help people]])</f>
        <v>17</v>
      </c>
      <c r="I20" s="12">
        <f>SUM(Form_Responses[[#This Row],[16- Robots may make us even lazier ]:[20- Unregulated use of robotics can lead to societal upheavals]])</f>
        <v>16</v>
      </c>
      <c r="J20" s="103">
        <f>TA_NQY!E20+TA_NQO!E20</f>
        <v>253.99999999999494</v>
      </c>
      <c r="K20" s="104">
        <f>TA_QY!E20+TA_QO!E20</f>
        <v>406.0000000000075</v>
      </c>
      <c r="L20" s="95">
        <v>346.00000000001251</v>
      </c>
      <c r="M20" s="72">
        <v>395.99999999999955</v>
      </c>
      <c r="N20" s="73">
        <v>20</v>
      </c>
      <c r="O20" s="96">
        <v>22</v>
      </c>
      <c r="P20" s="97">
        <v>2</v>
      </c>
      <c r="Q20" s="98">
        <v>3</v>
      </c>
      <c r="R20" s="99">
        <v>2</v>
      </c>
      <c r="S20" s="100">
        <v>3</v>
      </c>
      <c r="T20" s="101">
        <v>2</v>
      </c>
      <c r="U20" s="102">
        <v>5</v>
      </c>
      <c r="V20" s="97">
        <v>9</v>
      </c>
      <c r="W20" s="98">
        <v>9</v>
      </c>
      <c r="X20" s="99">
        <v>3</v>
      </c>
      <c r="Y20" s="100">
        <v>6</v>
      </c>
      <c r="Z20" s="101">
        <v>1</v>
      </c>
      <c r="AA20" s="102">
        <v>1</v>
      </c>
      <c r="AB20" s="97">
        <v>9</v>
      </c>
      <c r="AC20" s="98">
        <v>9</v>
      </c>
      <c r="AD20" s="99">
        <v>8</v>
      </c>
      <c r="AE20" s="100">
        <v>7</v>
      </c>
      <c r="AF20" s="101">
        <v>8</v>
      </c>
      <c r="AG20" s="102">
        <v>7</v>
      </c>
      <c r="AH20" s="97">
        <v>8</v>
      </c>
      <c r="AI20" s="98">
        <v>7</v>
      </c>
      <c r="AJ20" s="99">
        <v>10</v>
      </c>
      <c r="AK20" s="100">
        <v>10</v>
      </c>
      <c r="AL20" s="101">
        <v>2</v>
      </c>
      <c r="AM20" s="102">
        <v>2</v>
      </c>
    </row>
    <row r="21" spans="1:39" x14ac:dyDescent="0.3">
      <c r="A21" s="53">
        <v>45912.578483981481</v>
      </c>
      <c r="B21" s="23" t="s">
        <v>53</v>
      </c>
      <c r="C21" s="12">
        <f>Form_Responses[[#This Row],[SUM]]/10</f>
        <v>3.4</v>
      </c>
      <c r="D21" s="12">
        <f>SUM(Form_Responses[[#This Row],[1- I can always manage to solve difficult problems if I try hard enough.]:[10- I can usually handle whatever comes my way.]])</f>
        <v>34</v>
      </c>
      <c r="E21" s="12">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65</v>
      </c>
      <c r="F21" s="12">
        <f>SUM(Form_Responses[[#This Row],[1- I can trust persons and organizations related to development of robots ]:[5- If robots had emotions, I would be able to be friend with them]])</f>
        <v>22</v>
      </c>
      <c r="G21" s="12">
        <f>SUM(Form_Responses[[#This Row],[6- I would feel uneasy if I was given a job where I had to use robots]:[10- I don’t want a robot to touch me]])</f>
        <v>13</v>
      </c>
      <c r="H21" s="12">
        <f>SUM(Form_Responses[[#This Row],[11- Robots are necessary because they can do jobs that are too hard or too dangerous for people ]:[15- Robots are a good thing for society, because they help people]])</f>
        <v>22</v>
      </c>
      <c r="I21" s="12">
        <f>SUM(Form_Responses[[#This Row],[16- Robots may make us even lazier ]:[20- Unregulated use of robotics can lead to societal upheavals]])</f>
        <v>17</v>
      </c>
      <c r="J21" s="103">
        <f>TA_NQY!E21+TA_NQO!E21</f>
        <v>1012.9999999999985</v>
      </c>
      <c r="K21" s="104">
        <f>TA_QY!E21+TA_QO!E21</f>
        <v>89.999999999994884</v>
      </c>
      <c r="L21" s="95">
        <v>409.00000000000318</v>
      </c>
      <c r="M21" s="72">
        <v>402.00000000000529</v>
      </c>
      <c r="N21" s="73">
        <v>22</v>
      </c>
      <c r="O21" s="96">
        <v>22</v>
      </c>
      <c r="P21" s="97">
        <v>8</v>
      </c>
      <c r="Q21" s="98">
        <v>4</v>
      </c>
      <c r="R21" s="99">
        <v>3</v>
      </c>
      <c r="S21" s="100">
        <v>3</v>
      </c>
      <c r="T21" s="101">
        <v>8</v>
      </c>
      <c r="U21" s="102">
        <v>4</v>
      </c>
      <c r="V21" s="97">
        <v>10</v>
      </c>
      <c r="W21" s="98">
        <v>10</v>
      </c>
      <c r="X21" s="99">
        <v>3</v>
      </c>
      <c r="Y21" s="100">
        <v>10</v>
      </c>
      <c r="Z21" s="101">
        <v>8</v>
      </c>
      <c r="AA21" s="102">
        <v>3</v>
      </c>
      <c r="AB21" s="97">
        <v>10</v>
      </c>
      <c r="AC21" s="98">
        <v>10</v>
      </c>
      <c r="AD21" s="99">
        <v>10</v>
      </c>
      <c r="AE21" s="100">
        <v>10</v>
      </c>
      <c r="AF21" s="101">
        <v>10</v>
      </c>
      <c r="AG21" s="102">
        <v>9</v>
      </c>
      <c r="AH21" s="97">
        <v>10</v>
      </c>
      <c r="AI21" s="98">
        <v>10</v>
      </c>
      <c r="AJ21" s="99">
        <v>9</v>
      </c>
      <c r="AK21" s="100">
        <v>10</v>
      </c>
      <c r="AL21" s="101">
        <v>1</v>
      </c>
      <c r="AM21" s="102">
        <v>1</v>
      </c>
    </row>
    <row r="22" spans="1:39" x14ac:dyDescent="0.3">
      <c r="A22" s="53">
        <v>45912.630338414354</v>
      </c>
      <c r="B22" s="23" t="s">
        <v>66</v>
      </c>
      <c r="C22" s="12">
        <f>Form_Responses[[#This Row],[SUM]]/10</f>
        <v>3.4</v>
      </c>
      <c r="D22" s="12">
        <f>SUM(Form_Responses[[#This Row],[1- I can always manage to solve difficult problems if I try hard enough.]:[10- I can usually handle whatever comes my way.]])</f>
        <v>34</v>
      </c>
      <c r="E22" s="12">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62</v>
      </c>
      <c r="F22" s="12">
        <f>SUM(Form_Responses[[#This Row],[1- I can trust persons and organizations related to development of robots ]:[5- If robots had emotions, I would be able to be friend with them]])</f>
        <v>16</v>
      </c>
      <c r="G22" s="12">
        <f>SUM(Form_Responses[[#This Row],[6- I would feel uneasy if I was given a job where I had to use robots]:[10- I don’t want a robot to touch me]])</f>
        <v>11</v>
      </c>
      <c r="H22" s="12">
        <f>SUM(Form_Responses[[#This Row],[11- Robots are necessary because they can do jobs that are too hard or too dangerous for people ]:[15- Robots are a good thing for society, because they help people]])</f>
        <v>21</v>
      </c>
      <c r="I22" s="12">
        <f>SUM(Form_Responses[[#This Row],[16- Robots may make us even lazier ]:[20- Unregulated use of robotics can lead to societal upheavals]])</f>
        <v>19</v>
      </c>
      <c r="J22" s="103">
        <f>TA_NQY!E22+TA_NQO!E22</f>
        <v>198.00000000000216</v>
      </c>
      <c r="K22" s="104">
        <f>TA_QY!E22+TA_QO!E22</f>
        <v>369.00000000000011</v>
      </c>
      <c r="L22" s="95">
        <v>369.9999999999971</v>
      </c>
      <c r="M22" s="72">
        <v>561.00000000000136</v>
      </c>
      <c r="N22" s="73">
        <v>22</v>
      </c>
      <c r="O22" s="96">
        <v>22</v>
      </c>
      <c r="P22" s="97">
        <v>1</v>
      </c>
      <c r="Q22" s="98">
        <v>3</v>
      </c>
      <c r="R22" s="99">
        <v>4</v>
      </c>
      <c r="S22" s="100">
        <v>3</v>
      </c>
      <c r="T22" s="101">
        <v>3</v>
      </c>
      <c r="U22" s="102">
        <v>4</v>
      </c>
      <c r="V22" s="97">
        <v>3</v>
      </c>
      <c r="W22" s="98">
        <v>8</v>
      </c>
      <c r="X22" s="99">
        <v>1</v>
      </c>
      <c r="Y22" s="100">
        <v>5</v>
      </c>
      <c r="Z22" s="101">
        <v>1</v>
      </c>
      <c r="AA22" s="102">
        <v>7</v>
      </c>
      <c r="AB22" s="97">
        <v>3</v>
      </c>
      <c r="AC22" s="98">
        <v>6</v>
      </c>
      <c r="AD22" s="99">
        <v>2</v>
      </c>
      <c r="AE22" s="100">
        <v>7</v>
      </c>
      <c r="AF22" s="101">
        <v>4</v>
      </c>
      <c r="AG22" s="102">
        <v>5</v>
      </c>
      <c r="AH22" s="97">
        <v>4</v>
      </c>
      <c r="AI22" s="98">
        <v>3</v>
      </c>
      <c r="AJ22" s="99">
        <v>1</v>
      </c>
      <c r="AK22" s="100">
        <v>1</v>
      </c>
      <c r="AL22" s="101">
        <v>1</v>
      </c>
      <c r="AM22" s="102">
        <v>1</v>
      </c>
    </row>
    <row r="23" spans="1:39" x14ac:dyDescent="0.3">
      <c r="A23" s="53">
        <v>45912.669901064815</v>
      </c>
      <c r="B23" s="23" t="s">
        <v>54</v>
      </c>
      <c r="C23" s="12">
        <f>Form_Responses[[#This Row],[SUM]]/10</f>
        <v>3.2</v>
      </c>
      <c r="D23" s="12">
        <f>SUM(Form_Responses[[#This Row],[1- I can always manage to solve difficult problems if I try hard enough.]:[10- I can usually handle whatever comes my way.]])</f>
        <v>32</v>
      </c>
      <c r="E23" s="12">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72</v>
      </c>
      <c r="F23" s="12">
        <f>SUM(Form_Responses[[#This Row],[1- I can trust persons and organizations related to development of robots ]:[5- If robots had emotions, I would be able to be friend with them]])</f>
        <v>16</v>
      </c>
      <c r="G23" s="12">
        <f>SUM(Form_Responses[[#This Row],[6- I would feel uneasy if I was given a job where I had to use robots]:[10- I don’t want a robot to touch me]])</f>
        <v>6</v>
      </c>
      <c r="H23" s="12">
        <f>SUM(Form_Responses[[#This Row],[11- Robots are necessary because they can do jobs that are too hard or too dangerous for people ]:[15- Robots are a good thing for society, because they help people]])</f>
        <v>24</v>
      </c>
      <c r="I23" s="12">
        <f>SUM(Form_Responses[[#This Row],[16- Robots may make us even lazier ]:[20- Unregulated use of robotics can lead to societal upheavals]])</f>
        <v>12</v>
      </c>
      <c r="J23" s="103">
        <f>TA_NQY!E23+TA_NQO!E23</f>
        <v>463.99999999999898</v>
      </c>
      <c r="K23" s="104">
        <f>TA_QY!E23+TA_QO!E23</f>
        <v>186.99999999998766</v>
      </c>
      <c r="L23" s="95">
        <v>334.99999999999801</v>
      </c>
      <c r="M23" s="72">
        <v>300.00000000000853</v>
      </c>
      <c r="N23" s="73">
        <v>20</v>
      </c>
      <c r="O23" s="96">
        <v>18</v>
      </c>
      <c r="P23" s="97">
        <v>2</v>
      </c>
      <c r="Q23" s="98">
        <v>4</v>
      </c>
      <c r="R23" s="99">
        <v>2</v>
      </c>
      <c r="S23" s="100">
        <v>2</v>
      </c>
      <c r="T23" s="101">
        <v>2</v>
      </c>
      <c r="U23" s="102">
        <v>5</v>
      </c>
      <c r="V23" s="97">
        <v>10</v>
      </c>
      <c r="W23" s="98">
        <v>8</v>
      </c>
      <c r="X23" s="99">
        <v>2</v>
      </c>
      <c r="Y23" s="100">
        <v>5</v>
      </c>
      <c r="Z23" s="101">
        <v>1</v>
      </c>
      <c r="AA23" s="102">
        <v>3</v>
      </c>
      <c r="AB23" s="97">
        <v>10</v>
      </c>
      <c r="AC23" s="98">
        <v>10</v>
      </c>
      <c r="AD23" s="99">
        <v>8</v>
      </c>
      <c r="AE23" s="100">
        <v>9</v>
      </c>
      <c r="AF23" s="101">
        <v>8</v>
      </c>
      <c r="AG23" s="102">
        <v>9</v>
      </c>
      <c r="AH23" s="97">
        <v>7</v>
      </c>
      <c r="AI23" s="98">
        <v>8</v>
      </c>
      <c r="AJ23" s="99">
        <v>10</v>
      </c>
      <c r="AK23" s="100">
        <v>10</v>
      </c>
      <c r="AL23" s="101">
        <v>7</v>
      </c>
      <c r="AM23" s="102">
        <v>8</v>
      </c>
    </row>
    <row r="24" spans="1:39" x14ac:dyDescent="0.3">
      <c r="A24" s="53">
        <v>45912.719724236114</v>
      </c>
      <c r="B24" s="23" t="s">
        <v>55</v>
      </c>
      <c r="C24" s="12">
        <f>Form_Responses[[#This Row],[SUM]]/10</f>
        <v>2.4</v>
      </c>
      <c r="D24" s="12">
        <f>SUM(Form_Responses[[#This Row],[1- I can always manage to solve difficult problems if I try hard enough.]:[10- I can usually handle whatever comes my way.]])</f>
        <v>24</v>
      </c>
      <c r="E24" s="12">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66</v>
      </c>
      <c r="F24" s="12">
        <f>SUM(Form_Responses[[#This Row],[1- I can trust persons and organizations related to development of robots ]:[5- If robots had emotions, I would be able to be friend with them]])</f>
        <v>22</v>
      </c>
      <c r="G24" s="12">
        <f>SUM(Form_Responses[[#This Row],[6- I would feel uneasy if I was given a job where I had to use robots]:[10- I don’t want a robot to touch me]])</f>
        <v>12</v>
      </c>
      <c r="H24" s="12">
        <f>SUM(Form_Responses[[#This Row],[11- Robots are necessary because they can do jobs that are too hard or too dangerous for people ]:[15- Robots are a good thing for society, because they help people]])</f>
        <v>24</v>
      </c>
      <c r="I24" s="12">
        <f>SUM(Form_Responses[[#This Row],[16- Robots may make us even lazier ]:[20- Unregulated use of robotics can lead to societal upheavals]])</f>
        <v>18</v>
      </c>
      <c r="J24" s="103">
        <f>TA_NQY!E24+TA_NQO!E24</f>
        <v>64.000000000006807</v>
      </c>
      <c r="K24" s="104">
        <f>TA_QY!E24+TA_QO!E24</f>
        <v>158.0000000000087</v>
      </c>
      <c r="L24" s="95">
        <v>305.0000000000029</v>
      </c>
      <c r="M24" s="72">
        <v>409.99999999999056</v>
      </c>
      <c r="N24" s="73">
        <v>16</v>
      </c>
      <c r="O24" s="96">
        <v>16</v>
      </c>
      <c r="P24" s="97">
        <v>8</v>
      </c>
      <c r="Q24" s="98">
        <v>7</v>
      </c>
      <c r="R24" s="99">
        <v>8</v>
      </c>
      <c r="S24" s="100">
        <v>9</v>
      </c>
      <c r="T24" s="101">
        <v>9</v>
      </c>
      <c r="U24" s="102">
        <v>8</v>
      </c>
      <c r="V24" s="97">
        <v>9</v>
      </c>
      <c r="W24" s="98">
        <v>10</v>
      </c>
      <c r="X24" s="99">
        <v>8</v>
      </c>
      <c r="Y24" s="100">
        <v>7</v>
      </c>
      <c r="Z24" s="101">
        <v>1</v>
      </c>
      <c r="AA24" s="102">
        <v>2</v>
      </c>
      <c r="AB24" s="97">
        <v>9</v>
      </c>
      <c r="AC24" s="98">
        <v>9</v>
      </c>
      <c r="AD24" s="99">
        <v>10</v>
      </c>
      <c r="AE24" s="100">
        <v>10</v>
      </c>
      <c r="AF24" s="101">
        <v>10</v>
      </c>
      <c r="AG24" s="102">
        <v>9</v>
      </c>
      <c r="AH24" s="97">
        <v>10</v>
      </c>
      <c r="AI24" s="98">
        <v>9</v>
      </c>
      <c r="AJ24" s="99">
        <v>9</v>
      </c>
      <c r="AK24" s="100">
        <v>9</v>
      </c>
      <c r="AL24" s="101">
        <v>3</v>
      </c>
      <c r="AM24" s="102">
        <v>4</v>
      </c>
    </row>
    <row r="25" spans="1:39" x14ac:dyDescent="0.3">
      <c r="A25" s="53">
        <v>45915.492289108792</v>
      </c>
      <c r="B25" s="23" t="s">
        <v>56</v>
      </c>
      <c r="C25" s="12">
        <f>Form_Responses[[#This Row],[SUM]]/10</f>
        <v>3.5</v>
      </c>
      <c r="D25" s="12">
        <f>SUM(Form_Responses[[#This Row],[1- I can always manage to solve difficult problems if I try hard enough.]:[10- I can usually handle whatever comes my way.]])</f>
        <v>35</v>
      </c>
      <c r="E25" s="12">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69</v>
      </c>
      <c r="F25" s="12">
        <f>SUM(Form_Responses[[#This Row],[1- I can trust persons and organizations related to development of robots ]:[5- If robots had emotions, I would be able to be friend with them]])</f>
        <v>15</v>
      </c>
      <c r="G25" s="12">
        <f>SUM(Form_Responses[[#This Row],[6- I would feel uneasy if I was given a job where I had to use robots]:[10- I don’t want a robot to touch me]])</f>
        <v>6</v>
      </c>
      <c r="H25" s="12">
        <f>SUM(Form_Responses[[#This Row],[11- Robots are necessary because they can do jobs that are too hard or too dangerous for people ]:[15- Robots are a good thing for society, because they help people]])</f>
        <v>21</v>
      </c>
      <c r="I25" s="12">
        <f>SUM(Form_Responses[[#This Row],[16- Robots may make us even lazier ]:[20- Unregulated use of robotics can lead to societal upheavals]])</f>
        <v>12</v>
      </c>
      <c r="J25" s="103">
        <f>TA_NQY!E25+TA_NQO!E25</f>
        <v>529.99999999999977</v>
      </c>
      <c r="K25" s="104">
        <f>TA_QY!E25+TA_QO!E25</f>
        <v>138.99999999999935</v>
      </c>
      <c r="L25" s="95">
        <v>294.99999999999977</v>
      </c>
      <c r="M25" s="72">
        <v>412.00000000000364</v>
      </c>
      <c r="N25" s="73">
        <v>17</v>
      </c>
      <c r="O25" s="96">
        <v>22</v>
      </c>
      <c r="P25" s="97">
        <v>2</v>
      </c>
      <c r="Q25" s="98">
        <v>6</v>
      </c>
      <c r="R25" s="99">
        <v>4</v>
      </c>
      <c r="S25" s="100">
        <v>2</v>
      </c>
      <c r="T25" s="101">
        <v>2</v>
      </c>
      <c r="U25" s="102">
        <v>5</v>
      </c>
      <c r="V25" s="97">
        <v>10</v>
      </c>
      <c r="W25" s="98">
        <v>10</v>
      </c>
      <c r="X25" s="99">
        <v>3</v>
      </c>
      <c r="Y25" s="100">
        <v>4</v>
      </c>
      <c r="Z25" s="101">
        <v>1</v>
      </c>
      <c r="AA25" s="102">
        <v>2</v>
      </c>
      <c r="AB25" s="97">
        <v>9</v>
      </c>
      <c r="AC25" s="98">
        <v>10</v>
      </c>
      <c r="AD25" s="99">
        <v>10</v>
      </c>
      <c r="AE25" s="100">
        <v>10</v>
      </c>
      <c r="AF25" s="101">
        <v>8</v>
      </c>
      <c r="AG25" s="102">
        <v>9</v>
      </c>
      <c r="AH25" s="97">
        <v>8</v>
      </c>
      <c r="AI25" s="98">
        <v>9</v>
      </c>
      <c r="AJ25" s="99">
        <v>9</v>
      </c>
      <c r="AK25" s="100">
        <v>10</v>
      </c>
      <c r="AL25" s="101">
        <v>6</v>
      </c>
      <c r="AM25" s="102">
        <v>2</v>
      </c>
    </row>
    <row r="26" spans="1:39" x14ac:dyDescent="0.3">
      <c r="A26" s="53">
        <v>45915.572406168983</v>
      </c>
      <c r="B26" s="23" t="s">
        <v>57</v>
      </c>
      <c r="C26" s="12">
        <f>Form_Responses[[#This Row],[SUM]]/10</f>
        <v>3.1</v>
      </c>
      <c r="D26" s="12">
        <f>SUM(Form_Responses[[#This Row],[1- I can always manage to solve difficult problems if I try hard enough.]:[10- I can usually handle whatever comes my way.]])</f>
        <v>31</v>
      </c>
      <c r="E26" s="12">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72</v>
      </c>
      <c r="F26" s="12">
        <f>SUM(Form_Responses[[#This Row],[1- I can trust persons and organizations related to development of robots ]:[5- If robots had emotions, I would be able to be friend with them]])</f>
        <v>17</v>
      </c>
      <c r="G26" s="12">
        <f>SUM(Form_Responses[[#This Row],[6- I would feel uneasy if I was given a job where I had to use robots]:[10- I don’t want a robot to touch me]])</f>
        <v>5</v>
      </c>
      <c r="H26" s="12">
        <f>SUM(Form_Responses[[#This Row],[11- Robots are necessary because they can do jobs that are too hard or too dangerous for people ]:[15- Robots are a good thing for society, because they help people]])</f>
        <v>23</v>
      </c>
      <c r="I26" s="12">
        <f>SUM(Form_Responses[[#This Row],[16- Robots may make us even lazier ]:[20- Unregulated use of robotics can lead to societal upheavals]])</f>
        <v>11</v>
      </c>
      <c r="J26" s="103">
        <f>TA_NQY!E26+TA_NQO!E26</f>
        <v>253.99999999999494</v>
      </c>
      <c r="K26" s="104">
        <f>TA_QY!E26+TA_QO!E26</f>
        <v>497.00000000000415</v>
      </c>
      <c r="L26" s="95">
        <v>220.00000000000242</v>
      </c>
      <c r="M26" s="72">
        <v>325.99999999998704</v>
      </c>
      <c r="N26" s="73">
        <v>12</v>
      </c>
      <c r="O26" s="96">
        <v>18</v>
      </c>
      <c r="P26" s="97">
        <v>3</v>
      </c>
      <c r="Q26" s="98">
        <v>6</v>
      </c>
      <c r="R26" s="99">
        <v>4</v>
      </c>
      <c r="S26" s="100">
        <v>4</v>
      </c>
      <c r="T26" s="101">
        <v>3</v>
      </c>
      <c r="U26" s="102">
        <v>7</v>
      </c>
      <c r="V26" s="97">
        <v>10</v>
      </c>
      <c r="W26" s="98">
        <v>9</v>
      </c>
      <c r="X26" s="99">
        <v>3</v>
      </c>
      <c r="Y26" s="100">
        <v>6</v>
      </c>
      <c r="Z26" s="101">
        <v>2</v>
      </c>
      <c r="AA26" s="102">
        <v>1</v>
      </c>
      <c r="AB26" s="97">
        <v>6</v>
      </c>
      <c r="AC26" s="98">
        <v>8</v>
      </c>
      <c r="AD26" s="99">
        <v>7</v>
      </c>
      <c r="AE26" s="100">
        <v>8</v>
      </c>
      <c r="AF26" s="101">
        <v>8</v>
      </c>
      <c r="AG26" s="102">
        <v>7</v>
      </c>
      <c r="AH26" s="97">
        <v>7</v>
      </c>
      <c r="AI26" s="98">
        <v>7</v>
      </c>
      <c r="AJ26" s="99">
        <v>9</v>
      </c>
      <c r="AK26" s="100">
        <v>9</v>
      </c>
      <c r="AL26" s="101">
        <v>3</v>
      </c>
      <c r="AM26" s="102">
        <v>6</v>
      </c>
    </row>
    <row r="27" spans="1:39" x14ac:dyDescent="0.3">
      <c r="A27" s="53">
        <v>45916.480977569445</v>
      </c>
      <c r="B27" s="23" t="s">
        <v>58</v>
      </c>
      <c r="C27" s="12">
        <f>Form_Responses[[#This Row],[SUM]]/10</f>
        <v>3.7</v>
      </c>
      <c r="D27" s="12">
        <f>SUM(Form_Responses[[#This Row],[1- I can always manage to solve difficult problems if I try hard enough.]:[10- I can usually handle whatever comes my way.]])</f>
        <v>37</v>
      </c>
      <c r="E27" s="12">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56</v>
      </c>
      <c r="F27" s="12">
        <f>SUM(Form_Responses[[#This Row],[1- I can trust persons and organizations related to development of robots ]:[5- If robots had emotions, I would be able to be friend with them]])</f>
        <v>11</v>
      </c>
      <c r="G27" s="12">
        <f>SUM(Form_Responses[[#This Row],[6- I would feel uneasy if I was given a job where I had to use robots]:[10- I don’t want a robot to touch me]])</f>
        <v>10</v>
      </c>
      <c r="H27" s="12">
        <f>SUM(Form_Responses[[#This Row],[11- Robots are necessary because they can do jobs that are too hard or too dangerous for people ]:[15- Robots are a good thing for society, because they help people]])</f>
        <v>21</v>
      </c>
      <c r="I27" s="12">
        <f>SUM(Form_Responses[[#This Row],[16- Robots may make us even lazier ]:[20- Unregulated use of robotics can lead to societal upheavals]])</f>
        <v>25</v>
      </c>
      <c r="J27" s="103">
        <f>TA_NQY!E27+TA_NQO!E27</f>
        <v>454.00000000000063</v>
      </c>
      <c r="K27" s="104">
        <f>TA_QY!E27+TA_QO!E27</f>
        <v>159.00000000000568</v>
      </c>
      <c r="L27" s="95">
        <v>239.99999999999915</v>
      </c>
      <c r="M27" s="72">
        <v>259.99999999999591</v>
      </c>
      <c r="N27" s="73">
        <v>11</v>
      </c>
      <c r="O27" s="96">
        <v>12</v>
      </c>
      <c r="P27" s="97">
        <v>2</v>
      </c>
      <c r="Q27" s="98">
        <v>4</v>
      </c>
      <c r="R27" s="99">
        <v>2</v>
      </c>
      <c r="S27" s="100">
        <v>2</v>
      </c>
      <c r="T27" s="101">
        <v>3</v>
      </c>
      <c r="U27" s="102">
        <v>5</v>
      </c>
      <c r="V27" s="97">
        <v>10</v>
      </c>
      <c r="W27" s="98">
        <v>10</v>
      </c>
      <c r="X27" s="99">
        <v>3</v>
      </c>
      <c r="Y27" s="100">
        <v>5</v>
      </c>
      <c r="Z27" s="101">
        <v>1</v>
      </c>
      <c r="AA27" s="102">
        <v>1</v>
      </c>
      <c r="AB27" s="97">
        <v>10</v>
      </c>
      <c r="AC27" s="98">
        <v>10</v>
      </c>
      <c r="AD27" s="99">
        <v>10</v>
      </c>
      <c r="AE27" s="100">
        <v>10</v>
      </c>
      <c r="AF27" s="101">
        <v>10</v>
      </c>
      <c r="AG27" s="102">
        <v>10</v>
      </c>
      <c r="AH27" s="97">
        <v>10</v>
      </c>
      <c r="AI27" s="98">
        <v>10</v>
      </c>
      <c r="AJ27" s="99">
        <v>10</v>
      </c>
      <c r="AK27" s="100">
        <v>10</v>
      </c>
      <c r="AL27" s="101">
        <v>4</v>
      </c>
      <c r="AM27" s="102">
        <v>4</v>
      </c>
    </row>
    <row r="28" spans="1:39" x14ac:dyDescent="0.3">
      <c r="A28" s="53">
        <v>45916.565919652778</v>
      </c>
      <c r="B28" s="23" t="s">
        <v>59</v>
      </c>
      <c r="C28" s="12">
        <f>Form_Responses[[#This Row],[SUM]]/10</f>
        <v>3</v>
      </c>
      <c r="D28" s="12">
        <f>SUM(Form_Responses[[#This Row],[1- I can always manage to solve difficult problems if I try hard enough.]:[10- I can usually handle whatever comes my way.]])</f>
        <v>30</v>
      </c>
      <c r="E28" s="12">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60</v>
      </c>
      <c r="F28" s="12">
        <f>SUM(Form_Responses[[#This Row],[1- I can trust persons and organizations related to development of robots ]:[5- If robots had emotions, I would be able to be friend with them]])</f>
        <v>12</v>
      </c>
      <c r="G28" s="12">
        <f>SUM(Form_Responses[[#This Row],[6- I would feel uneasy if I was given a job where I had to use robots]:[10- I don’t want a robot to touch me]])</f>
        <v>12</v>
      </c>
      <c r="H28" s="12">
        <f>SUM(Form_Responses[[#This Row],[11- Robots are necessary because they can do jobs that are too hard or too dangerous for people ]:[15- Robots are a good thing for society, because they help people]])</f>
        <v>23</v>
      </c>
      <c r="I28" s="12">
        <f>SUM(Form_Responses[[#This Row],[16- Robots may make us even lazier ]:[20- Unregulated use of robotics can lead to societal upheavals]])</f>
        <v>23</v>
      </c>
      <c r="J28" s="103">
        <f>TA_NQY!E28+TA_NQO!E28</f>
        <v>275.99999999998556</v>
      </c>
      <c r="K28" s="104">
        <f>TA_QY!E28+TA_QO!E28</f>
        <v>378.00000000000153</v>
      </c>
      <c r="L28" s="95">
        <v>336.00000000001415</v>
      </c>
      <c r="M28" s="72">
        <v>420.00000000000813</v>
      </c>
      <c r="N28" s="73">
        <v>16</v>
      </c>
      <c r="O28" s="96">
        <v>20</v>
      </c>
      <c r="P28" s="97">
        <v>4</v>
      </c>
      <c r="Q28" s="98">
        <v>7</v>
      </c>
      <c r="R28" s="99">
        <v>3</v>
      </c>
      <c r="S28" s="100">
        <v>3</v>
      </c>
      <c r="T28" s="101">
        <v>6</v>
      </c>
      <c r="U28" s="102">
        <v>5</v>
      </c>
      <c r="V28" s="97">
        <v>10</v>
      </c>
      <c r="W28" s="98">
        <v>10</v>
      </c>
      <c r="X28" s="99">
        <v>6</v>
      </c>
      <c r="Y28" s="100">
        <v>6</v>
      </c>
      <c r="Z28" s="101">
        <v>2</v>
      </c>
      <c r="AA28" s="102">
        <v>7</v>
      </c>
      <c r="AB28" s="97">
        <v>9</v>
      </c>
      <c r="AC28" s="98">
        <v>8</v>
      </c>
      <c r="AD28" s="99">
        <v>7</v>
      </c>
      <c r="AE28" s="100">
        <v>9</v>
      </c>
      <c r="AF28" s="101">
        <v>8</v>
      </c>
      <c r="AG28" s="102">
        <v>9</v>
      </c>
      <c r="AH28" s="97">
        <v>8</v>
      </c>
      <c r="AI28" s="98">
        <v>9</v>
      </c>
      <c r="AJ28" s="99">
        <v>10</v>
      </c>
      <c r="AK28" s="100">
        <v>9</v>
      </c>
      <c r="AL28" s="101">
        <v>5</v>
      </c>
      <c r="AM28" s="102">
        <v>3</v>
      </c>
    </row>
    <row r="29" spans="1:39" x14ac:dyDescent="0.3">
      <c r="A29" s="53">
        <v>45916.622170173607</v>
      </c>
      <c r="B29" s="23" t="s">
        <v>60</v>
      </c>
      <c r="C29" s="12">
        <f>Form_Responses[[#This Row],[SUM]]/10</f>
        <v>2.6</v>
      </c>
      <c r="D29" s="12">
        <f>SUM(Form_Responses[[#This Row],[1- I can always manage to solve difficult problems if I try hard enough.]:[10- I can usually handle whatever comes my way.]])</f>
        <v>26</v>
      </c>
      <c r="E29" s="12">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72</v>
      </c>
      <c r="F29" s="12">
        <f>SUM(Form_Responses[[#This Row],[1- I can trust persons and organizations related to development of robots ]:[5- If robots had emotions, I would be able to be friend with them]])</f>
        <v>13</v>
      </c>
      <c r="G29" s="12">
        <f>SUM(Form_Responses[[#This Row],[6- I would feel uneasy if I was given a job where I had to use robots]:[10- I don’t want a robot to touch me]])</f>
        <v>11</v>
      </c>
      <c r="H29" s="12">
        <f>SUM(Form_Responses[[#This Row],[11- Robots are necessary because they can do jobs that are too hard or too dangerous for people ]:[15- Robots are a good thing for society, because they help people]])</f>
        <v>25</v>
      </c>
      <c r="I29" s="12">
        <f>SUM(Form_Responses[[#This Row],[16- Robots may make us even lazier ]:[20- Unregulated use of robotics can lead to societal upheavals]])</f>
        <v>13</v>
      </c>
      <c r="J29" s="103">
        <f>TA_NQY!E29+TA_NQO!E29</f>
        <v>223.0000000000029</v>
      </c>
      <c r="K29" s="104">
        <f>TA_QY!E29+TA_QO!E29</f>
        <v>121.00000000000612</v>
      </c>
      <c r="L29" s="95">
        <v>387.00000000000296</v>
      </c>
      <c r="M29" s="72">
        <v>370.99999999999403</v>
      </c>
      <c r="N29" s="73">
        <v>17</v>
      </c>
      <c r="O29" s="96">
        <v>17</v>
      </c>
      <c r="P29" s="97">
        <v>3</v>
      </c>
      <c r="Q29" s="98">
        <v>6</v>
      </c>
      <c r="R29" s="99">
        <v>2</v>
      </c>
      <c r="S29" s="100">
        <v>2</v>
      </c>
      <c r="T29" s="101">
        <v>5</v>
      </c>
      <c r="U29" s="102">
        <v>5</v>
      </c>
      <c r="V29" s="97">
        <v>10</v>
      </c>
      <c r="W29" s="98">
        <v>9</v>
      </c>
      <c r="X29" s="99">
        <v>6</v>
      </c>
      <c r="Y29" s="100">
        <v>4</v>
      </c>
      <c r="Z29" s="101">
        <v>4</v>
      </c>
      <c r="AA29" s="102">
        <v>7</v>
      </c>
      <c r="AB29" s="97">
        <v>10</v>
      </c>
      <c r="AC29" s="98">
        <v>8</v>
      </c>
      <c r="AD29" s="99">
        <v>6</v>
      </c>
      <c r="AE29" s="100">
        <v>8</v>
      </c>
      <c r="AF29" s="101">
        <v>9</v>
      </c>
      <c r="AG29" s="102">
        <v>8</v>
      </c>
      <c r="AH29" s="97">
        <v>9</v>
      </c>
      <c r="AI29" s="98">
        <v>7</v>
      </c>
      <c r="AJ29" s="99">
        <v>9</v>
      </c>
      <c r="AK29" s="100">
        <v>10</v>
      </c>
      <c r="AL29" s="101">
        <v>8</v>
      </c>
      <c r="AM29" s="102">
        <v>9</v>
      </c>
    </row>
    <row r="30" spans="1:39" x14ac:dyDescent="0.3">
      <c r="A30" s="53">
        <v>45916.736991331018</v>
      </c>
      <c r="B30" s="23" t="s">
        <v>61</v>
      </c>
      <c r="C30" s="12">
        <f>Form_Responses[[#This Row],[SUM]]/10</f>
        <v>3.9</v>
      </c>
      <c r="D30" s="12">
        <f>SUM(Form_Responses[[#This Row],[1- I can always manage to solve difficult problems if I try hard enough.]:[10- I can usually handle whatever comes my way.]])</f>
        <v>39</v>
      </c>
      <c r="E30" s="12">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68</v>
      </c>
      <c r="F30" s="12">
        <f>SUM(Form_Responses[[#This Row],[1- I can trust persons and organizations related to development of robots ]:[5- If robots had emotions, I would be able to be friend with them]])</f>
        <v>13</v>
      </c>
      <c r="G30" s="12">
        <f>SUM(Form_Responses[[#This Row],[6- I would feel uneasy if I was given a job where I had to use robots]:[10- I don’t want a robot to touch me]])</f>
        <v>6</v>
      </c>
      <c r="H30" s="12">
        <f>SUM(Form_Responses[[#This Row],[11- Robots are necessary because they can do jobs that are too hard or too dangerous for people ]:[15- Robots are a good thing for society, because they help people]])</f>
        <v>20</v>
      </c>
      <c r="I30" s="12">
        <f>SUM(Form_Responses[[#This Row],[16- Robots may make us even lazier ]:[20- Unregulated use of robotics can lead to societal upheavals]])</f>
        <v>12</v>
      </c>
      <c r="J30" s="103">
        <f>TA_NQY!E30+TA_NQO!E30</f>
        <v>127.00000000000706</v>
      </c>
      <c r="K30" s="104">
        <f>TA_QY!E30+TA_QO!E30</f>
        <v>471.99999999999386</v>
      </c>
      <c r="L30" s="95">
        <v>310.99999999999426</v>
      </c>
      <c r="M30" s="72">
        <v>416.99999999999801</v>
      </c>
      <c r="N30" s="73">
        <v>18</v>
      </c>
      <c r="O30" s="96">
        <v>20</v>
      </c>
      <c r="P30" s="97">
        <v>2</v>
      </c>
      <c r="Q30" s="98">
        <v>4</v>
      </c>
      <c r="R30" s="99">
        <v>2</v>
      </c>
      <c r="S30" s="100">
        <v>2</v>
      </c>
      <c r="T30" s="101">
        <v>3</v>
      </c>
      <c r="U30" s="102">
        <v>6</v>
      </c>
      <c r="V30" s="97">
        <v>10</v>
      </c>
      <c r="W30" s="98">
        <v>10</v>
      </c>
      <c r="X30" s="99">
        <v>5</v>
      </c>
      <c r="Y30" s="100">
        <v>7</v>
      </c>
      <c r="Z30" s="101">
        <v>3</v>
      </c>
      <c r="AA30" s="102">
        <v>5</v>
      </c>
      <c r="AB30" s="97">
        <v>10</v>
      </c>
      <c r="AC30" s="98">
        <v>9</v>
      </c>
      <c r="AD30" s="99">
        <v>10</v>
      </c>
      <c r="AE30" s="100">
        <v>9</v>
      </c>
      <c r="AF30" s="101">
        <v>10</v>
      </c>
      <c r="AG30" s="102">
        <v>8</v>
      </c>
      <c r="AH30" s="97">
        <v>10</v>
      </c>
      <c r="AI30" s="98">
        <v>9</v>
      </c>
      <c r="AJ30" s="99">
        <v>9</v>
      </c>
      <c r="AK30" s="100">
        <v>9</v>
      </c>
      <c r="AL30" s="101">
        <v>6</v>
      </c>
      <c r="AM30" s="102">
        <v>7</v>
      </c>
    </row>
    <row r="31" spans="1:39" x14ac:dyDescent="0.3">
      <c r="A31" s="53">
        <v>45916.796940046297</v>
      </c>
      <c r="B31" s="23" t="s">
        <v>62</v>
      </c>
      <c r="C31" s="12">
        <f>Form_Responses[[#This Row],[SUM]]/10</f>
        <v>3.1</v>
      </c>
      <c r="D31" s="12">
        <f>SUM(Form_Responses[[#This Row],[1- I can always manage to solve difficult problems if I try hard enough.]:[10- I can usually handle whatever comes my way.]])</f>
        <v>31</v>
      </c>
      <c r="E31" s="12">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64</v>
      </c>
      <c r="F31" s="12">
        <f>SUM(Form_Responses[[#This Row],[1- I can trust persons and organizations related to development of robots ]:[5- If robots had emotions, I would be able to be friend with them]])</f>
        <v>13</v>
      </c>
      <c r="G31" s="12">
        <f>SUM(Form_Responses[[#This Row],[6- I would feel uneasy if I was given a job where I had to use robots]:[10- I don’t want a robot to touch me]])</f>
        <v>13</v>
      </c>
      <c r="H31" s="12">
        <f>SUM(Form_Responses[[#This Row],[11- Robots are necessary because they can do jobs that are too hard or too dangerous for people ]:[15- Robots are a good thing for society, because they help people]])</f>
        <v>25</v>
      </c>
      <c r="I31" s="12">
        <f>SUM(Form_Responses[[#This Row],[16- Robots may make us even lazier ]:[20- Unregulated use of robotics can lead to societal upheavals]])</f>
        <v>21</v>
      </c>
      <c r="J31" s="103">
        <f>TA_NQY!E31+TA_NQO!E31</f>
        <v>493.00000000000676</v>
      </c>
      <c r="K31" s="104">
        <f>TA_QY!E31+TA_QO!E31</f>
        <v>217.00000000000193</v>
      </c>
      <c r="L31" s="95">
        <v>297.99999999999545</v>
      </c>
      <c r="M31" s="72">
        <v>280.9999999999992</v>
      </c>
      <c r="N31" s="73">
        <v>17</v>
      </c>
      <c r="O31" s="96">
        <v>16</v>
      </c>
      <c r="P31" s="97">
        <v>6</v>
      </c>
      <c r="Q31" s="98">
        <v>9</v>
      </c>
      <c r="R31" s="99">
        <v>3</v>
      </c>
      <c r="S31" s="100">
        <v>4</v>
      </c>
      <c r="T31" s="101">
        <v>3</v>
      </c>
      <c r="U31" s="102">
        <v>7</v>
      </c>
      <c r="V31" s="97">
        <v>10</v>
      </c>
      <c r="W31" s="98">
        <v>9</v>
      </c>
      <c r="X31" s="99">
        <v>8</v>
      </c>
      <c r="Y31" s="100">
        <v>9</v>
      </c>
      <c r="Z31" s="101">
        <v>8</v>
      </c>
      <c r="AA31" s="102">
        <v>4</v>
      </c>
      <c r="AB31" s="97">
        <v>7</v>
      </c>
      <c r="AC31" s="98">
        <v>8</v>
      </c>
      <c r="AD31" s="99">
        <v>8</v>
      </c>
      <c r="AE31" s="100">
        <v>9</v>
      </c>
      <c r="AF31" s="101">
        <v>6</v>
      </c>
      <c r="AG31" s="102">
        <v>10</v>
      </c>
      <c r="AH31" s="97">
        <v>6</v>
      </c>
      <c r="AI31" s="98">
        <v>9</v>
      </c>
      <c r="AJ31" s="99">
        <v>8</v>
      </c>
      <c r="AK31" s="100">
        <v>10</v>
      </c>
      <c r="AL31" s="101">
        <v>8</v>
      </c>
      <c r="AM31" s="102">
        <v>10</v>
      </c>
    </row>
    <row r="32" spans="1:39" x14ac:dyDescent="0.3">
      <c r="A32" s="53">
        <v>45917.607987812502</v>
      </c>
      <c r="B32" s="23" t="s">
        <v>63</v>
      </c>
      <c r="C32" s="12">
        <f>Form_Responses[[#This Row],[SUM]]/10</f>
        <v>3</v>
      </c>
      <c r="D32" s="12">
        <f>SUM(Form_Responses[[#This Row],[1- I can always manage to solve difficult problems if I try hard enough.]:[10- I can usually handle whatever comes my way.]])</f>
        <v>30</v>
      </c>
      <c r="E32" s="12">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68</v>
      </c>
      <c r="F32" s="12">
        <f>SUM(Form_Responses[[#This Row],[1- I can trust persons and organizations related to development of robots ]:[5- If robots had emotions, I would be able to be friend with them]])</f>
        <v>18</v>
      </c>
      <c r="G32" s="12">
        <f>SUM(Form_Responses[[#This Row],[6- I would feel uneasy if I was given a job where I had to use robots]:[10- I don’t want a robot to touch me]])</f>
        <v>9</v>
      </c>
      <c r="H32" s="12">
        <f>SUM(Form_Responses[[#This Row],[11- Robots are necessary because they can do jobs that are too hard or too dangerous for people ]:[15- Robots are a good thing for society, because they help people]])</f>
        <v>22</v>
      </c>
      <c r="I32" s="12">
        <f>SUM(Form_Responses[[#This Row],[16- Robots may make us even lazier ]:[20- Unregulated use of robotics can lead to societal upheavals]])</f>
        <v>14</v>
      </c>
      <c r="J32" s="103">
        <f>TA_NQY!E32+TA_NQO!E32</f>
        <v>201.9999999999996</v>
      </c>
      <c r="K32" s="104">
        <f>TA_QY!E32+TA_QO!E32</f>
        <v>564.00000000000182</v>
      </c>
      <c r="L32" s="95">
        <v>236.00000000001131</v>
      </c>
      <c r="M32" s="72">
        <v>373.00000000000716</v>
      </c>
      <c r="N32" s="73">
        <v>13</v>
      </c>
      <c r="O32" s="96">
        <v>17</v>
      </c>
      <c r="P32" s="97">
        <v>2</v>
      </c>
      <c r="Q32" s="98">
        <v>7</v>
      </c>
      <c r="R32" s="99">
        <v>3</v>
      </c>
      <c r="S32" s="100">
        <v>3</v>
      </c>
      <c r="T32" s="101">
        <v>5</v>
      </c>
      <c r="U32" s="102">
        <v>7</v>
      </c>
      <c r="V32" s="97">
        <v>8</v>
      </c>
      <c r="W32" s="98">
        <v>8</v>
      </c>
      <c r="X32" s="99">
        <v>5</v>
      </c>
      <c r="Y32" s="100">
        <v>3</v>
      </c>
      <c r="Z32" s="101">
        <v>2</v>
      </c>
      <c r="AA32" s="102">
        <v>2</v>
      </c>
      <c r="AB32" s="97">
        <v>7</v>
      </c>
      <c r="AC32" s="98">
        <v>8</v>
      </c>
      <c r="AD32" s="99">
        <v>8</v>
      </c>
      <c r="AE32" s="100">
        <v>9</v>
      </c>
      <c r="AF32" s="101">
        <v>6</v>
      </c>
      <c r="AG32" s="102">
        <v>7</v>
      </c>
      <c r="AH32" s="97">
        <v>5</v>
      </c>
      <c r="AI32" s="98">
        <v>6</v>
      </c>
      <c r="AJ32" s="99">
        <v>9</v>
      </c>
      <c r="AK32" s="100">
        <v>9</v>
      </c>
      <c r="AL32" s="101">
        <v>7</v>
      </c>
      <c r="AM32" s="102">
        <v>7</v>
      </c>
    </row>
    <row r="33" spans="1:39" x14ac:dyDescent="0.3">
      <c r="A33" s="53">
        <v>45917.730855567133</v>
      </c>
      <c r="B33" s="23" t="s">
        <v>65</v>
      </c>
      <c r="C33" s="12">
        <f>Form_Responses[[#This Row],[SUM]]/10</f>
        <v>3.4</v>
      </c>
      <c r="D33" s="12">
        <f>SUM(Form_Responses[[#This Row],[1- I can always manage to solve difficult problems if I try hard enough.]:[10- I can usually handle whatever comes my way.]])</f>
        <v>34</v>
      </c>
      <c r="E33" s="12">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71</v>
      </c>
      <c r="F33" s="12">
        <f>SUM(Form_Responses[[#This Row],[1- I can trust persons and organizations related to development of robots ]:[5- If robots had emotions, I would be able to be friend with them]])</f>
        <v>18</v>
      </c>
      <c r="G33" s="12">
        <f>SUM(Form_Responses[[#This Row],[6- I would feel uneasy if I was given a job where I had to use robots]:[10- I don’t want a robot to touch me]])</f>
        <v>5</v>
      </c>
      <c r="H33" s="12">
        <f>SUM(Form_Responses[[#This Row],[11- Robots are necessary because they can do jobs that are too hard or too dangerous for people ]:[15- Robots are a good thing for society, because they help people]])</f>
        <v>23</v>
      </c>
      <c r="I33" s="12">
        <f>SUM(Form_Responses[[#This Row],[16- Robots may make us even lazier ]:[20- Unregulated use of robotics can lead to societal upheavals]])</f>
        <v>12</v>
      </c>
      <c r="J33" s="103">
        <f>TA_NQY!E33+TA_NQO!E33</f>
        <v>409.00000000000318</v>
      </c>
      <c r="K33" s="104">
        <f>TA_QY!E33+TA_QO!E33</f>
        <v>88.000000000000966</v>
      </c>
      <c r="L33" s="95">
        <v>382.99999999998636</v>
      </c>
      <c r="M33" s="72">
        <v>391.99999999999733</v>
      </c>
      <c r="N33" s="73">
        <v>22</v>
      </c>
      <c r="O33" s="96">
        <v>22</v>
      </c>
      <c r="P33" s="97">
        <v>3</v>
      </c>
      <c r="Q33" s="98">
        <v>4</v>
      </c>
      <c r="R33" s="99">
        <v>3</v>
      </c>
      <c r="S33" s="100">
        <v>3</v>
      </c>
      <c r="T33" s="101">
        <v>4</v>
      </c>
      <c r="U33" s="102">
        <v>4</v>
      </c>
      <c r="V33" s="97">
        <v>10</v>
      </c>
      <c r="W33" s="98">
        <v>9</v>
      </c>
      <c r="X33" s="99">
        <v>3</v>
      </c>
      <c r="Y33" s="100">
        <v>4</v>
      </c>
      <c r="Z33" s="101">
        <v>1</v>
      </c>
      <c r="AA33" s="102">
        <v>2</v>
      </c>
      <c r="AB33" s="97">
        <v>9</v>
      </c>
      <c r="AC33" s="98">
        <v>9</v>
      </c>
      <c r="AD33" s="99">
        <v>10</v>
      </c>
      <c r="AE33" s="100">
        <v>10</v>
      </c>
      <c r="AF33" s="101">
        <v>10</v>
      </c>
      <c r="AG33" s="102">
        <v>10</v>
      </c>
      <c r="AH33" s="97">
        <v>10</v>
      </c>
      <c r="AI33" s="98">
        <v>10</v>
      </c>
      <c r="AJ33" s="99">
        <v>10</v>
      </c>
      <c r="AK33" s="100">
        <v>9</v>
      </c>
      <c r="AL33" s="101">
        <v>2</v>
      </c>
      <c r="AM33" s="102">
        <v>2</v>
      </c>
    </row>
    <row r="34" spans="1:39" x14ac:dyDescent="0.3">
      <c r="A34" s="53">
        <v>45918.561457800926</v>
      </c>
      <c r="B34" s="23" t="s">
        <v>64</v>
      </c>
      <c r="C34" s="12">
        <f>Form_Responses[[#This Row],[SUM]]/10</f>
        <v>3.2</v>
      </c>
      <c r="D34" s="12">
        <f>SUM(Form_Responses[[#This Row],[1- I can always manage to solve difficult problems if I try hard enough.]:[10- I can usually handle whatever comes my way.]])</f>
        <v>32</v>
      </c>
      <c r="E34" s="14">
        <f>60+SUM(Form_Responses[[#This Row],[11- Robots are necessary because they can do jobs that are too hard or too dangerous for people ]:[15- Robots are a good thing for society, because they help people]])-SUM(Form_Responses[[#This Row],[16- Robots may make us even lazier ]:[20- Unregulated use of robotics can lead to societal upheavals]])</f>
        <v>70</v>
      </c>
      <c r="F34" s="14">
        <f>SUM(Form_Responses[[#This Row],[1- I can trust persons and organizations related to development of robots ]:[5- If robots had emotions, I would be able to be friend with them]])</f>
        <v>16</v>
      </c>
      <c r="G34" s="14">
        <f>SUM(Form_Responses[[#This Row],[6- I would feel uneasy if I was given a job where I had to use robots]:[10- I don’t want a robot to touch me]])</f>
        <v>9</v>
      </c>
      <c r="H34" s="14">
        <f>SUM(Form_Responses[[#This Row],[11- Robots are necessary because they can do jobs that are too hard or too dangerous for people ]:[15- Robots are a good thing for society, because they help people]])</f>
        <v>18</v>
      </c>
      <c r="I34" s="14">
        <f>SUM(Form_Responses[[#This Row],[16- Robots may make us even lazier ]:[20- Unregulated use of robotics can lead to societal upheavals]])</f>
        <v>8</v>
      </c>
      <c r="J34" s="103">
        <f>TA_NQY!E34+TA_NQO!E34</f>
        <v>176.99999999999889</v>
      </c>
      <c r="K34" s="104">
        <f>TA_QY!E34+TA_QO!E34</f>
        <v>446.99999999999318</v>
      </c>
      <c r="L34" s="95">
        <v>345.00000000000597</v>
      </c>
      <c r="M34" s="72">
        <v>386.00000000000597</v>
      </c>
      <c r="N34" s="73">
        <v>20</v>
      </c>
      <c r="O34" s="96">
        <v>22</v>
      </c>
      <c r="P34" s="97">
        <v>1</v>
      </c>
      <c r="Q34" s="98">
        <v>6</v>
      </c>
      <c r="R34" s="99">
        <v>5</v>
      </c>
      <c r="S34" s="100">
        <v>6</v>
      </c>
      <c r="T34" s="101">
        <v>2</v>
      </c>
      <c r="U34" s="102">
        <v>7</v>
      </c>
      <c r="V34" s="97">
        <v>7</v>
      </c>
      <c r="W34" s="98">
        <v>5</v>
      </c>
      <c r="X34" s="99">
        <v>3</v>
      </c>
      <c r="Y34" s="100">
        <v>4</v>
      </c>
      <c r="Z34" s="101">
        <v>2</v>
      </c>
      <c r="AA34" s="102">
        <v>1</v>
      </c>
      <c r="AB34" s="97">
        <v>7</v>
      </c>
      <c r="AC34" s="98">
        <v>6</v>
      </c>
      <c r="AD34" s="99">
        <v>7</v>
      </c>
      <c r="AE34" s="100">
        <v>6</v>
      </c>
      <c r="AF34" s="101">
        <v>8</v>
      </c>
      <c r="AG34" s="102">
        <v>7</v>
      </c>
      <c r="AH34" s="97">
        <v>7</v>
      </c>
      <c r="AI34" s="98">
        <v>7</v>
      </c>
      <c r="AJ34" s="99">
        <v>10</v>
      </c>
      <c r="AK34" s="100">
        <v>9</v>
      </c>
      <c r="AL34" s="101">
        <v>8</v>
      </c>
      <c r="AM34" s="102">
        <v>9</v>
      </c>
    </row>
    <row r="36" spans="1:39" ht="15.6" x14ac:dyDescent="0.3">
      <c r="B36" s="44" t="s">
        <v>380</v>
      </c>
      <c r="C36" s="44">
        <f>AVERAGE(C8:C34)</f>
        <v>3.2185185185185183</v>
      </c>
      <c r="D36" s="44">
        <f t="shared" ref="D36:AM36" si="0">AVERAGE(D8:D34)</f>
        <v>32.185185185185183</v>
      </c>
      <c r="E36" s="44">
        <f t="shared" si="0"/>
        <v>66.851851851851848</v>
      </c>
      <c r="F36" s="44">
        <f t="shared" si="0"/>
        <v>16.962962962962962</v>
      </c>
      <c r="G36" s="44">
        <f t="shared" si="0"/>
        <v>8.9259259259259256</v>
      </c>
      <c r="H36" s="44">
        <f t="shared" si="0"/>
        <v>22.518518518518519</v>
      </c>
      <c r="I36" s="44">
        <f t="shared" si="0"/>
        <v>15.666666666666666</v>
      </c>
      <c r="J36" s="44">
        <f t="shared" si="0"/>
        <v>336.0370370370386</v>
      </c>
      <c r="K36" s="44">
        <f t="shared" si="0"/>
        <v>291.44444444444423</v>
      </c>
      <c r="L36" s="44">
        <f t="shared" si="0"/>
        <v>312.99999999999937</v>
      </c>
      <c r="M36" s="44">
        <f t="shared" si="0"/>
        <v>397.29629629629767</v>
      </c>
      <c r="N36" s="44">
        <f t="shared" si="0"/>
        <v>17.111111111111111</v>
      </c>
      <c r="O36" s="44">
        <f t="shared" si="0"/>
        <v>18.962962962962962</v>
      </c>
      <c r="P36" s="44">
        <f t="shared" si="0"/>
        <v>2.925925925925926</v>
      </c>
      <c r="Q36" s="44">
        <f t="shared" si="0"/>
        <v>5.8518518518518521</v>
      </c>
      <c r="R36" s="44">
        <f t="shared" si="0"/>
        <v>3.7037037037037037</v>
      </c>
      <c r="S36" s="44">
        <f t="shared" si="0"/>
        <v>3.8518518518518516</v>
      </c>
      <c r="T36" s="44">
        <f t="shared" si="0"/>
        <v>4.1481481481481479</v>
      </c>
      <c r="U36" s="44">
        <f t="shared" si="0"/>
        <v>5.9259259259259256</v>
      </c>
      <c r="V36" s="44">
        <f t="shared" si="0"/>
        <v>9.0370370370370363</v>
      </c>
      <c r="W36" s="44">
        <f t="shared" si="0"/>
        <v>8.8148148148148149</v>
      </c>
      <c r="X36" s="44">
        <f t="shared" si="0"/>
        <v>4.2962962962962967</v>
      </c>
      <c r="Y36" s="44">
        <f t="shared" si="0"/>
        <v>6</v>
      </c>
      <c r="Z36" s="44">
        <f t="shared" si="0"/>
        <v>2.4814814814814814</v>
      </c>
      <c r="AA36" s="44">
        <f t="shared" si="0"/>
        <v>3.4074074074074074</v>
      </c>
      <c r="AB36" s="44">
        <f t="shared" si="0"/>
        <v>8.7037037037037042</v>
      </c>
      <c r="AC36" s="44">
        <f t="shared" si="0"/>
        <v>8.6296296296296298</v>
      </c>
      <c r="AD36" s="44">
        <f t="shared" si="0"/>
        <v>8.2592592592592595</v>
      </c>
      <c r="AE36" s="44">
        <f t="shared" si="0"/>
        <v>8.2962962962962958</v>
      </c>
      <c r="AF36" s="44">
        <f t="shared" si="0"/>
        <v>8.1851851851851851</v>
      </c>
      <c r="AG36" s="44">
        <f t="shared" si="0"/>
        <v>7.8518518518518521</v>
      </c>
      <c r="AH36" s="44">
        <f t="shared" si="0"/>
        <v>8</v>
      </c>
      <c r="AI36" s="44">
        <f t="shared" si="0"/>
        <v>7.9629629629629628</v>
      </c>
      <c r="AJ36" s="44">
        <f t="shared" si="0"/>
        <v>9.1481481481481488</v>
      </c>
      <c r="AK36" s="44">
        <f t="shared" si="0"/>
        <v>9.1851851851851851</v>
      </c>
      <c r="AL36" s="44">
        <f t="shared" si="0"/>
        <v>4.7777777777777777</v>
      </c>
      <c r="AM36" s="44">
        <f t="shared" si="0"/>
        <v>5.3703703703703702</v>
      </c>
    </row>
    <row r="37" spans="1:39" ht="15.6" x14ac:dyDescent="0.3">
      <c r="B37" s="44" t="s">
        <v>381</v>
      </c>
      <c r="C37" s="44">
        <f>_xlfn.STDEV.S(C8:C34)</f>
        <v>0.37006967850875311</v>
      </c>
      <c r="D37" s="44">
        <f t="shared" ref="D37:AM37" si="1">_xlfn.STDEV.S(D8:D34)</f>
        <v>3.7006967850874588</v>
      </c>
      <c r="E37" s="44">
        <f t="shared" si="1"/>
        <v>5.2455380577848745</v>
      </c>
      <c r="F37" s="44">
        <f t="shared" si="1"/>
        <v>4.0046269535422425</v>
      </c>
      <c r="G37" s="44">
        <f t="shared" si="1"/>
        <v>3.0118474515195928</v>
      </c>
      <c r="H37" s="44">
        <f t="shared" si="1"/>
        <v>2.2764745072888877</v>
      </c>
      <c r="I37" s="44">
        <f t="shared" si="1"/>
        <v>4.6160255965161534</v>
      </c>
      <c r="J37" s="44">
        <f t="shared" si="1"/>
        <v>223.33443040934679</v>
      </c>
      <c r="K37" s="44">
        <f t="shared" si="1"/>
        <v>165.50815302561031</v>
      </c>
      <c r="L37" s="44">
        <f t="shared" si="1"/>
        <v>52.794958966815287</v>
      </c>
      <c r="M37" s="44">
        <f t="shared" si="1"/>
        <v>90.640801992011035</v>
      </c>
      <c r="N37" s="44">
        <f t="shared" si="1"/>
        <v>3.5009156311471243</v>
      </c>
      <c r="O37" s="44">
        <f t="shared" si="1"/>
        <v>2.7383526979875179</v>
      </c>
      <c r="P37" s="44">
        <f t="shared" si="1"/>
        <v>1.92005460511145</v>
      </c>
      <c r="Q37" s="44">
        <f t="shared" si="1"/>
        <v>1.8954135676924422</v>
      </c>
      <c r="R37" s="44">
        <f t="shared" si="1"/>
        <v>1.8147857431243208</v>
      </c>
      <c r="S37" s="44">
        <f t="shared" si="1"/>
        <v>1.9749138969294078</v>
      </c>
      <c r="T37" s="44">
        <f t="shared" si="1"/>
        <v>2.1068332726503156</v>
      </c>
      <c r="U37" s="44">
        <f t="shared" si="1"/>
        <v>1.591465844045524</v>
      </c>
      <c r="V37" s="44">
        <f t="shared" si="1"/>
        <v>1.7863043388188906</v>
      </c>
      <c r="W37" s="44">
        <f t="shared" si="1"/>
        <v>1.3311948663061188</v>
      </c>
      <c r="X37" s="44">
        <f t="shared" si="1"/>
        <v>1.8566888396533887</v>
      </c>
      <c r="Y37" s="44">
        <f t="shared" si="1"/>
        <v>1.901416476047427</v>
      </c>
      <c r="Z37" s="44">
        <f t="shared" si="1"/>
        <v>2.2078595685966702</v>
      </c>
      <c r="AA37" s="44">
        <f t="shared" si="1"/>
        <v>2.3247706133204638</v>
      </c>
      <c r="AB37" s="44">
        <f t="shared" si="1"/>
        <v>1.6128048862585946</v>
      </c>
      <c r="AC37" s="44">
        <f t="shared" si="1"/>
        <v>1.1815292615976112</v>
      </c>
      <c r="AD37" s="44">
        <f t="shared" si="1"/>
        <v>2.1410384359103842</v>
      </c>
      <c r="AE37" s="44">
        <f t="shared" si="1"/>
        <v>1.8772896750945289</v>
      </c>
      <c r="AF37" s="44">
        <f t="shared" si="1"/>
        <v>1.77670908048987</v>
      </c>
      <c r="AG37" s="44">
        <f t="shared" si="1"/>
        <v>1.7910826915520142</v>
      </c>
      <c r="AH37" s="44">
        <f t="shared" si="1"/>
        <v>1.901416476047427</v>
      </c>
      <c r="AI37" s="44">
        <f t="shared" si="1"/>
        <v>1.8908988802943902</v>
      </c>
      <c r="AJ37" s="44">
        <f t="shared" si="1"/>
        <v>1.7694784912663195</v>
      </c>
      <c r="AK37" s="44">
        <f t="shared" si="1"/>
        <v>1.7549279414756815</v>
      </c>
      <c r="AL37" s="44">
        <f t="shared" si="1"/>
        <v>2.3588350014578303</v>
      </c>
      <c r="AM37" s="44">
        <f t="shared" si="1"/>
        <v>2.8842829817977846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9A036-2E98-4673-9527-B07F30227E06}">
  <dimension ref="A2:D34"/>
  <sheetViews>
    <sheetView workbookViewId="0">
      <selection activeCell="F10" sqref="F10"/>
    </sheetView>
  </sheetViews>
  <sheetFormatPr defaultRowHeight="14.4" x14ac:dyDescent="0.3"/>
  <cols>
    <col min="1" max="1" width="17.88671875" customWidth="1"/>
  </cols>
  <sheetData>
    <row r="2" spans="1:4" ht="28.2" thickBot="1" x14ac:dyDescent="0.35">
      <c r="A2" s="54" t="s">
        <v>0</v>
      </c>
      <c r="B2" s="19" t="s">
        <v>1</v>
      </c>
      <c r="C2" t="s">
        <v>2074</v>
      </c>
      <c r="D2" t="s">
        <v>2075</v>
      </c>
    </row>
    <row r="3" spans="1:4" x14ac:dyDescent="0.3">
      <c r="A3" s="49">
        <v>45881.446388668977</v>
      </c>
      <c r="B3" s="50">
        <v>1</v>
      </c>
      <c r="C3" t="s">
        <v>2076</v>
      </c>
      <c r="D3" t="s">
        <v>2077</v>
      </c>
    </row>
    <row r="4" spans="1:4" x14ac:dyDescent="0.3">
      <c r="A4" s="51">
        <v>45881.617943437501</v>
      </c>
      <c r="B4" s="52">
        <v>2</v>
      </c>
      <c r="C4" t="s">
        <v>2078</v>
      </c>
    </row>
    <row r="5" spans="1:4" x14ac:dyDescent="0.3">
      <c r="A5" s="51">
        <v>45887.610196423615</v>
      </c>
      <c r="B5" s="52">
        <v>3</v>
      </c>
      <c r="C5" t="s">
        <v>2079</v>
      </c>
    </row>
    <row r="6" spans="1:4" x14ac:dyDescent="0.3">
      <c r="A6" s="51">
        <v>45887.647473391204</v>
      </c>
      <c r="B6" s="52">
        <v>4</v>
      </c>
      <c r="C6" t="s">
        <v>2080</v>
      </c>
    </row>
    <row r="7" spans="1:4" x14ac:dyDescent="0.3">
      <c r="A7" s="51">
        <v>45889.499309328705</v>
      </c>
      <c r="B7" s="52">
        <v>5</v>
      </c>
      <c r="C7" t="s">
        <v>2081</v>
      </c>
    </row>
    <row r="8" spans="1:4" x14ac:dyDescent="0.3">
      <c r="A8" s="53">
        <v>45909.444653206017</v>
      </c>
      <c r="B8" s="23" t="s">
        <v>38</v>
      </c>
      <c r="C8" t="s">
        <v>2082</v>
      </c>
    </row>
    <row r="9" spans="1:4" x14ac:dyDescent="0.3">
      <c r="A9" s="53">
        <v>45909.490350810185</v>
      </c>
      <c r="B9" s="23" t="s">
        <v>40</v>
      </c>
      <c r="C9" t="s">
        <v>2083</v>
      </c>
    </row>
    <row r="10" spans="1:4" x14ac:dyDescent="0.3">
      <c r="A10" s="53">
        <v>45909.571112488426</v>
      </c>
      <c r="B10" s="23" t="s">
        <v>41</v>
      </c>
      <c r="C10" t="s">
        <v>1749</v>
      </c>
    </row>
    <row r="11" spans="1:4" x14ac:dyDescent="0.3">
      <c r="A11" s="53">
        <v>45909.613403391202</v>
      </c>
      <c r="B11" s="23" t="s">
        <v>42</v>
      </c>
      <c r="C11" t="s">
        <v>2008</v>
      </c>
    </row>
    <row r="12" spans="1:4" x14ac:dyDescent="0.3">
      <c r="A12" s="53">
        <v>45909.662530416666</v>
      </c>
      <c r="B12" s="23" t="s">
        <v>44</v>
      </c>
    </row>
    <row r="13" spans="1:4" x14ac:dyDescent="0.3">
      <c r="A13" s="53">
        <v>45909.707308969912</v>
      </c>
      <c r="B13" s="23" t="s">
        <v>45</v>
      </c>
    </row>
    <row r="14" spans="1:4" x14ac:dyDescent="0.3">
      <c r="A14" s="53">
        <v>45909.751557291667</v>
      </c>
      <c r="B14" s="23" t="s">
        <v>46</v>
      </c>
    </row>
    <row r="15" spans="1:4" x14ac:dyDescent="0.3">
      <c r="A15" s="53">
        <v>45910.584917060187</v>
      </c>
      <c r="B15" s="23" t="s">
        <v>47</v>
      </c>
    </row>
    <row r="16" spans="1:4" x14ac:dyDescent="0.3">
      <c r="A16" s="53">
        <v>45910.691854594908</v>
      </c>
      <c r="B16" s="23" t="s">
        <v>48</v>
      </c>
    </row>
    <row r="17" spans="1:2" x14ac:dyDescent="0.3">
      <c r="A17" s="53">
        <v>45910.737771979169</v>
      </c>
      <c r="B17" s="23" t="s">
        <v>49</v>
      </c>
    </row>
    <row r="18" spans="1:2" x14ac:dyDescent="0.3">
      <c r="A18" s="53">
        <v>45912.400994479161</v>
      </c>
      <c r="B18" s="23" t="s">
        <v>50</v>
      </c>
    </row>
    <row r="19" spans="1:2" x14ac:dyDescent="0.3">
      <c r="A19" s="53">
        <v>45912.446164340276</v>
      </c>
      <c r="B19" s="23" t="s">
        <v>51</v>
      </c>
    </row>
    <row r="20" spans="1:2" x14ac:dyDescent="0.3">
      <c r="A20" s="53">
        <v>45912.493647233801</v>
      </c>
      <c r="B20" s="23" t="s">
        <v>52</v>
      </c>
    </row>
    <row r="21" spans="1:2" x14ac:dyDescent="0.3">
      <c r="A21" s="53">
        <v>45912.578483981481</v>
      </c>
      <c r="B21" s="23" t="s">
        <v>53</v>
      </c>
    </row>
    <row r="22" spans="1:2" x14ac:dyDescent="0.3">
      <c r="A22" s="53">
        <v>45912.630338414354</v>
      </c>
      <c r="B22" s="23" t="s">
        <v>66</v>
      </c>
    </row>
    <row r="23" spans="1:2" x14ac:dyDescent="0.3">
      <c r="A23" s="53">
        <v>45912.669901064815</v>
      </c>
      <c r="B23" s="23" t="s">
        <v>54</v>
      </c>
    </row>
    <row r="24" spans="1:2" x14ac:dyDescent="0.3">
      <c r="A24" s="53">
        <v>45912.719724236114</v>
      </c>
      <c r="B24" s="23" t="s">
        <v>55</v>
      </c>
    </row>
    <row r="25" spans="1:2" x14ac:dyDescent="0.3">
      <c r="A25" s="53">
        <v>45915.492289108792</v>
      </c>
      <c r="B25" s="23" t="s">
        <v>56</v>
      </c>
    </row>
    <row r="26" spans="1:2" x14ac:dyDescent="0.3">
      <c r="A26" s="53">
        <v>45915.572406168983</v>
      </c>
      <c r="B26" s="23" t="s">
        <v>57</v>
      </c>
    </row>
    <row r="27" spans="1:2" x14ac:dyDescent="0.3">
      <c r="A27" s="53">
        <v>45916.480977569445</v>
      </c>
      <c r="B27" s="23" t="s">
        <v>58</v>
      </c>
    </row>
    <row r="28" spans="1:2" x14ac:dyDescent="0.3">
      <c r="A28" s="53">
        <v>45916.565919652778</v>
      </c>
      <c r="B28" s="23" t="s">
        <v>59</v>
      </c>
    </row>
    <row r="29" spans="1:2" x14ac:dyDescent="0.3">
      <c r="A29" s="53">
        <v>45916.622170173607</v>
      </c>
      <c r="B29" s="23" t="s">
        <v>60</v>
      </c>
    </row>
    <row r="30" spans="1:2" x14ac:dyDescent="0.3">
      <c r="A30" s="53">
        <v>45916.736991331018</v>
      </c>
      <c r="B30" s="23" t="s">
        <v>61</v>
      </c>
    </row>
    <row r="31" spans="1:2" x14ac:dyDescent="0.3">
      <c r="A31" s="53">
        <v>45916.796940046297</v>
      </c>
      <c r="B31" s="23" t="s">
        <v>62</v>
      </c>
    </row>
    <row r="32" spans="1:2" x14ac:dyDescent="0.3">
      <c r="A32" s="53">
        <v>45917.607987812502</v>
      </c>
      <c r="B32" s="23" t="s">
        <v>63</v>
      </c>
    </row>
    <row r="33" spans="1:2" x14ac:dyDescent="0.3">
      <c r="A33" s="53">
        <v>45917.730855567133</v>
      </c>
      <c r="B33" s="23" t="s">
        <v>65</v>
      </c>
    </row>
    <row r="34" spans="1:2" x14ac:dyDescent="0.3">
      <c r="A34" s="53">
        <v>45918.561457800926</v>
      </c>
      <c r="B34" s="23" t="s">
        <v>64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4572F-5202-41D2-94B3-B7CA6BAFAA97}">
  <dimension ref="A2:AD34"/>
  <sheetViews>
    <sheetView workbookViewId="0">
      <selection activeCell="C14" sqref="C14:V14"/>
    </sheetView>
  </sheetViews>
  <sheetFormatPr defaultRowHeight="14.4" x14ac:dyDescent="0.3"/>
  <cols>
    <col min="1" max="1" width="17" customWidth="1"/>
    <col min="6" max="6" width="13.6640625" customWidth="1"/>
    <col min="7" max="7" width="11.77734375" customWidth="1"/>
    <col min="8" max="8" width="13.33203125" customWidth="1"/>
    <col min="9" max="10" width="11.6640625" customWidth="1"/>
    <col min="11" max="11" width="16" customWidth="1"/>
    <col min="12" max="12" width="13.109375" customWidth="1"/>
    <col min="13" max="13" width="19.88671875" customWidth="1"/>
    <col min="14" max="14" width="18.88671875" customWidth="1"/>
    <col min="15" max="15" width="18.5546875" customWidth="1"/>
    <col min="16" max="16" width="19.88671875" customWidth="1"/>
    <col min="17" max="17" width="14.6640625" customWidth="1"/>
    <col min="18" max="18" width="22.77734375" customWidth="1"/>
    <col min="19" max="19" width="17.88671875" customWidth="1"/>
    <col min="20" max="20" width="13.88671875" customWidth="1"/>
    <col min="21" max="21" width="23" customWidth="1"/>
    <col min="22" max="22" width="22.77734375" customWidth="1"/>
    <col min="23" max="23" width="15.88671875" customWidth="1"/>
    <col min="24" max="24" width="16.21875" customWidth="1"/>
    <col min="25" max="25" width="18.88671875" customWidth="1"/>
    <col min="26" max="26" width="14.77734375" customWidth="1"/>
    <col min="27" max="27" width="13.21875" customWidth="1"/>
    <col min="28" max="28" width="13.77734375" customWidth="1"/>
    <col min="30" max="30" width="13" customWidth="1"/>
  </cols>
  <sheetData>
    <row r="2" spans="1:30" ht="29.4" thickBot="1" x14ac:dyDescent="0.35">
      <c r="A2" s="54" t="s">
        <v>0</v>
      </c>
      <c r="B2" s="19" t="s">
        <v>1</v>
      </c>
      <c r="E2" s="75" t="s">
        <v>6284</v>
      </c>
      <c r="F2" s="75" t="s">
        <v>6285</v>
      </c>
      <c r="G2" s="75" t="s">
        <v>3171</v>
      </c>
      <c r="H2" s="75" t="s">
        <v>3172</v>
      </c>
      <c r="I2" s="75" t="s">
        <v>2091</v>
      </c>
      <c r="J2" s="75" t="s">
        <v>2092</v>
      </c>
      <c r="K2" s="75" t="s">
        <v>2093</v>
      </c>
      <c r="L2" s="75" t="s">
        <v>2094</v>
      </c>
      <c r="M2" s="75" t="s">
        <v>2095</v>
      </c>
      <c r="N2" s="75" t="s">
        <v>2096</v>
      </c>
      <c r="O2" s="75" t="s">
        <v>2097</v>
      </c>
      <c r="P2" s="75" t="s">
        <v>2098</v>
      </c>
      <c r="Q2" s="75" t="s">
        <v>2099</v>
      </c>
      <c r="R2" s="75" t="s">
        <v>2100</v>
      </c>
      <c r="S2" s="75" t="s">
        <v>2101</v>
      </c>
      <c r="T2" s="75" t="s">
        <v>2102</v>
      </c>
      <c r="U2" s="75" t="s">
        <v>2103</v>
      </c>
      <c r="V2" s="75" t="s">
        <v>2104</v>
      </c>
      <c r="W2" s="75" t="s">
        <v>2105</v>
      </c>
      <c r="X2" s="75" t="s">
        <v>2106</v>
      </c>
      <c r="Y2" s="75" t="s">
        <v>2107</v>
      </c>
      <c r="Z2" s="75" t="s">
        <v>2108</v>
      </c>
      <c r="AA2" s="75" t="s">
        <v>2109</v>
      </c>
      <c r="AB2" s="75" t="s">
        <v>2110</v>
      </c>
      <c r="AC2" s="75" t="s">
        <v>2111</v>
      </c>
      <c r="AD2" s="75" t="s">
        <v>2112</v>
      </c>
    </row>
    <row r="3" spans="1:30" x14ac:dyDescent="0.3">
      <c r="A3" s="49">
        <v>45881.446388668977</v>
      </c>
      <c r="B3" s="50">
        <v>1</v>
      </c>
      <c r="C3" s="70">
        <v>25</v>
      </c>
      <c r="D3" s="73" t="s">
        <v>2087</v>
      </c>
      <c r="E3" s="70">
        <f>(J3-I3)*86400</f>
        <v>121.99999999999829</v>
      </c>
      <c r="F3" s="70">
        <f>(K3-J3)*86400</f>
        <v>155.00000000000344</v>
      </c>
      <c r="G3" s="70">
        <f>COUNTIF(L3:AD3,"&gt;5")</f>
        <v>8</v>
      </c>
      <c r="H3" s="70">
        <f>COUNTIF(L3:AD3,"&lt;5")</f>
        <v>11</v>
      </c>
      <c r="I3" t="s">
        <v>6602</v>
      </c>
      <c r="J3" t="s">
        <v>6603</v>
      </c>
      <c r="K3" t="s">
        <v>6604</v>
      </c>
      <c r="L3">
        <v>10</v>
      </c>
      <c r="M3">
        <v>10</v>
      </c>
      <c r="N3">
        <v>10</v>
      </c>
      <c r="O3">
        <v>0</v>
      </c>
      <c r="P3">
        <v>10</v>
      </c>
      <c r="Q3">
        <v>10</v>
      </c>
      <c r="R3">
        <v>0</v>
      </c>
      <c r="S3">
        <v>0</v>
      </c>
      <c r="T3">
        <v>0</v>
      </c>
      <c r="U3">
        <v>10</v>
      </c>
      <c r="V3">
        <v>0</v>
      </c>
      <c r="W3">
        <v>0</v>
      </c>
      <c r="X3">
        <v>0</v>
      </c>
      <c r="Y3">
        <v>0</v>
      </c>
      <c r="Z3">
        <v>10</v>
      </c>
      <c r="AA3">
        <v>0</v>
      </c>
      <c r="AB3">
        <v>0</v>
      </c>
      <c r="AC3">
        <v>10</v>
      </c>
      <c r="AD3">
        <v>0</v>
      </c>
    </row>
    <row r="4" spans="1:30" x14ac:dyDescent="0.3">
      <c r="A4" s="51">
        <v>45881.617943437501</v>
      </c>
      <c r="B4" s="52">
        <v>2</v>
      </c>
      <c r="C4" s="70">
        <v>70</v>
      </c>
      <c r="D4" s="73" t="s">
        <v>2087</v>
      </c>
      <c r="E4" s="70">
        <f t="shared" ref="E4:F19" si="0">(J4-I4)*86400</f>
        <v>166.00000000000358</v>
      </c>
      <c r="F4" s="70">
        <f t="shared" si="0"/>
        <v>187.9999999999942</v>
      </c>
      <c r="G4" s="70">
        <f t="shared" ref="G4:G19" si="1">COUNTIF(L4:AD4,"&gt;5")</f>
        <v>10</v>
      </c>
      <c r="H4" s="70">
        <f t="shared" ref="H4:H34" si="2">COUNTIF(L4:AD4,"&lt;5")</f>
        <v>9</v>
      </c>
      <c r="I4" t="s">
        <v>6614</v>
      </c>
      <c r="J4" t="s">
        <v>6615</v>
      </c>
      <c r="K4" t="s">
        <v>6616</v>
      </c>
      <c r="L4">
        <v>0</v>
      </c>
      <c r="M4">
        <v>10</v>
      </c>
      <c r="N4">
        <v>10</v>
      </c>
      <c r="O4">
        <v>0</v>
      </c>
      <c r="P4">
        <v>10</v>
      </c>
      <c r="Q4">
        <v>10</v>
      </c>
      <c r="R4">
        <v>0</v>
      </c>
      <c r="S4">
        <v>10</v>
      </c>
      <c r="T4">
        <v>10</v>
      </c>
      <c r="U4">
        <v>0</v>
      </c>
      <c r="V4">
        <v>0</v>
      </c>
      <c r="W4">
        <v>10</v>
      </c>
      <c r="X4">
        <v>0</v>
      </c>
      <c r="Y4">
        <v>10</v>
      </c>
      <c r="Z4">
        <v>10</v>
      </c>
      <c r="AA4">
        <v>0</v>
      </c>
      <c r="AB4">
        <v>0</v>
      </c>
      <c r="AC4">
        <v>10</v>
      </c>
      <c r="AD4">
        <v>0</v>
      </c>
    </row>
    <row r="5" spans="1:30" x14ac:dyDescent="0.3">
      <c r="A5" s="51">
        <v>45887.610196423615</v>
      </c>
      <c r="B5" s="52">
        <v>3</v>
      </c>
      <c r="C5" s="70">
        <v>167</v>
      </c>
      <c r="D5" s="73" t="s">
        <v>2087</v>
      </c>
      <c r="E5" s="70">
        <f t="shared" si="0"/>
        <v>132.00000000000145</v>
      </c>
      <c r="F5" s="70">
        <f t="shared" si="0"/>
        <v>137.99999999999278</v>
      </c>
      <c r="G5" s="70">
        <f t="shared" si="1"/>
        <v>6</v>
      </c>
      <c r="H5" s="70">
        <f t="shared" si="2"/>
        <v>13</v>
      </c>
      <c r="I5" t="s">
        <v>2151</v>
      </c>
      <c r="J5" t="s">
        <v>2152</v>
      </c>
      <c r="K5" t="s">
        <v>2153</v>
      </c>
      <c r="L5">
        <v>10</v>
      </c>
      <c r="M5">
        <v>10</v>
      </c>
      <c r="N5">
        <v>10</v>
      </c>
      <c r="O5">
        <v>0</v>
      </c>
      <c r="P5">
        <v>0</v>
      </c>
      <c r="Q5">
        <v>0</v>
      </c>
      <c r="R5">
        <v>0</v>
      </c>
      <c r="S5">
        <v>10</v>
      </c>
      <c r="T5">
        <v>10</v>
      </c>
      <c r="U5">
        <v>0</v>
      </c>
      <c r="V5">
        <v>0</v>
      </c>
      <c r="W5">
        <v>0</v>
      </c>
      <c r="X5">
        <v>0</v>
      </c>
      <c r="Y5">
        <v>10</v>
      </c>
      <c r="Z5">
        <v>0</v>
      </c>
      <c r="AA5">
        <v>0</v>
      </c>
      <c r="AB5">
        <v>0</v>
      </c>
      <c r="AC5">
        <v>0</v>
      </c>
      <c r="AD5">
        <v>0</v>
      </c>
    </row>
    <row r="6" spans="1:30" x14ac:dyDescent="0.3">
      <c r="A6" s="51">
        <v>45887.647473391204</v>
      </c>
      <c r="B6" s="52">
        <v>4</v>
      </c>
      <c r="C6" s="70">
        <v>177</v>
      </c>
      <c r="D6" s="73" t="s">
        <v>2087</v>
      </c>
      <c r="E6" s="70">
        <f t="shared" si="0"/>
        <v>261.00000000000244</v>
      </c>
      <c r="F6" s="70">
        <f t="shared" si="0"/>
        <v>147.00000000000381</v>
      </c>
      <c r="G6" s="70">
        <f t="shared" si="1"/>
        <v>7</v>
      </c>
      <c r="H6" s="70">
        <f t="shared" si="2"/>
        <v>12</v>
      </c>
      <c r="I6" t="s">
        <v>2145</v>
      </c>
      <c r="J6" t="s">
        <v>2146</v>
      </c>
      <c r="K6" t="s">
        <v>2147</v>
      </c>
      <c r="L6">
        <v>10</v>
      </c>
      <c r="M6">
        <v>10</v>
      </c>
      <c r="N6">
        <v>10</v>
      </c>
      <c r="O6">
        <v>0</v>
      </c>
      <c r="P6">
        <v>10</v>
      </c>
      <c r="Q6">
        <v>10</v>
      </c>
      <c r="R6">
        <v>0</v>
      </c>
      <c r="S6">
        <v>0</v>
      </c>
      <c r="T6">
        <v>0</v>
      </c>
      <c r="U6">
        <v>10</v>
      </c>
      <c r="V6">
        <v>0</v>
      </c>
      <c r="W6">
        <v>0</v>
      </c>
      <c r="X6">
        <v>0</v>
      </c>
      <c r="Y6">
        <v>0</v>
      </c>
      <c r="Z6">
        <v>10</v>
      </c>
      <c r="AA6">
        <v>0</v>
      </c>
      <c r="AB6">
        <v>0</v>
      </c>
      <c r="AC6">
        <v>0</v>
      </c>
      <c r="AD6">
        <v>0</v>
      </c>
    </row>
    <row r="7" spans="1:30" x14ac:dyDescent="0.3">
      <c r="A7" s="51">
        <v>45889.499309328705</v>
      </c>
      <c r="B7" s="52">
        <v>5</v>
      </c>
      <c r="C7" s="70">
        <v>186</v>
      </c>
      <c r="D7" s="73" t="s">
        <v>2087</v>
      </c>
      <c r="E7" s="70">
        <f t="shared" si="0"/>
        <v>102.00000000000156</v>
      </c>
      <c r="F7" s="70">
        <f t="shared" si="0"/>
        <v>152.99999999999514</v>
      </c>
      <c r="G7" s="70">
        <f t="shared" si="1"/>
        <v>7</v>
      </c>
      <c r="H7" s="70">
        <f t="shared" si="2"/>
        <v>12</v>
      </c>
      <c r="I7" t="s">
        <v>2139</v>
      </c>
      <c r="J7" t="s">
        <v>2140</v>
      </c>
      <c r="K7" t="s">
        <v>2141</v>
      </c>
      <c r="L7">
        <v>0</v>
      </c>
      <c r="M7">
        <v>10</v>
      </c>
      <c r="N7">
        <v>2</v>
      </c>
      <c r="O7">
        <v>0</v>
      </c>
      <c r="P7">
        <v>10</v>
      </c>
      <c r="Q7">
        <v>0</v>
      </c>
      <c r="R7">
        <v>0</v>
      </c>
      <c r="S7">
        <v>0</v>
      </c>
      <c r="T7">
        <v>10</v>
      </c>
      <c r="U7">
        <v>0</v>
      </c>
      <c r="V7">
        <v>0</v>
      </c>
      <c r="W7">
        <v>10</v>
      </c>
      <c r="X7">
        <v>0</v>
      </c>
      <c r="Y7">
        <v>10</v>
      </c>
      <c r="Z7">
        <v>10</v>
      </c>
      <c r="AA7">
        <v>0</v>
      </c>
      <c r="AB7">
        <v>0</v>
      </c>
      <c r="AC7">
        <v>10</v>
      </c>
      <c r="AD7">
        <v>0</v>
      </c>
    </row>
    <row r="8" spans="1:30" x14ac:dyDescent="0.3">
      <c r="A8" s="53">
        <v>45909.444653206017</v>
      </c>
      <c r="B8" s="23" t="s">
        <v>38</v>
      </c>
      <c r="C8" s="70">
        <v>212</v>
      </c>
      <c r="D8" s="73" t="s">
        <v>2087</v>
      </c>
      <c r="E8" s="70">
        <f t="shared" si="0"/>
        <v>72.999999999998622</v>
      </c>
      <c r="F8" s="70">
        <f t="shared" si="0"/>
        <v>175.99999999999713</v>
      </c>
      <c r="G8" s="70">
        <f t="shared" si="1"/>
        <v>10</v>
      </c>
      <c r="H8" s="70">
        <f t="shared" si="2"/>
        <v>9</v>
      </c>
      <c r="I8" t="s">
        <v>2113</v>
      </c>
      <c r="J8" t="s">
        <v>2114</v>
      </c>
      <c r="K8" t="s">
        <v>2115</v>
      </c>
      <c r="L8">
        <v>10</v>
      </c>
      <c r="M8">
        <v>10</v>
      </c>
      <c r="N8">
        <v>10</v>
      </c>
      <c r="O8">
        <v>0</v>
      </c>
      <c r="P8">
        <v>10</v>
      </c>
      <c r="Q8">
        <v>10</v>
      </c>
      <c r="R8">
        <v>0</v>
      </c>
      <c r="S8">
        <v>10</v>
      </c>
      <c r="T8">
        <v>10</v>
      </c>
      <c r="U8">
        <v>0</v>
      </c>
      <c r="V8">
        <v>0</v>
      </c>
      <c r="W8">
        <v>0</v>
      </c>
      <c r="X8">
        <v>0</v>
      </c>
      <c r="Y8">
        <v>10</v>
      </c>
      <c r="Z8">
        <v>10</v>
      </c>
      <c r="AA8">
        <v>0</v>
      </c>
      <c r="AB8">
        <v>0</v>
      </c>
      <c r="AC8">
        <v>10</v>
      </c>
      <c r="AD8">
        <v>0</v>
      </c>
    </row>
    <row r="9" spans="1:30" x14ac:dyDescent="0.3">
      <c r="A9" s="53">
        <v>45909.490350810185</v>
      </c>
      <c r="B9" s="23" t="s">
        <v>40</v>
      </c>
      <c r="C9" s="70">
        <v>223</v>
      </c>
      <c r="D9" s="73" t="s">
        <v>2087</v>
      </c>
      <c r="E9" s="70">
        <f t="shared" si="0"/>
        <v>80.000000000001307</v>
      </c>
      <c r="F9" s="70">
        <f t="shared" si="0"/>
        <v>148.99999999999773</v>
      </c>
      <c r="G9" s="70">
        <f t="shared" si="1"/>
        <v>9</v>
      </c>
      <c r="H9" s="70">
        <f t="shared" si="2"/>
        <v>10</v>
      </c>
      <c r="I9" t="s">
        <v>2121</v>
      </c>
      <c r="J9" t="s">
        <v>2122</v>
      </c>
      <c r="K9" t="s">
        <v>2123</v>
      </c>
      <c r="L9">
        <v>9</v>
      </c>
      <c r="M9">
        <v>9</v>
      </c>
      <c r="N9">
        <v>9</v>
      </c>
      <c r="O9">
        <v>0</v>
      </c>
      <c r="P9">
        <v>9</v>
      </c>
      <c r="Q9">
        <v>9</v>
      </c>
      <c r="R9">
        <v>0</v>
      </c>
      <c r="S9">
        <v>9</v>
      </c>
      <c r="T9">
        <v>9</v>
      </c>
      <c r="U9">
        <v>9</v>
      </c>
      <c r="V9">
        <v>0</v>
      </c>
      <c r="W9">
        <v>0</v>
      </c>
      <c r="X9">
        <v>0</v>
      </c>
      <c r="Y9">
        <v>1</v>
      </c>
      <c r="Z9">
        <v>9</v>
      </c>
      <c r="AA9">
        <v>0</v>
      </c>
      <c r="AB9">
        <v>0</v>
      </c>
      <c r="AC9">
        <v>1</v>
      </c>
      <c r="AD9">
        <v>0</v>
      </c>
    </row>
    <row r="10" spans="1:30" x14ac:dyDescent="0.3">
      <c r="A10" s="53">
        <v>45909.571112488426</v>
      </c>
      <c r="B10" s="23" t="s">
        <v>41</v>
      </c>
      <c r="C10" s="70">
        <v>230</v>
      </c>
      <c r="D10" s="73" t="s">
        <v>2087</v>
      </c>
      <c r="E10" s="70">
        <f t="shared" si="0"/>
        <v>490.00000000000625</v>
      </c>
      <c r="F10" s="70">
        <f t="shared" si="0"/>
        <v>133.99999999999537</v>
      </c>
      <c r="G10" s="70">
        <f t="shared" si="1"/>
        <v>8</v>
      </c>
      <c r="H10" s="70">
        <f t="shared" si="2"/>
        <v>11</v>
      </c>
      <c r="I10" t="s">
        <v>2127</v>
      </c>
      <c r="J10" t="s">
        <v>2128</v>
      </c>
      <c r="K10" t="s">
        <v>2129</v>
      </c>
      <c r="L10">
        <v>0</v>
      </c>
      <c r="M10">
        <v>0</v>
      </c>
      <c r="N10">
        <v>0</v>
      </c>
      <c r="O10">
        <v>0</v>
      </c>
      <c r="P10">
        <v>10</v>
      </c>
      <c r="Q10">
        <v>10</v>
      </c>
      <c r="R10">
        <v>0</v>
      </c>
      <c r="S10">
        <v>10</v>
      </c>
      <c r="T10">
        <v>10</v>
      </c>
      <c r="U10">
        <v>10</v>
      </c>
      <c r="V10">
        <v>0</v>
      </c>
      <c r="W10">
        <v>0</v>
      </c>
      <c r="X10">
        <v>0</v>
      </c>
      <c r="Y10">
        <v>10</v>
      </c>
      <c r="Z10">
        <v>10</v>
      </c>
      <c r="AA10">
        <v>0</v>
      </c>
      <c r="AB10">
        <v>0</v>
      </c>
      <c r="AC10">
        <v>10</v>
      </c>
      <c r="AD10">
        <v>0</v>
      </c>
    </row>
    <row r="11" spans="1:30" x14ac:dyDescent="0.3">
      <c r="A11" s="53">
        <v>45909.613403391202</v>
      </c>
      <c r="B11" s="23" t="s">
        <v>42</v>
      </c>
      <c r="C11" s="70">
        <v>241</v>
      </c>
      <c r="D11" s="73" t="s">
        <v>2087</v>
      </c>
      <c r="E11" s="70">
        <f t="shared" si="0"/>
        <v>207.00000000000358</v>
      </c>
      <c r="F11" s="70">
        <f t="shared" si="0"/>
        <v>182.99999999999983</v>
      </c>
      <c r="G11" s="70">
        <f t="shared" si="1"/>
        <v>11</v>
      </c>
      <c r="H11" s="70">
        <f t="shared" si="2"/>
        <v>8</v>
      </c>
      <c r="I11" t="s">
        <v>2133</v>
      </c>
      <c r="J11" t="s">
        <v>2134</v>
      </c>
      <c r="K11" t="s">
        <v>2135</v>
      </c>
      <c r="L11">
        <v>9</v>
      </c>
      <c r="M11">
        <v>9</v>
      </c>
      <c r="N11">
        <v>8</v>
      </c>
      <c r="O11">
        <v>0</v>
      </c>
      <c r="P11">
        <v>8</v>
      </c>
      <c r="Q11">
        <v>8</v>
      </c>
      <c r="R11">
        <v>0</v>
      </c>
      <c r="S11">
        <v>8</v>
      </c>
      <c r="T11">
        <v>8</v>
      </c>
      <c r="U11">
        <v>9</v>
      </c>
      <c r="V11">
        <v>0</v>
      </c>
      <c r="W11">
        <v>0</v>
      </c>
      <c r="X11">
        <v>0</v>
      </c>
      <c r="Y11">
        <v>8</v>
      </c>
      <c r="Z11">
        <v>8</v>
      </c>
      <c r="AA11">
        <v>0</v>
      </c>
      <c r="AB11">
        <v>0</v>
      </c>
      <c r="AC11">
        <v>7</v>
      </c>
      <c r="AD11">
        <v>0</v>
      </c>
    </row>
    <row r="12" spans="1:30" x14ac:dyDescent="0.3">
      <c r="A12" s="53">
        <v>45909.662530416666</v>
      </c>
      <c r="B12" s="23" t="s">
        <v>44</v>
      </c>
      <c r="C12" s="70">
        <v>248</v>
      </c>
      <c r="D12" s="73" t="s">
        <v>2087</v>
      </c>
      <c r="E12" s="70">
        <f t="shared" si="0"/>
        <v>72.000000000001663</v>
      </c>
      <c r="F12" s="70">
        <f t="shared" si="0"/>
        <v>129.00000000000097</v>
      </c>
      <c r="G12" s="70">
        <f t="shared" si="1"/>
        <v>4</v>
      </c>
      <c r="H12" s="70">
        <f t="shared" si="2"/>
        <v>15</v>
      </c>
      <c r="I12" t="s">
        <v>6328</v>
      </c>
      <c r="J12" t="s">
        <v>6329</v>
      </c>
      <c r="K12" t="s">
        <v>6330</v>
      </c>
      <c r="L12">
        <v>0</v>
      </c>
      <c r="M12">
        <v>0</v>
      </c>
      <c r="N12">
        <v>0</v>
      </c>
      <c r="O12">
        <v>0</v>
      </c>
      <c r="P12">
        <v>10</v>
      </c>
      <c r="Q12">
        <v>10</v>
      </c>
      <c r="R12">
        <v>0</v>
      </c>
      <c r="S12">
        <v>0</v>
      </c>
      <c r="T12">
        <v>0</v>
      </c>
      <c r="U12">
        <v>0</v>
      </c>
      <c r="V12">
        <v>0</v>
      </c>
      <c r="W12">
        <v>0</v>
      </c>
      <c r="X12">
        <v>0</v>
      </c>
      <c r="Y12">
        <v>10</v>
      </c>
      <c r="Z12">
        <v>0</v>
      </c>
      <c r="AA12">
        <v>0</v>
      </c>
      <c r="AB12">
        <v>0</v>
      </c>
      <c r="AC12">
        <v>10</v>
      </c>
      <c r="AD12">
        <v>0</v>
      </c>
    </row>
    <row r="13" spans="1:30" x14ac:dyDescent="0.3">
      <c r="A13" s="53">
        <v>45909.707308969912</v>
      </c>
      <c r="B13" s="23" t="s">
        <v>45</v>
      </c>
      <c r="C13">
        <v>259</v>
      </c>
      <c r="D13" s="73" t="s">
        <v>2087</v>
      </c>
      <c r="E13" s="70">
        <f t="shared" si="0"/>
        <v>116.00000000000215</v>
      </c>
      <c r="F13" s="70">
        <f t="shared" si="0"/>
        <v>151.99999999999818</v>
      </c>
      <c r="G13" s="70">
        <f t="shared" si="1"/>
        <v>8</v>
      </c>
      <c r="H13" s="70">
        <f t="shared" si="2"/>
        <v>11</v>
      </c>
      <c r="I13" t="s">
        <v>6340</v>
      </c>
      <c r="J13" t="s">
        <v>6341</v>
      </c>
      <c r="K13" t="s">
        <v>6342</v>
      </c>
      <c r="L13">
        <v>10</v>
      </c>
      <c r="M13">
        <v>10</v>
      </c>
      <c r="N13">
        <v>10</v>
      </c>
      <c r="O13">
        <v>0</v>
      </c>
      <c r="P13">
        <v>10</v>
      </c>
      <c r="Q13">
        <v>10</v>
      </c>
      <c r="R13">
        <v>0</v>
      </c>
      <c r="S13">
        <v>0</v>
      </c>
      <c r="T13">
        <v>0</v>
      </c>
      <c r="U13">
        <v>0</v>
      </c>
      <c r="V13">
        <v>0</v>
      </c>
      <c r="W13">
        <v>0</v>
      </c>
      <c r="X13">
        <v>0</v>
      </c>
      <c r="Y13">
        <v>10</v>
      </c>
      <c r="Z13">
        <v>10</v>
      </c>
      <c r="AA13">
        <v>0</v>
      </c>
      <c r="AB13">
        <v>0</v>
      </c>
      <c r="AC13">
        <v>10</v>
      </c>
      <c r="AD13">
        <v>0</v>
      </c>
    </row>
    <row r="14" spans="1:30" x14ac:dyDescent="0.3">
      <c r="A14" s="53">
        <v>45909.751557291667</v>
      </c>
      <c r="B14" s="23" t="s">
        <v>46</v>
      </c>
      <c r="C14">
        <v>266</v>
      </c>
      <c r="D14" s="73" t="s">
        <v>2087</v>
      </c>
      <c r="E14" s="70">
        <f t="shared" si="0"/>
        <v>612.9999999999967</v>
      </c>
      <c r="F14" s="70">
        <f t="shared" si="0"/>
        <v>189.99999999999773</v>
      </c>
      <c r="G14" s="70">
        <f t="shared" si="1"/>
        <v>11</v>
      </c>
      <c r="H14" s="70">
        <f t="shared" si="2"/>
        <v>8</v>
      </c>
      <c r="I14" t="s">
        <v>6352</v>
      </c>
      <c r="J14" t="s">
        <v>6353</v>
      </c>
      <c r="K14" t="s">
        <v>6354</v>
      </c>
      <c r="L14">
        <v>10</v>
      </c>
      <c r="M14">
        <v>10</v>
      </c>
      <c r="N14">
        <v>10</v>
      </c>
      <c r="O14">
        <v>0</v>
      </c>
      <c r="P14">
        <v>10</v>
      </c>
      <c r="Q14">
        <v>10</v>
      </c>
      <c r="R14">
        <v>0</v>
      </c>
      <c r="S14">
        <v>10</v>
      </c>
      <c r="T14">
        <v>10</v>
      </c>
      <c r="U14">
        <v>10</v>
      </c>
      <c r="V14">
        <v>0</v>
      </c>
      <c r="W14">
        <v>0</v>
      </c>
      <c r="X14">
        <v>0</v>
      </c>
      <c r="Y14">
        <v>10</v>
      </c>
      <c r="Z14">
        <v>10</v>
      </c>
      <c r="AA14">
        <v>0</v>
      </c>
      <c r="AB14">
        <v>0</v>
      </c>
      <c r="AC14">
        <v>10</v>
      </c>
      <c r="AD14">
        <v>0</v>
      </c>
    </row>
    <row r="15" spans="1:30" x14ac:dyDescent="0.3">
      <c r="A15" s="53">
        <v>45910.584917060187</v>
      </c>
      <c r="B15" s="23" t="s">
        <v>47</v>
      </c>
      <c r="C15">
        <v>280</v>
      </c>
      <c r="D15" s="73" t="s">
        <v>2087</v>
      </c>
      <c r="E15" s="70">
        <f t="shared" si="0"/>
        <v>341.00000000000853</v>
      </c>
      <c r="F15" s="70">
        <f t="shared" si="0"/>
        <v>129.99999999999795</v>
      </c>
      <c r="G15" s="70">
        <f t="shared" si="1"/>
        <v>7</v>
      </c>
      <c r="H15" s="70">
        <f t="shared" si="2"/>
        <v>12</v>
      </c>
      <c r="I15" t="s">
        <v>6364</v>
      </c>
      <c r="J15" t="s">
        <v>6365</v>
      </c>
      <c r="K15" t="s">
        <v>6366</v>
      </c>
      <c r="L15">
        <v>9</v>
      </c>
      <c r="M15">
        <v>8</v>
      </c>
      <c r="N15">
        <v>7</v>
      </c>
      <c r="O15">
        <v>0</v>
      </c>
      <c r="P15">
        <v>9</v>
      </c>
      <c r="Q15">
        <v>2</v>
      </c>
      <c r="R15">
        <v>0</v>
      </c>
      <c r="S15">
        <v>1</v>
      </c>
      <c r="T15">
        <v>1</v>
      </c>
      <c r="U15">
        <v>10</v>
      </c>
      <c r="V15">
        <v>0</v>
      </c>
      <c r="W15">
        <v>0</v>
      </c>
      <c r="X15">
        <v>0</v>
      </c>
      <c r="Y15">
        <v>6</v>
      </c>
      <c r="Z15">
        <v>8</v>
      </c>
      <c r="AA15">
        <v>0</v>
      </c>
      <c r="AB15">
        <v>0</v>
      </c>
      <c r="AC15">
        <v>3</v>
      </c>
      <c r="AD15">
        <v>0</v>
      </c>
    </row>
    <row r="16" spans="1:30" x14ac:dyDescent="0.3">
      <c r="A16" s="53">
        <v>45910.691854594908</v>
      </c>
      <c r="B16" s="23" t="s">
        <v>48</v>
      </c>
      <c r="C16">
        <v>290</v>
      </c>
      <c r="D16" s="73" t="s">
        <v>2087</v>
      </c>
      <c r="E16" s="70">
        <f t="shared" si="0"/>
        <v>207.00000000000358</v>
      </c>
      <c r="F16" s="70">
        <f t="shared" si="0"/>
        <v>146.9999999999942</v>
      </c>
      <c r="G16" s="70">
        <f t="shared" si="1"/>
        <v>8</v>
      </c>
      <c r="H16" s="70">
        <f t="shared" si="2"/>
        <v>11</v>
      </c>
      <c r="I16" t="s">
        <v>6382</v>
      </c>
      <c r="J16" t="s">
        <v>6383</v>
      </c>
      <c r="K16" t="s">
        <v>6384</v>
      </c>
      <c r="L16">
        <v>0</v>
      </c>
      <c r="M16">
        <v>10</v>
      </c>
      <c r="N16">
        <v>10</v>
      </c>
      <c r="O16">
        <v>0</v>
      </c>
      <c r="P16">
        <v>10</v>
      </c>
      <c r="Q16">
        <v>0</v>
      </c>
      <c r="R16">
        <v>0</v>
      </c>
      <c r="S16">
        <v>10</v>
      </c>
      <c r="T16">
        <v>0</v>
      </c>
      <c r="U16">
        <v>10</v>
      </c>
      <c r="V16">
        <v>0</v>
      </c>
      <c r="W16">
        <v>0</v>
      </c>
      <c r="X16">
        <v>0</v>
      </c>
      <c r="Y16">
        <v>10</v>
      </c>
      <c r="Z16">
        <v>10</v>
      </c>
      <c r="AA16">
        <v>0</v>
      </c>
      <c r="AB16">
        <v>0</v>
      </c>
      <c r="AC16">
        <v>10</v>
      </c>
      <c r="AD16">
        <v>0</v>
      </c>
    </row>
    <row r="17" spans="1:30" x14ac:dyDescent="0.3">
      <c r="A17" s="53">
        <v>45910.737771979169</v>
      </c>
      <c r="B17" s="23" t="s">
        <v>49</v>
      </c>
      <c r="C17">
        <v>297</v>
      </c>
      <c r="D17" s="73" t="s">
        <v>2087</v>
      </c>
      <c r="E17" s="70">
        <f t="shared" si="0"/>
        <v>377.00000000000455</v>
      </c>
      <c r="F17" s="70">
        <f t="shared" si="0"/>
        <v>145.00000000000028</v>
      </c>
      <c r="G17" s="70">
        <f t="shared" si="1"/>
        <v>9</v>
      </c>
      <c r="H17" s="70">
        <f t="shared" si="2"/>
        <v>10</v>
      </c>
      <c r="I17" t="s">
        <v>6394</v>
      </c>
      <c r="J17" t="s">
        <v>6395</v>
      </c>
      <c r="K17" t="s">
        <v>6396</v>
      </c>
      <c r="L17">
        <v>6</v>
      </c>
      <c r="M17">
        <v>6</v>
      </c>
      <c r="N17">
        <v>6</v>
      </c>
      <c r="O17">
        <v>0</v>
      </c>
      <c r="P17">
        <v>6</v>
      </c>
      <c r="Q17">
        <v>6</v>
      </c>
      <c r="R17">
        <v>0</v>
      </c>
      <c r="S17">
        <v>6</v>
      </c>
      <c r="T17">
        <v>6</v>
      </c>
      <c r="U17">
        <v>6</v>
      </c>
      <c r="V17">
        <v>0</v>
      </c>
      <c r="W17">
        <v>0</v>
      </c>
      <c r="X17">
        <v>0</v>
      </c>
      <c r="Y17">
        <v>4</v>
      </c>
      <c r="Z17">
        <v>6</v>
      </c>
      <c r="AA17">
        <v>0</v>
      </c>
      <c r="AB17">
        <v>0</v>
      </c>
      <c r="AC17">
        <v>4</v>
      </c>
      <c r="AD17">
        <v>0</v>
      </c>
    </row>
    <row r="18" spans="1:30" x14ac:dyDescent="0.3">
      <c r="A18" s="53">
        <v>45912.400994479161</v>
      </c>
      <c r="B18" s="23" t="s">
        <v>50</v>
      </c>
      <c r="C18">
        <v>309</v>
      </c>
      <c r="D18" s="73" t="s">
        <v>2087</v>
      </c>
      <c r="E18" s="70">
        <f t="shared" si="0"/>
        <v>81.00000000000307</v>
      </c>
      <c r="F18" s="70">
        <f t="shared" si="0"/>
        <v>139.99999999999631</v>
      </c>
      <c r="G18" s="70">
        <f t="shared" si="1"/>
        <v>8</v>
      </c>
      <c r="H18" s="70">
        <f t="shared" si="2"/>
        <v>11</v>
      </c>
      <c r="I18" t="s">
        <v>6400</v>
      </c>
      <c r="J18" t="s">
        <v>6401</v>
      </c>
      <c r="K18" t="s">
        <v>6402</v>
      </c>
      <c r="L18">
        <v>10</v>
      </c>
      <c r="M18">
        <v>10</v>
      </c>
      <c r="N18">
        <v>0</v>
      </c>
      <c r="O18">
        <v>0</v>
      </c>
      <c r="P18">
        <v>10</v>
      </c>
      <c r="Q18">
        <v>0</v>
      </c>
      <c r="R18">
        <v>0</v>
      </c>
      <c r="S18">
        <v>10</v>
      </c>
      <c r="T18">
        <v>10</v>
      </c>
      <c r="U18">
        <v>0</v>
      </c>
      <c r="V18">
        <v>0</v>
      </c>
      <c r="W18">
        <v>0</v>
      </c>
      <c r="X18">
        <v>0</v>
      </c>
      <c r="Y18">
        <v>10</v>
      </c>
      <c r="Z18">
        <v>10</v>
      </c>
      <c r="AA18">
        <v>0</v>
      </c>
      <c r="AB18">
        <v>0</v>
      </c>
      <c r="AC18">
        <v>10</v>
      </c>
      <c r="AD18">
        <v>0</v>
      </c>
    </row>
    <row r="19" spans="1:30" x14ac:dyDescent="0.3">
      <c r="A19" s="53">
        <v>45912.446164340276</v>
      </c>
      <c r="B19" s="23" t="s">
        <v>51</v>
      </c>
      <c r="C19">
        <v>316</v>
      </c>
      <c r="D19" s="73" t="s">
        <v>2087</v>
      </c>
      <c r="E19" s="70">
        <f t="shared" si="0"/>
        <v>471.00000000000171</v>
      </c>
      <c r="F19" s="70">
        <f t="shared" si="0"/>
        <v>205.00000000000006</v>
      </c>
      <c r="G19" s="70">
        <f t="shared" si="1"/>
        <v>11</v>
      </c>
      <c r="H19" s="70">
        <f t="shared" si="2"/>
        <v>8</v>
      </c>
      <c r="I19" t="s">
        <v>6412</v>
      </c>
      <c r="J19" t="s">
        <v>6413</v>
      </c>
      <c r="K19" t="s">
        <v>6414</v>
      </c>
      <c r="L19">
        <v>10</v>
      </c>
      <c r="M19">
        <v>10</v>
      </c>
      <c r="N19">
        <v>10</v>
      </c>
      <c r="O19">
        <v>0</v>
      </c>
      <c r="P19">
        <v>10</v>
      </c>
      <c r="Q19">
        <v>10</v>
      </c>
      <c r="R19">
        <v>0</v>
      </c>
      <c r="S19">
        <v>10</v>
      </c>
      <c r="T19">
        <v>10</v>
      </c>
      <c r="U19">
        <v>10</v>
      </c>
      <c r="V19">
        <v>0</v>
      </c>
      <c r="W19">
        <v>0</v>
      </c>
      <c r="X19">
        <v>0</v>
      </c>
      <c r="Y19">
        <v>10</v>
      </c>
      <c r="Z19">
        <v>10</v>
      </c>
      <c r="AA19">
        <v>0</v>
      </c>
      <c r="AB19">
        <v>0</v>
      </c>
      <c r="AC19">
        <v>10</v>
      </c>
      <c r="AD19">
        <v>0</v>
      </c>
    </row>
    <row r="20" spans="1:30" x14ac:dyDescent="0.3">
      <c r="A20" s="53">
        <v>45912.493647233801</v>
      </c>
      <c r="B20" s="23" t="s">
        <v>52</v>
      </c>
      <c r="C20">
        <v>328</v>
      </c>
      <c r="D20" s="73" t="s">
        <v>2087</v>
      </c>
      <c r="E20" s="70">
        <f t="shared" ref="E20:E34" si="3">(J20-I20)*86400</f>
        <v>217.99999999999892</v>
      </c>
      <c r="F20" s="70">
        <f t="shared" ref="F20:F34" si="4">(K20-J20)*86400</f>
        <v>172.00000000000449</v>
      </c>
      <c r="G20" s="70">
        <f t="shared" ref="G20:G34" si="5">COUNTIF(L20:AD20,"&gt;5")</f>
        <v>10</v>
      </c>
      <c r="H20" s="70">
        <f t="shared" si="2"/>
        <v>9</v>
      </c>
      <c r="I20" t="s">
        <v>6424</v>
      </c>
      <c r="J20" t="s">
        <v>6425</v>
      </c>
      <c r="K20" t="s">
        <v>2126</v>
      </c>
      <c r="L20">
        <v>8</v>
      </c>
      <c r="M20">
        <v>8</v>
      </c>
      <c r="N20">
        <v>8</v>
      </c>
      <c r="O20">
        <v>0</v>
      </c>
      <c r="P20">
        <v>10</v>
      </c>
      <c r="Q20">
        <v>10</v>
      </c>
      <c r="R20">
        <v>0</v>
      </c>
      <c r="S20">
        <v>9</v>
      </c>
      <c r="T20">
        <v>10</v>
      </c>
      <c r="U20">
        <v>0</v>
      </c>
      <c r="V20">
        <v>0</v>
      </c>
      <c r="W20">
        <v>0</v>
      </c>
      <c r="X20">
        <v>0</v>
      </c>
      <c r="Y20">
        <v>9</v>
      </c>
      <c r="Z20">
        <v>10</v>
      </c>
      <c r="AA20">
        <v>0</v>
      </c>
      <c r="AB20">
        <v>0</v>
      </c>
      <c r="AC20">
        <v>8</v>
      </c>
      <c r="AD20">
        <v>0</v>
      </c>
    </row>
    <row r="21" spans="1:30" x14ac:dyDescent="0.3">
      <c r="A21" s="53">
        <v>45912.578483981481</v>
      </c>
      <c r="B21" s="23" t="s">
        <v>53</v>
      </c>
      <c r="C21">
        <v>336</v>
      </c>
      <c r="D21" s="73" t="s">
        <v>2087</v>
      </c>
      <c r="E21" s="70">
        <f t="shared" si="3"/>
        <v>936.99999999999943</v>
      </c>
      <c r="F21" s="70">
        <f t="shared" si="4"/>
        <v>201.00000000000264</v>
      </c>
      <c r="G21" s="70">
        <f t="shared" si="5"/>
        <v>11</v>
      </c>
      <c r="H21" s="70">
        <f t="shared" si="2"/>
        <v>8</v>
      </c>
      <c r="I21" t="s">
        <v>6435</v>
      </c>
      <c r="J21" t="s">
        <v>6436</v>
      </c>
      <c r="K21" t="s">
        <v>6437</v>
      </c>
      <c r="L21">
        <v>10</v>
      </c>
      <c r="M21">
        <v>10</v>
      </c>
      <c r="N21">
        <v>10</v>
      </c>
      <c r="O21">
        <v>0</v>
      </c>
      <c r="P21">
        <v>10</v>
      </c>
      <c r="Q21">
        <v>10</v>
      </c>
      <c r="R21">
        <v>0</v>
      </c>
      <c r="S21">
        <v>10</v>
      </c>
      <c r="T21">
        <v>10</v>
      </c>
      <c r="U21">
        <v>10</v>
      </c>
      <c r="V21">
        <v>0</v>
      </c>
      <c r="W21">
        <v>0</v>
      </c>
      <c r="X21">
        <v>0</v>
      </c>
      <c r="Y21">
        <v>10</v>
      </c>
      <c r="Z21">
        <v>10</v>
      </c>
      <c r="AA21">
        <v>0</v>
      </c>
      <c r="AB21">
        <v>0</v>
      </c>
      <c r="AC21">
        <v>10</v>
      </c>
      <c r="AD21">
        <v>0</v>
      </c>
    </row>
    <row r="22" spans="1:30" x14ac:dyDescent="0.3">
      <c r="A22" s="53">
        <v>45912.630338414354</v>
      </c>
      <c r="B22" s="23" t="s">
        <v>66</v>
      </c>
      <c r="C22">
        <v>347</v>
      </c>
      <c r="D22" s="73" t="s">
        <v>2087</v>
      </c>
      <c r="E22" s="70">
        <f t="shared" si="3"/>
        <v>176.00000000000193</v>
      </c>
      <c r="F22" s="70">
        <f t="shared" si="4"/>
        <v>179.99999999999937</v>
      </c>
      <c r="G22" s="70">
        <f t="shared" si="5"/>
        <v>11</v>
      </c>
      <c r="H22" s="70">
        <f t="shared" si="2"/>
        <v>8</v>
      </c>
      <c r="I22" t="s">
        <v>6447</v>
      </c>
      <c r="J22" t="s">
        <v>6448</v>
      </c>
      <c r="K22" t="s">
        <v>6449</v>
      </c>
      <c r="L22">
        <v>10</v>
      </c>
      <c r="M22">
        <v>10</v>
      </c>
      <c r="N22">
        <v>10</v>
      </c>
      <c r="O22">
        <v>0</v>
      </c>
      <c r="P22">
        <v>10</v>
      </c>
      <c r="Q22">
        <v>10</v>
      </c>
      <c r="R22">
        <v>0</v>
      </c>
      <c r="S22">
        <v>10</v>
      </c>
      <c r="T22">
        <v>10</v>
      </c>
      <c r="U22">
        <v>10</v>
      </c>
      <c r="V22">
        <v>0</v>
      </c>
      <c r="W22">
        <v>0</v>
      </c>
      <c r="X22">
        <v>0</v>
      </c>
      <c r="Y22">
        <v>10</v>
      </c>
      <c r="Z22">
        <v>10</v>
      </c>
      <c r="AA22">
        <v>0</v>
      </c>
      <c r="AB22">
        <v>0</v>
      </c>
      <c r="AC22">
        <v>10</v>
      </c>
      <c r="AD22">
        <v>0</v>
      </c>
    </row>
    <row r="23" spans="1:30" x14ac:dyDescent="0.3">
      <c r="A23" s="53">
        <v>45912.669901064815</v>
      </c>
      <c r="B23" s="23" t="s">
        <v>54</v>
      </c>
      <c r="C23">
        <v>354</v>
      </c>
      <c r="D23" s="73" t="s">
        <v>2087</v>
      </c>
      <c r="E23" s="70">
        <f t="shared" si="3"/>
        <v>375.99999999999801</v>
      </c>
      <c r="F23" s="70">
        <f t="shared" si="4"/>
        <v>185.00000000000335</v>
      </c>
      <c r="G23" s="70">
        <f t="shared" si="5"/>
        <v>11</v>
      </c>
      <c r="H23" s="70">
        <f t="shared" si="2"/>
        <v>8</v>
      </c>
      <c r="I23" t="s">
        <v>6459</v>
      </c>
      <c r="J23" t="s">
        <v>6460</v>
      </c>
      <c r="K23" t="s">
        <v>6461</v>
      </c>
      <c r="L23">
        <v>10</v>
      </c>
      <c r="M23">
        <v>10</v>
      </c>
      <c r="N23">
        <v>10</v>
      </c>
      <c r="O23">
        <v>0</v>
      </c>
      <c r="P23">
        <v>10</v>
      </c>
      <c r="Q23">
        <v>10</v>
      </c>
      <c r="R23">
        <v>0</v>
      </c>
      <c r="S23">
        <v>10</v>
      </c>
      <c r="T23">
        <v>10</v>
      </c>
      <c r="U23">
        <v>10</v>
      </c>
      <c r="V23">
        <v>0</v>
      </c>
      <c r="W23">
        <v>0</v>
      </c>
      <c r="X23">
        <v>0</v>
      </c>
      <c r="Y23">
        <v>10</v>
      </c>
      <c r="Z23">
        <v>10</v>
      </c>
      <c r="AA23">
        <v>0</v>
      </c>
      <c r="AB23">
        <v>0</v>
      </c>
      <c r="AC23">
        <v>10</v>
      </c>
      <c r="AD23">
        <v>0</v>
      </c>
    </row>
    <row r="24" spans="1:30" x14ac:dyDescent="0.3">
      <c r="A24" s="53">
        <v>45912.719724236114</v>
      </c>
      <c r="B24" s="23" t="s">
        <v>55</v>
      </c>
      <c r="C24">
        <v>365</v>
      </c>
      <c r="D24" s="73" t="s">
        <v>2087</v>
      </c>
      <c r="E24" s="70">
        <f t="shared" si="3"/>
        <v>45.000000000007034</v>
      </c>
      <c r="F24" s="70">
        <f t="shared" si="4"/>
        <v>164.00000000000006</v>
      </c>
      <c r="G24" s="70">
        <f t="shared" si="5"/>
        <v>8</v>
      </c>
      <c r="H24" s="70">
        <f t="shared" si="2"/>
        <v>11</v>
      </c>
      <c r="I24" t="s">
        <v>6471</v>
      </c>
      <c r="J24" t="s">
        <v>6472</v>
      </c>
      <c r="K24" t="s">
        <v>6473</v>
      </c>
      <c r="L24">
        <v>0</v>
      </c>
      <c r="M24">
        <v>0</v>
      </c>
      <c r="N24">
        <v>9</v>
      </c>
      <c r="O24">
        <v>0</v>
      </c>
      <c r="P24">
        <v>0</v>
      </c>
      <c r="Q24">
        <v>10</v>
      </c>
      <c r="R24">
        <v>0</v>
      </c>
      <c r="S24">
        <v>10</v>
      </c>
      <c r="T24">
        <v>10</v>
      </c>
      <c r="U24">
        <v>10</v>
      </c>
      <c r="V24">
        <v>0</v>
      </c>
      <c r="W24">
        <v>0</v>
      </c>
      <c r="X24">
        <v>0</v>
      </c>
      <c r="Y24">
        <v>10</v>
      </c>
      <c r="Z24">
        <v>10</v>
      </c>
      <c r="AA24">
        <v>0</v>
      </c>
      <c r="AB24">
        <v>0</v>
      </c>
      <c r="AC24">
        <v>10</v>
      </c>
      <c r="AD24">
        <v>0</v>
      </c>
    </row>
    <row r="25" spans="1:30" x14ac:dyDescent="0.3">
      <c r="A25" s="53">
        <v>45915.492289108792</v>
      </c>
      <c r="B25" s="23" t="s">
        <v>56</v>
      </c>
      <c r="C25">
        <v>378</v>
      </c>
      <c r="D25" s="73" t="s">
        <v>2087</v>
      </c>
      <c r="E25" s="70">
        <f t="shared" si="3"/>
        <v>473.0000000000004</v>
      </c>
      <c r="F25" s="70">
        <f t="shared" si="4"/>
        <v>156.0000000000004</v>
      </c>
      <c r="G25" s="70">
        <f t="shared" si="5"/>
        <v>9</v>
      </c>
      <c r="H25" s="70">
        <f t="shared" si="2"/>
        <v>10</v>
      </c>
      <c r="I25" t="s">
        <v>6483</v>
      </c>
      <c r="J25" t="s">
        <v>6484</v>
      </c>
      <c r="K25" t="s">
        <v>6485</v>
      </c>
      <c r="L25">
        <v>10</v>
      </c>
      <c r="M25">
        <v>10</v>
      </c>
      <c r="N25">
        <v>10</v>
      </c>
      <c r="O25">
        <v>0</v>
      </c>
      <c r="P25">
        <v>10</v>
      </c>
      <c r="Q25">
        <v>10</v>
      </c>
      <c r="R25">
        <v>0</v>
      </c>
      <c r="S25">
        <v>10</v>
      </c>
      <c r="T25">
        <v>0</v>
      </c>
      <c r="U25">
        <v>10</v>
      </c>
      <c r="V25">
        <v>0</v>
      </c>
      <c r="W25">
        <v>0</v>
      </c>
      <c r="X25">
        <v>0</v>
      </c>
      <c r="Y25">
        <v>10</v>
      </c>
      <c r="Z25">
        <v>0</v>
      </c>
      <c r="AA25">
        <v>0</v>
      </c>
      <c r="AB25">
        <v>0</v>
      </c>
      <c r="AC25">
        <v>10</v>
      </c>
      <c r="AD25">
        <v>0</v>
      </c>
    </row>
    <row r="26" spans="1:30" x14ac:dyDescent="0.3">
      <c r="A26" s="53">
        <v>45915.572406168983</v>
      </c>
      <c r="B26" s="23" t="s">
        <v>57</v>
      </c>
      <c r="C26">
        <v>389</v>
      </c>
      <c r="D26" s="73" t="s">
        <v>2087</v>
      </c>
      <c r="E26" s="70">
        <f t="shared" si="3"/>
        <v>217.99999999999892</v>
      </c>
      <c r="F26" s="70">
        <f t="shared" si="4"/>
        <v>104.99999999999723</v>
      </c>
      <c r="G26" s="70">
        <f t="shared" si="5"/>
        <v>6</v>
      </c>
      <c r="H26" s="70">
        <f t="shared" si="2"/>
        <v>13</v>
      </c>
      <c r="I26" t="s">
        <v>6494</v>
      </c>
      <c r="J26" t="s">
        <v>6495</v>
      </c>
      <c r="K26" t="s">
        <v>6496</v>
      </c>
      <c r="L26">
        <v>9</v>
      </c>
      <c r="M26">
        <v>2</v>
      </c>
      <c r="N26">
        <v>1</v>
      </c>
      <c r="O26">
        <v>0</v>
      </c>
      <c r="P26">
        <v>9</v>
      </c>
      <c r="Q26">
        <v>2</v>
      </c>
      <c r="R26">
        <v>0</v>
      </c>
      <c r="S26">
        <v>10</v>
      </c>
      <c r="T26">
        <v>1</v>
      </c>
      <c r="U26">
        <v>10</v>
      </c>
      <c r="V26">
        <v>0</v>
      </c>
      <c r="W26">
        <v>0</v>
      </c>
      <c r="X26">
        <v>0</v>
      </c>
      <c r="Y26">
        <v>10</v>
      </c>
      <c r="Z26">
        <v>1</v>
      </c>
      <c r="AA26">
        <v>0</v>
      </c>
      <c r="AB26">
        <v>0</v>
      </c>
      <c r="AC26">
        <v>10</v>
      </c>
      <c r="AD26">
        <v>0</v>
      </c>
    </row>
    <row r="27" spans="1:30" x14ac:dyDescent="0.3">
      <c r="A27" s="53">
        <v>45916.480977569445</v>
      </c>
      <c r="B27" s="23" t="s">
        <v>58</v>
      </c>
      <c r="C27">
        <v>8</v>
      </c>
      <c r="D27" s="73" t="s">
        <v>2087</v>
      </c>
      <c r="E27" s="70">
        <f t="shared" si="3"/>
        <v>400.99999999999875</v>
      </c>
      <c r="F27" s="70">
        <f t="shared" si="4"/>
        <v>148.99999999999773</v>
      </c>
      <c r="G27" s="70">
        <f t="shared" si="5"/>
        <v>8</v>
      </c>
      <c r="H27" s="70">
        <f t="shared" si="2"/>
        <v>11</v>
      </c>
      <c r="I27" t="s">
        <v>6506</v>
      </c>
      <c r="J27" t="s">
        <v>6507</v>
      </c>
      <c r="K27" t="s">
        <v>6508</v>
      </c>
      <c r="L27">
        <v>10</v>
      </c>
      <c r="M27">
        <v>10</v>
      </c>
      <c r="N27">
        <v>10</v>
      </c>
      <c r="O27">
        <v>0</v>
      </c>
      <c r="P27">
        <v>10</v>
      </c>
      <c r="Q27">
        <v>10</v>
      </c>
      <c r="R27">
        <v>0</v>
      </c>
      <c r="S27">
        <v>0</v>
      </c>
      <c r="T27">
        <v>0</v>
      </c>
      <c r="U27">
        <v>10</v>
      </c>
      <c r="V27">
        <v>0</v>
      </c>
      <c r="W27">
        <v>0</v>
      </c>
      <c r="X27">
        <v>0</v>
      </c>
      <c r="Y27">
        <v>6</v>
      </c>
      <c r="Z27">
        <v>10</v>
      </c>
      <c r="AA27">
        <v>0</v>
      </c>
      <c r="AB27">
        <v>0</v>
      </c>
      <c r="AC27">
        <v>0</v>
      </c>
      <c r="AD27">
        <v>0</v>
      </c>
    </row>
    <row r="28" spans="1:30" x14ac:dyDescent="0.3">
      <c r="A28" s="53">
        <v>45916.565919652778</v>
      </c>
      <c r="B28" s="23" t="s">
        <v>59</v>
      </c>
      <c r="C28">
        <v>19</v>
      </c>
      <c r="D28" s="73" t="s">
        <v>2087</v>
      </c>
      <c r="E28" s="70">
        <f t="shared" si="3"/>
        <v>165.99999999999397</v>
      </c>
      <c r="F28" s="70">
        <f t="shared" si="4"/>
        <v>174.00000000000801</v>
      </c>
      <c r="G28" s="70">
        <f t="shared" si="5"/>
        <v>9</v>
      </c>
      <c r="H28" s="70">
        <f t="shared" si="2"/>
        <v>10</v>
      </c>
      <c r="I28" t="s">
        <v>6518</v>
      </c>
      <c r="J28" t="s">
        <v>6519</v>
      </c>
      <c r="K28" t="s">
        <v>6520</v>
      </c>
      <c r="L28">
        <v>10</v>
      </c>
      <c r="M28">
        <v>10</v>
      </c>
      <c r="N28">
        <v>10</v>
      </c>
      <c r="O28">
        <v>0</v>
      </c>
      <c r="P28">
        <v>10</v>
      </c>
      <c r="Q28">
        <v>10</v>
      </c>
      <c r="R28">
        <v>0</v>
      </c>
      <c r="S28">
        <v>10</v>
      </c>
      <c r="T28">
        <v>10</v>
      </c>
      <c r="U28">
        <v>0</v>
      </c>
      <c r="V28">
        <v>0</v>
      </c>
      <c r="W28">
        <v>0</v>
      </c>
      <c r="X28">
        <v>0</v>
      </c>
      <c r="Y28">
        <v>10</v>
      </c>
      <c r="Z28">
        <v>0</v>
      </c>
      <c r="AA28">
        <v>0</v>
      </c>
      <c r="AB28">
        <v>0</v>
      </c>
      <c r="AC28">
        <v>10</v>
      </c>
      <c r="AD28">
        <v>0</v>
      </c>
    </row>
    <row r="29" spans="1:30" x14ac:dyDescent="0.3">
      <c r="A29" s="53">
        <v>45916.622170173607</v>
      </c>
      <c r="B29" s="23" t="s">
        <v>60</v>
      </c>
      <c r="C29">
        <v>26</v>
      </c>
      <c r="D29" s="73" t="s">
        <v>2087</v>
      </c>
      <c r="E29" s="70">
        <f t="shared" si="3"/>
        <v>141.99999999999983</v>
      </c>
      <c r="F29" s="70">
        <f t="shared" si="4"/>
        <v>223.0000000000029</v>
      </c>
      <c r="G29" s="70">
        <f t="shared" si="5"/>
        <v>8</v>
      </c>
      <c r="H29" s="70">
        <f t="shared" si="2"/>
        <v>11</v>
      </c>
      <c r="I29" t="s">
        <v>6530</v>
      </c>
      <c r="J29" t="s">
        <v>6531</v>
      </c>
      <c r="K29" t="s">
        <v>6532</v>
      </c>
      <c r="L29">
        <v>0</v>
      </c>
      <c r="M29">
        <v>10</v>
      </c>
      <c r="N29">
        <v>0</v>
      </c>
      <c r="O29">
        <v>0</v>
      </c>
      <c r="P29">
        <v>10</v>
      </c>
      <c r="Q29">
        <v>10</v>
      </c>
      <c r="R29">
        <v>0</v>
      </c>
      <c r="S29">
        <v>10</v>
      </c>
      <c r="T29">
        <v>0</v>
      </c>
      <c r="U29">
        <v>10</v>
      </c>
      <c r="V29">
        <v>0</v>
      </c>
      <c r="W29">
        <v>0</v>
      </c>
      <c r="X29">
        <v>0</v>
      </c>
      <c r="Y29">
        <v>10</v>
      </c>
      <c r="Z29">
        <v>10</v>
      </c>
      <c r="AA29">
        <v>0</v>
      </c>
      <c r="AB29">
        <v>0</v>
      </c>
      <c r="AC29">
        <v>10</v>
      </c>
      <c r="AD29">
        <v>0</v>
      </c>
    </row>
    <row r="30" spans="1:30" x14ac:dyDescent="0.3">
      <c r="A30" s="53">
        <v>45916.736991331018</v>
      </c>
      <c r="B30" s="23" t="s">
        <v>61</v>
      </c>
      <c r="C30">
        <v>38</v>
      </c>
      <c r="D30" s="73" t="s">
        <v>2087</v>
      </c>
      <c r="E30" s="70">
        <f t="shared" si="3"/>
        <v>78.000000000002601</v>
      </c>
      <c r="F30" s="70">
        <f t="shared" si="4"/>
        <v>154.99999999999864</v>
      </c>
      <c r="G30" s="70">
        <f t="shared" si="5"/>
        <v>9</v>
      </c>
      <c r="H30" s="70">
        <f t="shared" si="2"/>
        <v>10</v>
      </c>
      <c r="I30" t="s">
        <v>6542</v>
      </c>
      <c r="J30" t="s">
        <v>6543</v>
      </c>
      <c r="K30" t="s">
        <v>6544</v>
      </c>
      <c r="L30">
        <v>10</v>
      </c>
      <c r="M30">
        <v>10</v>
      </c>
      <c r="N30">
        <v>10</v>
      </c>
      <c r="O30">
        <v>0</v>
      </c>
      <c r="P30">
        <v>10</v>
      </c>
      <c r="Q30">
        <v>10</v>
      </c>
      <c r="R30">
        <v>0</v>
      </c>
      <c r="S30">
        <v>10</v>
      </c>
      <c r="T30">
        <v>10</v>
      </c>
      <c r="U30">
        <v>0</v>
      </c>
      <c r="V30">
        <v>0</v>
      </c>
      <c r="W30">
        <v>0</v>
      </c>
      <c r="X30">
        <v>0</v>
      </c>
      <c r="Y30">
        <v>10</v>
      </c>
      <c r="Z30">
        <v>0</v>
      </c>
      <c r="AA30">
        <v>0</v>
      </c>
      <c r="AB30">
        <v>0</v>
      </c>
      <c r="AC30">
        <v>10</v>
      </c>
      <c r="AD30">
        <v>0</v>
      </c>
    </row>
    <row r="31" spans="1:30" x14ac:dyDescent="0.3">
      <c r="A31" s="53">
        <v>45916.796940046297</v>
      </c>
      <c r="B31" s="23" t="s">
        <v>62</v>
      </c>
      <c r="C31">
        <v>45</v>
      </c>
      <c r="D31" s="73" t="s">
        <v>2087</v>
      </c>
      <c r="E31" s="70">
        <f t="shared" si="3"/>
        <v>403.00000000000227</v>
      </c>
      <c r="F31" s="70">
        <f t="shared" si="4"/>
        <v>155.99999999999562</v>
      </c>
      <c r="G31" s="70">
        <f t="shared" si="5"/>
        <v>9</v>
      </c>
      <c r="H31" s="70">
        <f t="shared" si="2"/>
        <v>10</v>
      </c>
      <c r="I31" t="s">
        <v>6554</v>
      </c>
      <c r="J31" t="s">
        <v>6555</v>
      </c>
      <c r="K31" t="s">
        <v>6556</v>
      </c>
      <c r="L31">
        <v>9</v>
      </c>
      <c r="M31">
        <v>10</v>
      </c>
      <c r="N31">
        <v>10</v>
      </c>
      <c r="O31">
        <v>0</v>
      </c>
      <c r="P31">
        <v>8</v>
      </c>
      <c r="Q31">
        <v>8</v>
      </c>
      <c r="R31">
        <v>0</v>
      </c>
      <c r="S31">
        <v>10</v>
      </c>
      <c r="T31">
        <v>10</v>
      </c>
      <c r="U31">
        <v>3</v>
      </c>
      <c r="V31">
        <v>0</v>
      </c>
      <c r="W31">
        <v>0</v>
      </c>
      <c r="X31">
        <v>0</v>
      </c>
      <c r="Y31">
        <v>10</v>
      </c>
      <c r="Z31">
        <v>3</v>
      </c>
      <c r="AA31">
        <v>0</v>
      </c>
      <c r="AB31">
        <v>0</v>
      </c>
      <c r="AC31">
        <v>10</v>
      </c>
      <c r="AD31">
        <v>0</v>
      </c>
    </row>
    <row r="32" spans="1:30" x14ac:dyDescent="0.3">
      <c r="A32" s="53">
        <v>45917.607987812502</v>
      </c>
      <c r="B32" s="23" t="s">
        <v>63</v>
      </c>
      <c r="C32">
        <v>7</v>
      </c>
      <c r="D32" s="73" t="s">
        <v>2087</v>
      </c>
      <c r="E32" s="70">
        <f t="shared" si="3"/>
        <v>145.00000000000028</v>
      </c>
      <c r="F32" s="70">
        <f t="shared" si="4"/>
        <v>114.00000000000823</v>
      </c>
      <c r="G32" s="70">
        <f t="shared" si="5"/>
        <v>7</v>
      </c>
      <c r="H32" s="70">
        <f t="shared" si="2"/>
        <v>12</v>
      </c>
      <c r="I32" t="s">
        <v>6566</v>
      </c>
      <c r="J32" t="s">
        <v>6567</v>
      </c>
      <c r="K32" t="s">
        <v>6568</v>
      </c>
      <c r="L32">
        <v>10</v>
      </c>
      <c r="M32">
        <v>1</v>
      </c>
      <c r="N32">
        <v>1</v>
      </c>
      <c r="O32">
        <v>0</v>
      </c>
      <c r="P32">
        <v>9</v>
      </c>
      <c r="Q32">
        <v>9</v>
      </c>
      <c r="R32">
        <v>0</v>
      </c>
      <c r="S32">
        <v>8</v>
      </c>
      <c r="T32">
        <v>2</v>
      </c>
      <c r="U32">
        <v>9</v>
      </c>
      <c r="V32">
        <v>0</v>
      </c>
      <c r="W32">
        <v>0</v>
      </c>
      <c r="X32">
        <v>0</v>
      </c>
      <c r="Y32">
        <v>8</v>
      </c>
      <c r="Z32">
        <v>9</v>
      </c>
      <c r="AA32">
        <v>0</v>
      </c>
      <c r="AB32">
        <v>0</v>
      </c>
      <c r="AC32">
        <v>0</v>
      </c>
      <c r="AD32">
        <v>0</v>
      </c>
    </row>
    <row r="33" spans="1:30" x14ac:dyDescent="0.3">
      <c r="A33" s="53">
        <v>45917.730855567133</v>
      </c>
      <c r="B33" s="23" t="s">
        <v>65</v>
      </c>
      <c r="C33">
        <v>17</v>
      </c>
      <c r="D33" s="73" t="s">
        <v>2087</v>
      </c>
      <c r="E33" s="70">
        <f t="shared" si="3"/>
        <v>378.00000000000153</v>
      </c>
      <c r="F33" s="70">
        <f t="shared" si="4"/>
        <v>190.99999999999469</v>
      </c>
      <c r="G33" s="70">
        <f t="shared" si="5"/>
        <v>11</v>
      </c>
      <c r="H33" s="70">
        <f t="shared" si="2"/>
        <v>8</v>
      </c>
      <c r="I33" t="s">
        <v>6578</v>
      </c>
      <c r="J33" t="s">
        <v>6579</v>
      </c>
      <c r="K33" t="s">
        <v>6580</v>
      </c>
      <c r="L33">
        <v>10</v>
      </c>
      <c r="M33">
        <v>10</v>
      </c>
      <c r="N33">
        <v>10</v>
      </c>
      <c r="O33">
        <v>0</v>
      </c>
      <c r="P33">
        <v>10</v>
      </c>
      <c r="Q33">
        <v>10</v>
      </c>
      <c r="R33">
        <v>0</v>
      </c>
      <c r="S33">
        <v>10</v>
      </c>
      <c r="T33">
        <v>10</v>
      </c>
      <c r="U33">
        <v>10</v>
      </c>
      <c r="V33">
        <v>0</v>
      </c>
      <c r="W33">
        <v>0</v>
      </c>
      <c r="X33">
        <v>0</v>
      </c>
      <c r="Y33">
        <v>10</v>
      </c>
      <c r="Z33">
        <v>10</v>
      </c>
      <c r="AA33">
        <v>0</v>
      </c>
      <c r="AB33">
        <v>0</v>
      </c>
      <c r="AC33">
        <v>10</v>
      </c>
      <c r="AD33">
        <v>0</v>
      </c>
    </row>
    <row r="34" spans="1:30" x14ac:dyDescent="0.3">
      <c r="A34" s="53">
        <v>45918.561457800926</v>
      </c>
      <c r="B34" s="23" t="s">
        <v>64</v>
      </c>
      <c r="C34">
        <v>29</v>
      </c>
      <c r="D34" s="73" t="s">
        <v>2087</v>
      </c>
      <c r="E34" s="70">
        <f t="shared" si="3"/>
        <v>81.00000000000307</v>
      </c>
      <c r="F34" s="70">
        <f t="shared" si="4"/>
        <v>189.99999999999773</v>
      </c>
      <c r="G34" s="70">
        <f t="shared" si="5"/>
        <v>11</v>
      </c>
      <c r="H34" s="70">
        <f t="shared" si="2"/>
        <v>8</v>
      </c>
      <c r="I34" t="s">
        <v>6590</v>
      </c>
      <c r="J34" t="s">
        <v>6591</v>
      </c>
      <c r="K34" t="s">
        <v>6592</v>
      </c>
      <c r="L34">
        <v>10</v>
      </c>
      <c r="M34">
        <v>10</v>
      </c>
      <c r="N34">
        <v>10</v>
      </c>
      <c r="O34">
        <v>0</v>
      </c>
      <c r="P34">
        <v>10</v>
      </c>
      <c r="Q34">
        <v>10</v>
      </c>
      <c r="R34">
        <v>0</v>
      </c>
      <c r="S34">
        <v>10</v>
      </c>
      <c r="T34">
        <v>10</v>
      </c>
      <c r="U34">
        <v>10</v>
      </c>
      <c r="V34">
        <v>0</v>
      </c>
      <c r="W34">
        <v>0</v>
      </c>
      <c r="X34">
        <v>0</v>
      </c>
      <c r="Y34">
        <v>10</v>
      </c>
      <c r="Z34">
        <v>10</v>
      </c>
      <c r="AA34">
        <v>0</v>
      </c>
      <c r="AB34">
        <v>0</v>
      </c>
      <c r="AC34">
        <v>10</v>
      </c>
      <c r="AD34">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183A-0224-4657-A25D-9893C1358F71}">
  <dimension ref="A2:AD34"/>
  <sheetViews>
    <sheetView workbookViewId="0">
      <selection activeCell="L14" sqref="L14:R14"/>
    </sheetView>
  </sheetViews>
  <sheetFormatPr defaultRowHeight="14.4" x14ac:dyDescent="0.3"/>
  <cols>
    <col min="1" max="1" width="17" customWidth="1"/>
    <col min="6" max="6" width="13.6640625" customWidth="1"/>
    <col min="7" max="7" width="11.77734375" customWidth="1"/>
    <col min="8" max="8" width="13.33203125" customWidth="1"/>
    <col min="9" max="10" width="11.6640625" customWidth="1"/>
    <col min="11" max="11" width="16" customWidth="1"/>
    <col min="12" max="12" width="13.109375" customWidth="1"/>
    <col min="13" max="13" width="19.88671875" customWidth="1"/>
    <col min="14" max="14" width="18.88671875" customWidth="1"/>
    <col min="15" max="15" width="18.5546875" customWidth="1"/>
    <col min="16" max="16" width="19.88671875" customWidth="1"/>
    <col min="17" max="17" width="14.6640625" customWidth="1"/>
    <col min="18" max="18" width="22.77734375" customWidth="1"/>
    <col min="19" max="19" width="17.88671875" customWidth="1"/>
    <col min="20" max="20" width="13.88671875" customWidth="1"/>
    <col min="21" max="21" width="23" customWidth="1"/>
    <col min="22" max="22" width="22.77734375" customWidth="1"/>
    <col min="23" max="23" width="15.88671875" customWidth="1"/>
    <col min="24" max="24" width="16.21875" customWidth="1"/>
    <col min="25" max="25" width="18.88671875" customWidth="1"/>
    <col min="26" max="26" width="14.77734375" customWidth="1"/>
    <col min="27" max="27" width="13.21875" customWidth="1"/>
    <col min="28" max="28" width="13.77734375" customWidth="1"/>
    <col min="30" max="30" width="13" customWidth="1"/>
  </cols>
  <sheetData>
    <row r="2" spans="1:30" ht="29.4" thickBot="1" x14ac:dyDescent="0.35">
      <c r="A2" s="54" t="s">
        <v>0</v>
      </c>
      <c r="B2" s="19" t="s">
        <v>1</v>
      </c>
      <c r="E2" s="75" t="s">
        <v>6284</v>
      </c>
      <c r="F2" s="75" t="s">
        <v>6285</v>
      </c>
      <c r="G2" s="75" t="s">
        <v>3171</v>
      </c>
      <c r="H2" s="75" t="s">
        <v>3172</v>
      </c>
      <c r="I2" s="75" t="s">
        <v>2091</v>
      </c>
      <c r="J2" s="75" t="s">
        <v>2092</v>
      </c>
      <c r="K2" s="75" t="s">
        <v>2093</v>
      </c>
      <c r="L2" s="75" t="s">
        <v>2094</v>
      </c>
      <c r="M2" s="75" t="s">
        <v>2095</v>
      </c>
      <c r="N2" s="75" t="s">
        <v>2096</v>
      </c>
      <c r="O2" s="75" t="s">
        <v>2097</v>
      </c>
      <c r="P2" s="75" t="s">
        <v>2098</v>
      </c>
      <c r="Q2" s="75" t="s">
        <v>2099</v>
      </c>
      <c r="R2" s="75" t="s">
        <v>2100</v>
      </c>
      <c r="S2" s="75" t="s">
        <v>2101</v>
      </c>
      <c r="T2" s="75" t="s">
        <v>2102</v>
      </c>
      <c r="U2" s="75" t="s">
        <v>2103</v>
      </c>
      <c r="V2" s="75" t="s">
        <v>2104</v>
      </c>
      <c r="W2" s="75" t="s">
        <v>2105</v>
      </c>
      <c r="X2" s="75" t="s">
        <v>2106</v>
      </c>
      <c r="Y2" s="75" t="s">
        <v>2107</v>
      </c>
      <c r="Z2" s="75" t="s">
        <v>2108</v>
      </c>
      <c r="AA2" s="75" t="s">
        <v>2109</v>
      </c>
      <c r="AB2" s="75" t="s">
        <v>2110</v>
      </c>
      <c r="AC2" s="75" t="s">
        <v>2111</v>
      </c>
      <c r="AD2" s="75" t="s">
        <v>2112</v>
      </c>
    </row>
    <row r="3" spans="1:30" x14ac:dyDescent="0.3">
      <c r="A3" s="49">
        <v>45881.446388668977</v>
      </c>
      <c r="B3" s="50">
        <v>1</v>
      </c>
      <c r="C3" s="70">
        <f>TA_NQY!C3+1</f>
        <v>26</v>
      </c>
      <c r="D3" s="72" t="s">
        <v>2088</v>
      </c>
      <c r="E3" s="70">
        <f t="shared" ref="E3:F18" si="0">(J3-I3)*86400</f>
        <v>60.999999999996746</v>
      </c>
      <c r="F3" s="70">
        <f t="shared" si="0"/>
        <v>177.00000000000369</v>
      </c>
      <c r="G3" s="70">
        <f>COUNTIF(L3:AD3,"&gt;5")</f>
        <v>8</v>
      </c>
      <c r="H3" s="70">
        <f t="shared" ref="H3:H18" si="1">COUNTIF(L3:AD3,"&lt;5")</f>
        <v>11</v>
      </c>
      <c r="I3" t="s">
        <v>6605</v>
      </c>
      <c r="J3" t="s">
        <v>6606</v>
      </c>
      <c r="K3" t="s">
        <v>6607</v>
      </c>
      <c r="L3">
        <v>10</v>
      </c>
      <c r="M3">
        <v>10</v>
      </c>
      <c r="N3">
        <v>10</v>
      </c>
      <c r="O3">
        <v>0</v>
      </c>
      <c r="P3">
        <v>10</v>
      </c>
      <c r="Q3">
        <v>10</v>
      </c>
      <c r="R3">
        <v>0</v>
      </c>
      <c r="S3">
        <v>0</v>
      </c>
      <c r="T3">
        <v>0</v>
      </c>
      <c r="U3">
        <v>10</v>
      </c>
      <c r="V3">
        <v>0</v>
      </c>
      <c r="W3">
        <v>0</v>
      </c>
      <c r="X3">
        <v>0</v>
      </c>
      <c r="Y3">
        <v>0</v>
      </c>
      <c r="Z3">
        <v>10</v>
      </c>
      <c r="AA3">
        <v>0</v>
      </c>
      <c r="AB3">
        <v>0</v>
      </c>
      <c r="AC3">
        <v>10</v>
      </c>
      <c r="AD3">
        <v>0</v>
      </c>
    </row>
    <row r="4" spans="1:30" x14ac:dyDescent="0.3">
      <c r="A4" s="51">
        <v>45881.617943437501</v>
      </c>
      <c r="B4" s="52">
        <v>2</v>
      </c>
      <c r="C4" s="70">
        <f>TA_NQY!C4+1</f>
        <v>71</v>
      </c>
      <c r="D4" s="72" t="s">
        <v>2088</v>
      </c>
      <c r="E4" s="70">
        <f t="shared" si="0"/>
        <v>28.00000000000118</v>
      </c>
      <c r="F4" s="70">
        <f t="shared" si="0"/>
        <v>195.99999999999866</v>
      </c>
      <c r="G4" s="70">
        <f>COUNTIF(L4:AD4,"&gt;5")</f>
        <v>10</v>
      </c>
      <c r="H4" s="70">
        <f t="shared" si="1"/>
        <v>9</v>
      </c>
      <c r="I4" t="s">
        <v>6617</v>
      </c>
      <c r="J4" t="s">
        <v>6618</v>
      </c>
      <c r="K4" t="s">
        <v>6619</v>
      </c>
      <c r="L4">
        <v>0</v>
      </c>
      <c r="M4">
        <v>10</v>
      </c>
      <c r="N4">
        <v>10</v>
      </c>
      <c r="O4">
        <v>0</v>
      </c>
      <c r="P4">
        <v>10</v>
      </c>
      <c r="Q4">
        <v>10</v>
      </c>
      <c r="R4">
        <v>0</v>
      </c>
      <c r="S4">
        <v>10</v>
      </c>
      <c r="T4">
        <v>10</v>
      </c>
      <c r="U4">
        <v>0</v>
      </c>
      <c r="V4">
        <v>0</v>
      </c>
      <c r="W4">
        <v>10</v>
      </c>
      <c r="X4">
        <v>0</v>
      </c>
      <c r="Y4">
        <v>10</v>
      </c>
      <c r="Z4">
        <v>10</v>
      </c>
      <c r="AA4">
        <v>0</v>
      </c>
      <c r="AB4">
        <v>0</v>
      </c>
      <c r="AC4">
        <v>10</v>
      </c>
      <c r="AD4">
        <v>0</v>
      </c>
    </row>
    <row r="5" spans="1:30" x14ac:dyDescent="0.3">
      <c r="A5" s="51">
        <v>45887.610196423615</v>
      </c>
      <c r="B5" s="52">
        <v>3</v>
      </c>
      <c r="C5" s="70">
        <f>TA_NQY!C5+1</f>
        <v>168</v>
      </c>
      <c r="D5" s="72" t="s">
        <v>2088</v>
      </c>
      <c r="E5" s="70">
        <f t="shared" si="0"/>
        <v>37.000000000002586</v>
      </c>
      <c r="F5" s="70">
        <f t="shared" si="0"/>
        <v>193.99999999999517</v>
      </c>
      <c r="G5" s="70">
        <f t="shared" ref="G5:G18" si="2">COUNTIF(L5:AD5,"&gt;5")</f>
        <v>8</v>
      </c>
      <c r="H5" s="70">
        <f t="shared" si="1"/>
        <v>11</v>
      </c>
      <c r="I5" t="s">
        <v>2154</v>
      </c>
      <c r="J5" t="s">
        <v>2155</v>
      </c>
      <c r="K5" t="s">
        <v>2156</v>
      </c>
      <c r="L5">
        <v>10</v>
      </c>
      <c r="M5">
        <v>10</v>
      </c>
      <c r="N5">
        <v>10</v>
      </c>
      <c r="O5">
        <v>0</v>
      </c>
      <c r="P5">
        <v>0</v>
      </c>
      <c r="Q5">
        <v>0</v>
      </c>
      <c r="R5">
        <v>0</v>
      </c>
      <c r="S5">
        <v>10</v>
      </c>
      <c r="T5">
        <v>10</v>
      </c>
      <c r="U5">
        <v>0</v>
      </c>
      <c r="V5">
        <v>0</v>
      </c>
      <c r="W5">
        <v>0</v>
      </c>
      <c r="X5">
        <v>0</v>
      </c>
      <c r="Y5">
        <v>10</v>
      </c>
      <c r="Z5">
        <v>10</v>
      </c>
      <c r="AA5">
        <v>0</v>
      </c>
      <c r="AB5">
        <v>0</v>
      </c>
      <c r="AC5">
        <v>10</v>
      </c>
      <c r="AD5">
        <v>0</v>
      </c>
    </row>
    <row r="6" spans="1:30" x14ac:dyDescent="0.3">
      <c r="A6" s="51">
        <v>45887.647473391204</v>
      </c>
      <c r="B6" s="52">
        <v>4</v>
      </c>
      <c r="C6" s="70">
        <f>TA_NQY!C6+1</f>
        <v>178</v>
      </c>
      <c r="D6" s="72" t="s">
        <v>2088</v>
      </c>
      <c r="E6" s="70">
        <f t="shared" si="0"/>
        <v>82.999999999996987</v>
      </c>
      <c r="F6" s="70">
        <f t="shared" si="0"/>
        <v>135.00000000000193</v>
      </c>
      <c r="G6" s="70">
        <f t="shared" si="2"/>
        <v>7</v>
      </c>
      <c r="H6" s="70">
        <f t="shared" si="1"/>
        <v>12</v>
      </c>
      <c r="I6" t="s">
        <v>2148</v>
      </c>
      <c r="J6" t="s">
        <v>2149</v>
      </c>
      <c r="K6" t="s">
        <v>2150</v>
      </c>
      <c r="L6">
        <v>10</v>
      </c>
      <c r="M6">
        <v>10</v>
      </c>
      <c r="N6">
        <v>10</v>
      </c>
      <c r="O6">
        <v>0</v>
      </c>
      <c r="P6">
        <v>10</v>
      </c>
      <c r="Q6">
        <v>10</v>
      </c>
      <c r="R6">
        <v>0</v>
      </c>
      <c r="S6">
        <v>0</v>
      </c>
      <c r="T6">
        <v>0</v>
      </c>
      <c r="U6">
        <v>10</v>
      </c>
      <c r="V6">
        <v>0</v>
      </c>
      <c r="W6">
        <v>0</v>
      </c>
      <c r="X6">
        <v>0</v>
      </c>
      <c r="Y6">
        <v>0</v>
      </c>
      <c r="Z6">
        <v>10</v>
      </c>
      <c r="AA6">
        <v>0</v>
      </c>
      <c r="AB6">
        <v>0</v>
      </c>
      <c r="AC6">
        <v>0</v>
      </c>
      <c r="AD6">
        <v>0</v>
      </c>
    </row>
    <row r="7" spans="1:30" x14ac:dyDescent="0.3">
      <c r="A7" s="51">
        <v>45889.499309328705</v>
      </c>
      <c r="B7" s="52">
        <v>5</v>
      </c>
      <c r="C7" s="70">
        <f>TA_NQY!C7+1</f>
        <v>187</v>
      </c>
      <c r="D7" s="72" t="s">
        <v>2088</v>
      </c>
      <c r="E7" s="70">
        <f t="shared" si="0"/>
        <v>60.999999999996746</v>
      </c>
      <c r="F7" s="70">
        <f t="shared" si="0"/>
        <v>189.99999999999773</v>
      </c>
      <c r="G7" s="70">
        <f t="shared" si="2"/>
        <v>8</v>
      </c>
      <c r="H7" s="70">
        <f t="shared" si="1"/>
        <v>11</v>
      </c>
      <c r="I7" t="s">
        <v>2142</v>
      </c>
      <c r="J7" t="s">
        <v>2143</v>
      </c>
      <c r="K7" t="s">
        <v>2144</v>
      </c>
      <c r="L7">
        <v>0</v>
      </c>
      <c r="M7">
        <v>10</v>
      </c>
      <c r="N7">
        <v>0</v>
      </c>
      <c r="O7">
        <v>0</v>
      </c>
      <c r="P7">
        <v>10</v>
      </c>
      <c r="Q7">
        <v>10</v>
      </c>
      <c r="R7">
        <v>0</v>
      </c>
      <c r="S7">
        <v>0</v>
      </c>
      <c r="T7">
        <v>10</v>
      </c>
      <c r="U7">
        <v>0</v>
      </c>
      <c r="V7">
        <v>0</v>
      </c>
      <c r="W7">
        <v>10</v>
      </c>
      <c r="X7">
        <v>0</v>
      </c>
      <c r="Y7">
        <v>10</v>
      </c>
      <c r="Z7">
        <v>10</v>
      </c>
      <c r="AA7">
        <v>0</v>
      </c>
      <c r="AB7">
        <v>0</v>
      </c>
      <c r="AC7">
        <v>10</v>
      </c>
      <c r="AD7">
        <v>0</v>
      </c>
    </row>
    <row r="8" spans="1:30" x14ac:dyDescent="0.3">
      <c r="A8" s="53">
        <v>45909.444653206017</v>
      </c>
      <c r="B8" s="23" t="s">
        <v>38</v>
      </c>
      <c r="C8" s="70">
        <f>TA_NQY!C8+1</f>
        <v>213</v>
      </c>
      <c r="D8" s="72" t="s">
        <v>2088</v>
      </c>
      <c r="E8" s="70">
        <f t="shared" si="0"/>
        <v>36.000000000000831</v>
      </c>
      <c r="F8" s="70">
        <f t="shared" si="0"/>
        <v>170.99999999999795</v>
      </c>
      <c r="G8" s="70">
        <f t="shared" si="2"/>
        <v>9</v>
      </c>
      <c r="H8" s="70">
        <f t="shared" si="1"/>
        <v>10</v>
      </c>
      <c r="I8" t="s">
        <v>2116</v>
      </c>
      <c r="J8" t="s">
        <v>2117</v>
      </c>
      <c r="K8" t="s">
        <v>2118</v>
      </c>
      <c r="L8">
        <v>10</v>
      </c>
      <c r="M8">
        <v>10</v>
      </c>
      <c r="N8">
        <v>10</v>
      </c>
      <c r="O8">
        <v>0</v>
      </c>
      <c r="P8">
        <v>10</v>
      </c>
      <c r="Q8">
        <v>0</v>
      </c>
      <c r="R8">
        <v>0</v>
      </c>
      <c r="S8">
        <v>10</v>
      </c>
      <c r="T8">
        <v>10</v>
      </c>
      <c r="U8">
        <v>0</v>
      </c>
      <c r="V8">
        <v>0</v>
      </c>
      <c r="W8">
        <v>0</v>
      </c>
      <c r="X8">
        <v>0</v>
      </c>
      <c r="Y8">
        <v>10</v>
      </c>
      <c r="Z8">
        <v>10</v>
      </c>
      <c r="AA8">
        <v>0</v>
      </c>
      <c r="AB8">
        <v>0</v>
      </c>
      <c r="AC8">
        <v>10</v>
      </c>
      <c r="AD8">
        <v>0</v>
      </c>
    </row>
    <row r="9" spans="1:30" x14ac:dyDescent="0.3">
      <c r="A9" s="53">
        <v>45909.490350810185</v>
      </c>
      <c r="B9" s="23" t="s">
        <v>40</v>
      </c>
      <c r="C9" s="70">
        <f>TA_NQY!C9+1</f>
        <v>224</v>
      </c>
      <c r="D9" s="72" t="s">
        <v>2088</v>
      </c>
      <c r="E9" s="70">
        <f t="shared" si="0"/>
        <v>44.000000000000483</v>
      </c>
      <c r="F9" s="70">
        <f t="shared" si="0"/>
        <v>192.00000000000125</v>
      </c>
      <c r="G9" s="70">
        <f t="shared" si="2"/>
        <v>11</v>
      </c>
      <c r="H9" s="70">
        <f t="shared" si="1"/>
        <v>8</v>
      </c>
      <c r="I9" t="s">
        <v>2124</v>
      </c>
      <c r="J9" t="s">
        <v>2125</v>
      </c>
      <c r="K9" t="s">
        <v>2126</v>
      </c>
      <c r="L9">
        <v>9</v>
      </c>
      <c r="M9">
        <v>9</v>
      </c>
      <c r="N9">
        <v>9</v>
      </c>
      <c r="O9">
        <v>0</v>
      </c>
      <c r="P9">
        <v>9</v>
      </c>
      <c r="Q9">
        <v>9</v>
      </c>
      <c r="R9">
        <v>0</v>
      </c>
      <c r="S9">
        <v>9</v>
      </c>
      <c r="T9">
        <v>9</v>
      </c>
      <c r="U9">
        <v>9</v>
      </c>
      <c r="V9">
        <v>0</v>
      </c>
      <c r="W9">
        <v>0</v>
      </c>
      <c r="X9">
        <v>0</v>
      </c>
      <c r="Y9">
        <v>8</v>
      </c>
      <c r="Z9">
        <v>9</v>
      </c>
      <c r="AA9">
        <v>0</v>
      </c>
      <c r="AB9">
        <v>0</v>
      </c>
      <c r="AC9">
        <v>8</v>
      </c>
      <c r="AD9">
        <v>0</v>
      </c>
    </row>
    <row r="10" spans="1:30" x14ac:dyDescent="0.3">
      <c r="A10" s="53">
        <v>45909.571112488426</v>
      </c>
      <c r="B10" s="23" t="s">
        <v>41</v>
      </c>
      <c r="C10" s="70">
        <f>TA_NQY!C10+1</f>
        <v>231</v>
      </c>
      <c r="D10" s="72" t="s">
        <v>2088</v>
      </c>
      <c r="E10" s="70">
        <f t="shared" si="0"/>
        <v>80.999999999993477</v>
      </c>
      <c r="F10" s="70">
        <f t="shared" si="0"/>
        <v>131.00000000000449</v>
      </c>
      <c r="G10" s="70">
        <f t="shared" si="2"/>
        <v>6</v>
      </c>
      <c r="H10" s="70">
        <f t="shared" si="1"/>
        <v>13</v>
      </c>
      <c r="I10" t="s">
        <v>2130</v>
      </c>
      <c r="J10" t="s">
        <v>2131</v>
      </c>
      <c r="K10" t="s">
        <v>2132</v>
      </c>
      <c r="L10">
        <v>0</v>
      </c>
      <c r="M10">
        <v>0</v>
      </c>
      <c r="N10">
        <v>0</v>
      </c>
      <c r="O10">
        <v>0</v>
      </c>
      <c r="P10">
        <v>10</v>
      </c>
      <c r="Q10">
        <v>10</v>
      </c>
      <c r="R10">
        <v>0</v>
      </c>
      <c r="S10">
        <v>10</v>
      </c>
      <c r="T10">
        <v>10</v>
      </c>
      <c r="U10">
        <v>10</v>
      </c>
      <c r="V10">
        <v>0</v>
      </c>
      <c r="W10">
        <v>0</v>
      </c>
      <c r="X10">
        <v>0</v>
      </c>
      <c r="Y10">
        <v>0</v>
      </c>
      <c r="Z10">
        <v>10</v>
      </c>
      <c r="AA10">
        <v>0</v>
      </c>
      <c r="AB10">
        <v>0</v>
      </c>
      <c r="AC10">
        <v>0</v>
      </c>
      <c r="AD10">
        <v>0</v>
      </c>
    </row>
    <row r="11" spans="1:30" x14ac:dyDescent="0.3">
      <c r="A11" s="53">
        <v>45909.613403391202</v>
      </c>
      <c r="B11" s="23" t="s">
        <v>42</v>
      </c>
      <c r="C11" s="70">
        <f>TA_NQY!C11+1</f>
        <v>242</v>
      </c>
      <c r="D11" s="72" t="s">
        <v>2088</v>
      </c>
      <c r="E11" s="70">
        <f t="shared" si="0"/>
        <v>42.000000000006565</v>
      </c>
      <c r="F11" s="70">
        <f t="shared" si="0"/>
        <v>127.99999999999443</v>
      </c>
      <c r="G11" s="70">
        <f t="shared" si="2"/>
        <v>8</v>
      </c>
      <c r="H11" s="70">
        <f t="shared" si="1"/>
        <v>11</v>
      </c>
      <c r="I11" t="s">
        <v>2136</v>
      </c>
      <c r="J11" t="s">
        <v>2137</v>
      </c>
      <c r="K11" t="s">
        <v>2138</v>
      </c>
      <c r="L11">
        <v>9</v>
      </c>
      <c r="M11">
        <v>1</v>
      </c>
      <c r="N11">
        <v>0</v>
      </c>
      <c r="O11">
        <v>0</v>
      </c>
      <c r="P11">
        <v>8</v>
      </c>
      <c r="Q11">
        <v>8</v>
      </c>
      <c r="R11">
        <v>0</v>
      </c>
      <c r="S11">
        <v>8</v>
      </c>
      <c r="T11">
        <v>8</v>
      </c>
      <c r="U11">
        <v>9</v>
      </c>
      <c r="V11">
        <v>0</v>
      </c>
      <c r="W11">
        <v>0</v>
      </c>
      <c r="X11">
        <v>0</v>
      </c>
      <c r="Y11">
        <v>0</v>
      </c>
      <c r="Z11">
        <v>8</v>
      </c>
      <c r="AA11">
        <v>0</v>
      </c>
      <c r="AB11">
        <v>0</v>
      </c>
      <c r="AC11">
        <v>7</v>
      </c>
      <c r="AD11">
        <v>0</v>
      </c>
    </row>
    <row r="12" spans="1:30" x14ac:dyDescent="0.3">
      <c r="A12" s="53">
        <v>45909.662530416666</v>
      </c>
      <c r="B12" s="23" t="s">
        <v>44</v>
      </c>
      <c r="C12" s="70">
        <f>TA_NQY!C12+1</f>
        <v>249</v>
      </c>
      <c r="D12" s="72" t="s">
        <v>2088</v>
      </c>
      <c r="E12" s="70">
        <f t="shared" si="0"/>
        <v>55.0000000000054</v>
      </c>
      <c r="F12" s="70">
        <f t="shared" si="0"/>
        <v>114.99999999999559</v>
      </c>
      <c r="G12" s="70">
        <f t="shared" si="2"/>
        <v>6</v>
      </c>
      <c r="H12" s="70">
        <f t="shared" si="1"/>
        <v>13</v>
      </c>
      <c r="I12" t="s">
        <v>6331</v>
      </c>
      <c r="J12" t="s">
        <v>6332</v>
      </c>
      <c r="K12" t="s">
        <v>6333</v>
      </c>
      <c r="L12">
        <v>0</v>
      </c>
      <c r="M12">
        <v>0</v>
      </c>
      <c r="N12">
        <v>0</v>
      </c>
      <c r="O12">
        <v>0</v>
      </c>
      <c r="P12">
        <v>10</v>
      </c>
      <c r="Q12">
        <v>10</v>
      </c>
      <c r="R12">
        <v>0</v>
      </c>
      <c r="S12">
        <v>10</v>
      </c>
      <c r="T12">
        <v>10</v>
      </c>
      <c r="U12">
        <v>0</v>
      </c>
      <c r="V12">
        <v>0</v>
      </c>
      <c r="W12">
        <v>0</v>
      </c>
      <c r="X12">
        <v>0</v>
      </c>
      <c r="Y12">
        <v>10</v>
      </c>
      <c r="Z12">
        <v>0</v>
      </c>
      <c r="AA12">
        <v>0</v>
      </c>
      <c r="AB12">
        <v>0</v>
      </c>
      <c r="AC12">
        <v>10</v>
      </c>
      <c r="AD12">
        <v>0</v>
      </c>
    </row>
    <row r="13" spans="1:30" x14ac:dyDescent="0.3">
      <c r="A13" s="53">
        <v>45909.707308969912</v>
      </c>
      <c r="B13" s="23" t="s">
        <v>45</v>
      </c>
      <c r="C13" s="70">
        <f>TA_NQY!C13+1</f>
        <v>260</v>
      </c>
      <c r="D13" s="72" t="s">
        <v>2088</v>
      </c>
      <c r="E13" s="70">
        <f t="shared" si="0"/>
        <v>21.000000000003283</v>
      </c>
      <c r="F13" s="70">
        <f t="shared" si="0"/>
        <v>152.99999999999514</v>
      </c>
      <c r="G13" s="70">
        <f t="shared" si="2"/>
        <v>7</v>
      </c>
      <c r="H13" s="70">
        <f t="shared" si="1"/>
        <v>12</v>
      </c>
      <c r="I13" t="s">
        <v>6343</v>
      </c>
      <c r="J13" t="s">
        <v>6344</v>
      </c>
      <c r="K13" t="s">
        <v>6345</v>
      </c>
      <c r="L13">
        <v>10</v>
      </c>
      <c r="M13">
        <v>10</v>
      </c>
      <c r="N13">
        <v>0</v>
      </c>
      <c r="O13">
        <v>0</v>
      </c>
      <c r="P13">
        <v>10</v>
      </c>
      <c r="Q13">
        <v>10</v>
      </c>
      <c r="R13">
        <v>0</v>
      </c>
      <c r="S13">
        <v>0</v>
      </c>
      <c r="T13">
        <v>0</v>
      </c>
      <c r="U13">
        <v>0</v>
      </c>
      <c r="V13">
        <v>0</v>
      </c>
      <c r="W13">
        <v>0</v>
      </c>
      <c r="X13">
        <v>0</v>
      </c>
      <c r="Y13">
        <v>10</v>
      </c>
      <c r="Z13">
        <v>10</v>
      </c>
      <c r="AA13">
        <v>0</v>
      </c>
      <c r="AB13">
        <v>0</v>
      </c>
      <c r="AC13">
        <v>10</v>
      </c>
      <c r="AD13">
        <v>0</v>
      </c>
    </row>
    <row r="14" spans="1:30" x14ac:dyDescent="0.3">
      <c r="A14" s="53">
        <v>45909.751557291667</v>
      </c>
      <c r="B14" s="23" t="s">
        <v>46</v>
      </c>
      <c r="C14" s="70">
        <f>TA_NQY!C14+1</f>
        <v>267</v>
      </c>
      <c r="D14" s="72" t="s">
        <v>2088</v>
      </c>
      <c r="E14" s="70">
        <f t="shared" si="0"/>
        <v>111.99999999999513</v>
      </c>
      <c r="F14" s="70">
        <f t="shared" si="0"/>
        <v>153.00000000000472</v>
      </c>
      <c r="G14" s="70">
        <f t="shared" si="2"/>
        <v>9</v>
      </c>
      <c r="H14" s="70">
        <f t="shared" si="1"/>
        <v>10</v>
      </c>
      <c r="I14" t="s">
        <v>6355</v>
      </c>
      <c r="J14" t="s">
        <v>6356</v>
      </c>
      <c r="K14" t="s">
        <v>6357</v>
      </c>
      <c r="L14">
        <v>10</v>
      </c>
      <c r="M14">
        <v>10</v>
      </c>
      <c r="N14">
        <v>10</v>
      </c>
      <c r="O14">
        <v>0</v>
      </c>
      <c r="P14">
        <v>10</v>
      </c>
      <c r="Q14">
        <v>10</v>
      </c>
      <c r="R14">
        <v>0</v>
      </c>
      <c r="S14">
        <v>10</v>
      </c>
      <c r="T14">
        <v>10</v>
      </c>
      <c r="U14">
        <v>10</v>
      </c>
      <c r="V14">
        <v>0</v>
      </c>
      <c r="W14">
        <v>0</v>
      </c>
      <c r="X14">
        <v>0</v>
      </c>
      <c r="Y14">
        <v>1</v>
      </c>
      <c r="Z14">
        <v>10</v>
      </c>
      <c r="AA14">
        <v>0</v>
      </c>
      <c r="AB14">
        <v>0</v>
      </c>
      <c r="AC14">
        <v>1</v>
      </c>
      <c r="AD14">
        <v>0</v>
      </c>
    </row>
    <row r="15" spans="1:30" x14ac:dyDescent="0.3">
      <c r="A15" s="53">
        <v>45910.584917060187</v>
      </c>
      <c r="B15" s="23" t="s">
        <v>47</v>
      </c>
      <c r="C15" s="70">
        <f>TA_NQY!C15+1</f>
        <v>281</v>
      </c>
      <c r="D15" s="72" t="s">
        <v>2088</v>
      </c>
      <c r="E15" s="70">
        <f t="shared" si="0"/>
        <v>66.000000000000725</v>
      </c>
      <c r="F15" s="70">
        <f t="shared" si="0"/>
        <v>119.99999999999957</v>
      </c>
      <c r="G15" s="70">
        <f t="shared" si="2"/>
        <v>6</v>
      </c>
      <c r="H15" s="70">
        <f t="shared" si="1"/>
        <v>13</v>
      </c>
      <c r="I15" t="s">
        <v>6367</v>
      </c>
      <c r="J15" t="s">
        <v>6368</v>
      </c>
      <c r="K15" t="s">
        <v>6369</v>
      </c>
      <c r="L15">
        <v>9</v>
      </c>
      <c r="M15">
        <v>4</v>
      </c>
      <c r="N15">
        <v>3</v>
      </c>
      <c r="O15">
        <v>0</v>
      </c>
      <c r="P15">
        <v>9</v>
      </c>
      <c r="Q15">
        <v>7</v>
      </c>
      <c r="R15">
        <v>0</v>
      </c>
      <c r="S15">
        <v>7</v>
      </c>
      <c r="T15">
        <v>1</v>
      </c>
      <c r="U15">
        <v>10</v>
      </c>
      <c r="V15">
        <v>0</v>
      </c>
      <c r="W15">
        <v>0</v>
      </c>
      <c r="X15">
        <v>0</v>
      </c>
      <c r="Y15">
        <v>0</v>
      </c>
      <c r="Z15">
        <v>8</v>
      </c>
      <c r="AA15">
        <v>0</v>
      </c>
      <c r="AB15">
        <v>0</v>
      </c>
      <c r="AC15">
        <v>3</v>
      </c>
      <c r="AD15">
        <v>0</v>
      </c>
    </row>
    <row r="16" spans="1:30" x14ac:dyDescent="0.3">
      <c r="A16" s="53">
        <v>45910.691854594908</v>
      </c>
      <c r="B16" s="23" t="s">
        <v>48</v>
      </c>
      <c r="C16" s="70">
        <f>TA_NQY!C16+1</f>
        <v>291</v>
      </c>
      <c r="D16" s="72" t="s">
        <v>2088</v>
      </c>
      <c r="E16" s="70">
        <f t="shared" si="0"/>
        <v>72.999999999998622</v>
      </c>
      <c r="F16" s="70">
        <f t="shared" si="0"/>
        <v>121.99999999999349</v>
      </c>
      <c r="G16" s="70">
        <f t="shared" si="2"/>
        <v>7</v>
      </c>
      <c r="H16" s="70">
        <f t="shared" si="1"/>
        <v>12</v>
      </c>
      <c r="I16" t="s">
        <v>6385</v>
      </c>
      <c r="J16" t="s">
        <v>6386</v>
      </c>
      <c r="K16" t="s">
        <v>6387</v>
      </c>
      <c r="L16">
        <v>0</v>
      </c>
      <c r="M16">
        <v>10</v>
      </c>
      <c r="N16">
        <v>0</v>
      </c>
      <c r="O16">
        <v>0</v>
      </c>
      <c r="P16">
        <v>10</v>
      </c>
      <c r="Q16">
        <v>0</v>
      </c>
      <c r="R16">
        <v>0</v>
      </c>
      <c r="S16">
        <v>10</v>
      </c>
      <c r="T16">
        <v>0</v>
      </c>
      <c r="U16">
        <v>10</v>
      </c>
      <c r="V16">
        <v>0</v>
      </c>
      <c r="W16">
        <v>0</v>
      </c>
      <c r="X16">
        <v>0</v>
      </c>
      <c r="Y16">
        <v>10</v>
      </c>
      <c r="Z16">
        <v>10</v>
      </c>
      <c r="AA16">
        <v>0</v>
      </c>
      <c r="AB16">
        <v>0</v>
      </c>
      <c r="AC16">
        <v>10</v>
      </c>
      <c r="AD16">
        <v>0</v>
      </c>
    </row>
    <row r="17" spans="1:30" x14ac:dyDescent="0.3">
      <c r="A17" s="53">
        <v>45910.737771979169</v>
      </c>
      <c r="B17" s="23" t="s">
        <v>49</v>
      </c>
      <c r="C17" s="70">
        <f>TA_NQY!C17+1</f>
        <v>298</v>
      </c>
      <c r="D17" s="72" t="s">
        <v>2088</v>
      </c>
      <c r="E17" s="70">
        <f t="shared" si="0"/>
        <v>181.00000000000591</v>
      </c>
      <c r="F17" s="70">
        <f t="shared" si="0"/>
        <v>141.99999999999983</v>
      </c>
      <c r="G17" s="70">
        <f t="shared" si="2"/>
        <v>8</v>
      </c>
      <c r="H17" s="70">
        <f t="shared" si="1"/>
        <v>11</v>
      </c>
      <c r="I17" t="s">
        <v>6397</v>
      </c>
      <c r="J17" t="s">
        <v>6398</v>
      </c>
      <c r="K17" t="s">
        <v>6399</v>
      </c>
      <c r="L17">
        <v>6</v>
      </c>
      <c r="M17">
        <v>6</v>
      </c>
      <c r="N17">
        <v>6</v>
      </c>
      <c r="O17">
        <v>0</v>
      </c>
      <c r="P17">
        <v>6</v>
      </c>
      <c r="Q17">
        <v>6</v>
      </c>
      <c r="R17">
        <v>0</v>
      </c>
      <c r="S17">
        <v>6</v>
      </c>
      <c r="T17">
        <v>4</v>
      </c>
      <c r="U17">
        <v>6</v>
      </c>
      <c r="V17">
        <v>0</v>
      </c>
      <c r="W17">
        <v>0</v>
      </c>
      <c r="X17">
        <v>0</v>
      </c>
      <c r="Y17">
        <v>4</v>
      </c>
      <c r="Z17">
        <v>6</v>
      </c>
      <c r="AA17">
        <v>0</v>
      </c>
      <c r="AB17">
        <v>0</v>
      </c>
      <c r="AC17">
        <v>4</v>
      </c>
      <c r="AD17">
        <v>0</v>
      </c>
    </row>
    <row r="18" spans="1:30" x14ac:dyDescent="0.3">
      <c r="A18" s="53">
        <v>45912.400994479161</v>
      </c>
      <c r="B18" s="23" t="s">
        <v>50</v>
      </c>
      <c r="C18" s="70">
        <f>TA_NQY!C18+1</f>
        <v>310</v>
      </c>
      <c r="D18" s="72" t="s">
        <v>2088</v>
      </c>
      <c r="E18" s="70">
        <f t="shared" si="0"/>
        <v>44.000000000000483</v>
      </c>
      <c r="F18" s="70">
        <f t="shared" si="0"/>
        <v>131.99999999999665</v>
      </c>
      <c r="G18" s="70">
        <f t="shared" si="2"/>
        <v>7</v>
      </c>
      <c r="H18" s="70">
        <f t="shared" si="1"/>
        <v>12</v>
      </c>
      <c r="I18" t="s">
        <v>6403</v>
      </c>
      <c r="J18" t="s">
        <v>6404</v>
      </c>
      <c r="K18" t="s">
        <v>6405</v>
      </c>
      <c r="L18">
        <v>0</v>
      </c>
      <c r="M18">
        <v>10</v>
      </c>
      <c r="N18">
        <v>0</v>
      </c>
      <c r="O18">
        <v>0</v>
      </c>
      <c r="P18">
        <v>10</v>
      </c>
      <c r="Q18">
        <v>0</v>
      </c>
      <c r="R18">
        <v>0</v>
      </c>
      <c r="S18">
        <v>10</v>
      </c>
      <c r="T18">
        <v>10</v>
      </c>
      <c r="U18">
        <v>0</v>
      </c>
      <c r="V18">
        <v>0</v>
      </c>
      <c r="W18">
        <v>0</v>
      </c>
      <c r="X18">
        <v>0</v>
      </c>
      <c r="Y18">
        <v>10</v>
      </c>
      <c r="Z18">
        <v>10</v>
      </c>
      <c r="AA18">
        <v>0</v>
      </c>
      <c r="AB18">
        <v>0</v>
      </c>
      <c r="AC18">
        <v>10</v>
      </c>
      <c r="AD18">
        <v>0</v>
      </c>
    </row>
    <row r="19" spans="1:30" x14ac:dyDescent="0.3">
      <c r="A19" s="53">
        <v>45912.446164340276</v>
      </c>
      <c r="B19" s="23" t="s">
        <v>51</v>
      </c>
      <c r="C19" s="70">
        <f>TA_NQY!C19+1</f>
        <v>317</v>
      </c>
      <c r="D19" s="72" t="s">
        <v>2088</v>
      </c>
      <c r="E19" s="70">
        <f t="shared" ref="E19:E34" si="3">(J19-I19)*86400</f>
        <v>52.000000000000135</v>
      </c>
      <c r="F19" s="70">
        <f t="shared" ref="F19:F34" si="4">(K19-J19)*86400</f>
        <v>195.99999999999866</v>
      </c>
      <c r="G19" s="70">
        <f t="shared" ref="G19:G34" si="5">COUNTIF(L19:AD19,"&gt;5")</f>
        <v>11</v>
      </c>
      <c r="H19" s="70">
        <f t="shared" ref="H19:H34" si="6">COUNTIF(L19:AD19,"&lt;5")</f>
        <v>8</v>
      </c>
      <c r="I19" t="s">
        <v>6415</v>
      </c>
      <c r="J19" t="s">
        <v>6416</v>
      </c>
      <c r="K19" t="s">
        <v>6417</v>
      </c>
      <c r="L19">
        <v>10</v>
      </c>
      <c r="M19">
        <v>10</v>
      </c>
      <c r="N19">
        <v>10</v>
      </c>
      <c r="O19">
        <v>0</v>
      </c>
      <c r="P19">
        <v>10</v>
      </c>
      <c r="Q19">
        <v>10</v>
      </c>
      <c r="R19">
        <v>0</v>
      </c>
      <c r="S19">
        <v>10</v>
      </c>
      <c r="T19">
        <v>10</v>
      </c>
      <c r="U19">
        <v>10</v>
      </c>
      <c r="V19">
        <v>0</v>
      </c>
      <c r="W19">
        <v>0</v>
      </c>
      <c r="X19">
        <v>0</v>
      </c>
      <c r="Y19">
        <v>10</v>
      </c>
      <c r="Z19">
        <v>10</v>
      </c>
      <c r="AA19">
        <v>0</v>
      </c>
      <c r="AB19">
        <v>0</v>
      </c>
      <c r="AC19">
        <v>10</v>
      </c>
      <c r="AD19">
        <v>0</v>
      </c>
    </row>
    <row r="20" spans="1:30" x14ac:dyDescent="0.3">
      <c r="A20" s="53">
        <v>45912.493647233801</v>
      </c>
      <c r="B20" s="23" t="s">
        <v>52</v>
      </c>
      <c r="C20" s="70">
        <f>TA_NQY!C20+1</f>
        <v>329</v>
      </c>
      <c r="D20" s="72" t="s">
        <v>2088</v>
      </c>
      <c r="E20" s="70">
        <f t="shared" si="3"/>
        <v>35.999999999996035</v>
      </c>
      <c r="F20" s="70">
        <f t="shared" si="4"/>
        <v>174.00000000000801</v>
      </c>
      <c r="G20" s="70">
        <f t="shared" si="5"/>
        <v>10</v>
      </c>
      <c r="H20" s="70">
        <f t="shared" si="6"/>
        <v>9</v>
      </c>
      <c r="I20" t="s">
        <v>6426</v>
      </c>
      <c r="J20" t="s">
        <v>6427</v>
      </c>
      <c r="K20" t="s">
        <v>6428</v>
      </c>
      <c r="L20">
        <v>8</v>
      </c>
      <c r="M20">
        <v>8</v>
      </c>
      <c r="N20">
        <v>8</v>
      </c>
      <c r="O20">
        <v>0</v>
      </c>
      <c r="P20">
        <v>10</v>
      </c>
      <c r="Q20">
        <v>10</v>
      </c>
      <c r="R20">
        <v>0</v>
      </c>
      <c r="S20">
        <v>9</v>
      </c>
      <c r="T20">
        <v>10</v>
      </c>
      <c r="U20">
        <v>0</v>
      </c>
      <c r="V20">
        <v>0</v>
      </c>
      <c r="W20">
        <v>0</v>
      </c>
      <c r="X20">
        <v>0</v>
      </c>
      <c r="Y20">
        <v>9</v>
      </c>
      <c r="Z20">
        <v>10</v>
      </c>
      <c r="AA20">
        <v>0</v>
      </c>
      <c r="AB20">
        <v>0</v>
      </c>
      <c r="AC20">
        <v>8</v>
      </c>
      <c r="AD20">
        <v>0</v>
      </c>
    </row>
    <row r="21" spans="1:30" x14ac:dyDescent="0.3">
      <c r="A21" s="53">
        <v>45912.578483981481</v>
      </c>
      <c r="B21" s="23" t="s">
        <v>53</v>
      </c>
      <c r="C21" s="70">
        <f>TA_NQY!C21+1</f>
        <v>337</v>
      </c>
      <c r="D21" s="72" t="s">
        <v>2088</v>
      </c>
      <c r="E21" s="70">
        <f t="shared" si="3"/>
        <v>75.999999999999091</v>
      </c>
      <c r="F21" s="70">
        <f t="shared" si="4"/>
        <v>208.00000000000054</v>
      </c>
      <c r="G21" s="70">
        <f t="shared" si="5"/>
        <v>11</v>
      </c>
      <c r="H21" s="70">
        <f t="shared" si="6"/>
        <v>8</v>
      </c>
      <c r="I21" t="s">
        <v>6438</v>
      </c>
      <c r="J21" t="s">
        <v>6439</v>
      </c>
      <c r="K21" t="s">
        <v>6440</v>
      </c>
      <c r="L21">
        <v>10</v>
      </c>
      <c r="M21">
        <v>10</v>
      </c>
      <c r="N21">
        <v>10</v>
      </c>
      <c r="O21">
        <v>0</v>
      </c>
      <c r="P21">
        <v>10</v>
      </c>
      <c r="Q21">
        <v>10</v>
      </c>
      <c r="R21">
        <v>0</v>
      </c>
      <c r="S21">
        <v>10</v>
      </c>
      <c r="T21">
        <v>10</v>
      </c>
      <c r="U21">
        <v>10</v>
      </c>
      <c r="V21">
        <v>0</v>
      </c>
      <c r="W21">
        <v>0</v>
      </c>
      <c r="X21">
        <v>0</v>
      </c>
      <c r="Y21">
        <v>10</v>
      </c>
      <c r="Z21">
        <v>10</v>
      </c>
      <c r="AA21">
        <v>0</v>
      </c>
      <c r="AB21">
        <v>0</v>
      </c>
      <c r="AC21">
        <v>10</v>
      </c>
      <c r="AD21">
        <v>0</v>
      </c>
    </row>
    <row r="22" spans="1:30" x14ac:dyDescent="0.3">
      <c r="A22" s="53">
        <v>45912.630338414354</v>
      </c>
      <c r="B22" s="23" t="s">
        <v>66</v>
      </c>
      <c r="C22" s="70">
        <f>TA_NQY!C22+1</f>
        <v>348</v>
      </c>
      <c r="D22" s="72" t="s">
        <v>2088</v>
      </c>
      <c r="E22" s="70">
        <f t="shared" si="3"/>
        <v>22.000000000000242</v>
      </c>
      <c r="F22" s="70">
        <f t="shared" si="4"/>
        <v>189.99999999999773</v>
      </c>
      <c r="G22" s="70">
        <f t="shared" si="5"/>
        <v>11</v>
      </c>
      <c r="H22" s="70">
        <f t="shared" si="6"/>
        <v>8</v>
      </c>
      <c r="I22" t="s">
        <v>6450</v>
      </c>
      <c r="J22" t="s">
        <v>6451</v>
      </c>
      <c r="K22" t="s">
        <v>6452</v>
      </c>
      <c r="L22">
        <v>10</v>
      </c>
      <c r="M22">
        <v>10</v>
      </c>
      <c r="N22">
        <v>10</v>
      </c>
      <c r="O22">
        <v>0</v>
      </c>
      <c r="P22">
        <v>10</v>
      </c>
      <c r="Q22">
        <v>10</v>
      </c>
      <c r="R22">
        <v>0</v>
      </c>
      <c r="S22">
        <v>10</v>
      </c>
      <c r="T22">
        <v>10</v>
      </c>
      <c r="U22">
        <v>10</v>
      </c>
      <c r="V22">
        <v>0</v>
      </c>
      <c r="W22">
        <v>0</v>
      </c>
      <c r="X22">
        <v>0</v>
      </c>
      <c r="Y22">
        <v>10</v>
      </c>
      <c r="Z22">
        <v>10</v>
      </c>
      <c r="AA22">
        <v>0</v>
      </c>
      <c r="AB22">
        <v>0</v>
      </c>
      <c r="AC22">
        <v>10</v>
      </c>
      <c r="AD22">
        <v>0</v>
      </c>
    </row>
    <row r="23" spans="1:30" x14ac:dyDescent="0.3">
      <c r="A23" s="53">
        <v>45912.669901064815</v>
      </c>
      <c r="B23" s="23" t="s">
        <v>54</v>
      </c>
      <c r="C23" s="70">
        <f>TA_NQY!C23+1</f>
        <v>355</v>
      </c>
      <c r="D23" s="72" t="s">
        <v>2088</v>
      </c>
      <c r="E23" s="70">
        <f t="shared" si="3"/>
        <v>88.000000000000966</v>
      </c>
      <c r="F23" s="70">
        <f t="shared" si="4"/>
        <v>149.99999999999466</v>
      </c>
      <c r="G23" s="70">
        <f t="shared" si="5"/>
        <v>9</v>
      </c>
      <c r="H23" s="70">
        <f t="shared" si="6"/>
        <v>10</v>
      </c>
      <c r="I23" t="s">
        <v>6462</v>
      </c>
      <c r="J23" t="s">
        <v>6463</v>
      </c>
      <c r="K23" t="s">
        <v>6464</v>
      </c>
      <c r="L23">
        <v>10</v>
      </c>
      <c r="M23">
        <v>10</v>
      </c>
      <c r="N23">
        <v>10</v>
      </c>
      <c r="O23">
        <v>0</v>
      </c>
      <c r="P23">
        <v>10</v>
      </c>
      <c r="Q23">
        <v>10</v>
      </c>
      <c r="R23">
        <v>0</v>
      </c>
      <c r="S23">
        <v>10</v>
      </c>
      <c r="T23">
        <v>4</v>
      </c>
      <c r="U23">
        <v>10</v>
      </c>
      <c r="V23">
        <v>0</v>
      </c>
      <c r="W23">
        <v>0</v>
      </c>
      <c r="X23">
        <v>0</v>
      </c>
      <c r="Y23">
        <v>10</v>
      </c>
      <c r="Z23">
        <v>10</v>
      </c>
      <c r="AA23">
        <v>0</v>
      </c>
      <c r="AB23">
        <v>0</v>
      </c>
      <c r="AC23">
        <v>4</v>
      </c>
      <c r="AD23">
        <v>0</v>
      </c>
    </row>
    <row r="24" spans="1:30" x14ac:dyDescent="0.3">
      <c r="A24" s="53">
        <v>45912.719724236114</v>
      </c>
      <c r="B24" s="23" t="s">
        <v>55</v>
      </c>
      <c r="C24" s="70">
        <f>TA_NQY!C24+1</f>
        <v>366</v>
      </c>
      <c r="D24" s="72" t="s">
        <v>2088</v>
      </c>
      <c r="E24" s="70">
        <f t="shared" si="3"/>
        <v>18.999999999999773</v>
      </c>
      <c r="F24" s="70">
        <f t="shared" si="4"/>
        <v>141.00000000000284</v>
      </c>
      <c r="G24" s="70">
        <f t="shared" si="5"/>
        <v>8</v>
      </c>
      <c r="H24" s="70">
        <f t="shared" si="6"/>
        <v>11</v>
      </c>
      <c r="I24" t="s">
        <v>6474</v>
      </c>
      <c r="J24" t="s">
        <v>6475</v>
      </c>
      <c r="K24" t="s">
        <v>6476</v>
      </c>
      <c r="L24">
        <v>0</v>
      </c>
      <c r="M24">
        <v>0</v>
      </c>
      <c r="N24">
        <v>9</v>
      </c>
      <c r="O24">
        <v>0</v>
      </c>
      <c r="P24">
        <v>0</v>
      </c>
      <c r="Q24">
        <v>10</v>
      </c>
      <c r="R24">
        <v>0</v>
      </c>
      <c r="S24">
        <v>10</v>
      </c>
      <c r="T24">
        <v>10</v>
      </c>
      <c r="U24">
        <v>10</v>
      </c>
      <c r="V24">
        <v>0</v>
      </c>
      <c r="W24">
        <v>0</v>
      </c>
      <c r="X24">
        <v>0</v>
      </c>
      <c r="Y24">
        <v>10</v>
      </c>
      <c r="Z24">
        <v>10</v>
      </c>
      <c r="AA24">
        <v>0</v>
      </c>
      <c r="AB24">
        <v>0</v>
      </c>
      <c r="AC24">
        <v>10</v>
      </c>
      <c r="AD24">
        <v>0</v>
      </c>
    </row>
    <row r="25" spans="1:30" x14ac:dyDescent="0.3">
      <c r="A25" s="53">
        <v>45915.492289108792</v>
      </c>
      <c r="B25" s="23" t="s">
        <v>56</v>
      </c>
      <c r="C25" s="70">
        <f>TA_NQY!C25+1</f>
        <v>379</v>
      </c>
      <c r="D25" s="72" t="s">
        <v>2088</v>
      </c>
      <c r="E25" s="70">
        <f t="shared" si="3"/>
        <v>56.999999999999318</v>
      </c>
      <c r="F25" s="70">
        <f t="shared" si="4"/>
        <v>138.99999999999935</v>
      </c>
      <c r="G25" s="70">
        <f t="shared" si="5"/>
        <v>8</v>
      </c>
      <c r="H25" s="70">
        <f t="shared" si="6"/>
        <v>11</v>
      </c>
      <c r="I25" t="s">
        <v>6486</v>
      </c>
      <c r="J25" t="s">
        <v>6487</v>
      </c>
      <c r="K25" t="s">
        <v>6488</v>
      </c>
      <c r="L25">
        <v>10</v>
      </c>
      <c r="M25">
        <v>10</v>
      </c>
      <c r="N25">
        <v>10</v>
      </c>
      <c r="O25">
        <v>0</v>
      </c>
      <c r="P25">
        <v>10</v>
      </c>
      <c r="Q25">
        <v>10</v>
      </c>
      <c r="R25">
        <v>0</v>
      </c>
      <c r="S25">
        <v>10</v>
      </c>
      <c r="T25">
        <v>0</v>
      </c>
      <c r="U25">
        <v>10</v>
      </c>
      <c r="V25">
        <v>0</v>
      </c>
      <c r="W25">
        <v>0</v>
      </c>
      <c r="X25">
        <v>0</v>
      </c>
      <c r="Y25">
        <v>0</v>
      </c>
      <c r="Z25">
        <v>0</v>
      </c>
      <c r="AA25">
        <v>0</v>
      </c>
      <c r="AB25">
        <v>0</v>
      </c>
      <c r="AC25">
        <v>10</v>
      </c>
      <c r="AD25">
        <v>0</v>
      </c>
    </row>
    <row r="26" spans="1:30" x14ac:dyDescent="0.3">
      <c r="A26" s="53">
        <v>45915.572406168983</v>
      </c>
      <c r="B26" s="23" t="s">
        <v>57</v>
      </c>
      <c r="C26" s="70">
        <f>TA_NQY!C26+1</f>
        <v>390</v>
      </c>
      <c r="D26" s="72" t="s">
        <v>2088</v>
      </c>
      <c r="E26" s="70">
        <f t="shared" si="3"/>
        <v>35.999999999996035</v>
      </c>
      <c r="F26" s="70">
        <f t="shared" si="4"/>
        <v>115.00000000000519</v>
      </c>
      <c r="G26" s="70">
        <f t="shared" si="5"/>
        <v>6</v>
      </c>
      <c r="H26" s="70">
        <f t="shared" si="6"/>
        <v>13</v>
      </c>
      <c r="I26" t="s">
        <v>6497</v>
      </c>
      <c r="J26" t="s">
        <v>6498</v>
      </c>
      <c r="K26" t="s">
        <v>6499</v>
      </c>
      <c r="L26">
        <v>9</v>
      </c>
      <c r="M26">
        <v>2</v>
      </c>
      <c r="N26">
        <v>1</v>
      </c>
      <c r="O26">
        <v>0</v>
      </c>
      <c r="P26">
        <v>9</v>
      </c>
      <c r="Q26">
        <v>2</v>
      </c>
      <c r="R26">
        <v>0</v>
      </c>
      <c r="S26">
        <v>10</v>
      </c>
      <c r="T26">
        <v>1</v>
      </c>
      <c r="U26">
        <v>10</v>
      </c>
      <c r="V26">
        <v>0</v>
      </c>
      <c r="W26">
        <v>0</v>
      </c>
      <c r="X26">
        <v>0</v>
      </c>
      <c r="Y26">
        <v>10</v>
      </c>
      <c r="Z26">
        <v>1</v>
      </c>
      <c r="AA26">
        <v>0</v>
      </c>
      <c r="AB26">
        <v>0</v>
      </c>
      <c r="AC26">
        <v>10</v>
      </c>
      <c r="AD26">
        <v>0</v>
      </c>
    </row>
    <row r="27" spans="1:30" x14ac:dyDescent="0.3">
      <c r="A27" s="53">
        <v>45916.480977569445</v>
      </c>
      <c r="B27" s="23" t="s">
        <v>58</v>
      </c>
      <c r="C27" s="70">
        <f>TA_NQY!C27+1</f>
        <v>9</v>
      </c>
      <c r="D27" s="72" t="s">
        <v>2088</v>
      </c>
      <c r="E27" s="70">
        <f t="shared" si="3"/>
        <v>53.00000000000189</v>
      </c>
      <c r="F27" s="70">
        <f t="shared" si="4"/>
        <v>91.000000000001435</v>
      </c>
      <c r="G27" s="70">
        <f t="shared" si="5"/>
        <v>3</v>
      </c>
      <c r="H27" s="70">
        <f t="shared" si="6"/>
        <v>16</v>
      </c>
      <c r="I27" t="s">
        <v>6509</v>
      </c>
      <c r="J27" t="s">
        <v>6510</v>
      </c>
      <c r="K27" t="s">
        <v>6511</v>
      </c>
      <c r="L27">
        <v>0</v>
      </c>
      <c r="M27">
        <v>0</v>
      </c>
      <c r="N27">
        <v>0</v>
      </c>
      <c r="O27">
        <v>0</v>
      </c>
      <c r="P27">
        <v>10</v>
      </c>
      <c r="Q27">
        <v>10</v>
      </c>
      <c r="R27">
        <v>0</v>
      </c>
      <c r="S27">
        <v>0</v>
      </c>
      <c r="T27">
        <v>0</v>
      </c>
      <c r="U27">
        <v>10</v>
      </c>
      <c r="V27">
        <v>0</v>
      </c>
      <c r="W27">
        <v>0</v>
      </c>
      <c r="X27">
        <v>0</v>
      </c>
      <c r="Y27">
        <v>0</v>
      </c>
      <c r="Z27">
        <v>0</v>
      </c>
      <c r="AA27">
        <v>0</v>
      </c>
      <c r="AB27">
        <v>0</v>
      </c>
      <c r="AC27">
        <v>0</v>
      </c>
      <c r="AD27">
        <v>0</v>
      </c>
    </row>
    <row r="28" spans="1:30" x14ac:dyDescent="0.3">
      <c r="A28" s="53">
        <v>45916.565919652778</v>
      </c>
      <c r="B28" s="23" t="s">
        <v>59</v>
      </c>
      <c r="C28" s="70">
        <f>TA_NQY!C28+1</f>
        <v>20</v>
      </c>
      <c r="D28" s="72" t="s">
        <v>2088</v>
      </c>
      <c r="E28" s="70">
        <f t="shared" si="3"/>
        <v>109.99999999999162</v>
      </c>
      <c r="F28" s="70">
        <f t="shared" si="4"/>
        <v>162.00000000000614</v>
      </c>
      <c r="G28" s="70">
        <f t="shared" si="5"/>
        <v>7</v>
      </c>
      <c r="H28" s="70">
        <f t="shared" si="6"/>
        <v>12</v>
      </c>
      <c r="I28" t="s">
        <v>6521</v>
      </c>
      <c r="J28" t="s">
        <v>6522</v>
      </c>
      <c r="K28" t="s">
        <v>6523</v>
      </c>
      <c r="L28">
        <v>10</v>
      </c>
      <c r="M28">
        <v>10</v>
      </c>
      <c r="N28">
        <v>10</v>
      </c>
      <c r="O28">
        <v>0</v>
      </c>
      <c r="P28">
        <v>0</v>
      </c>
      <c r="Q28">
        <v>0</v>
      </c>
      <c r="R28">
        <v>0</v>
      </c>
      <c r="S28">
        <v>10</v>
      </c>
      <c r="T28">
        <v>10</v>
      </c>
      <c r="U28">
        <v>0</v>
      </c>
      <c r="V28">
        <v>0</v>
      </c>
      <c r="W28">
        <v>0</v>
      </c>
      <c r="X28">
        <v>0</v>
      </c>
      <c r="Y28">
        <v>10</v>
      </c>
      <c r="Z28">
        <v>0</v>
      </c>
      <c r="AA28">
        <v>0</v>
      </c>
      <c r="AB28">
        <v>0</v>
      </c>
      <c r="AC28">
        <v>10</v>
      </c>
      <c r="AD28">
        <v>0</v>
      </c>
    </row>
    <row r="29" spans="1:30" x14ac:dyDescent="0.3">
      <c r="A29" s="53">
        <v>45916.622170173607</v>
      </c>
      <c r="B29" s="23" t="s">
        <v>60</v>
      </c>
      <c r="C29" s="70">
        <f>TA_NQY!C29+1</f>
        <v>27</v>
      </c>
      <c r="D29" s="72" t="s">
        <v>2088</v>
      </c>
      <c r="E29" s="70">
        <f t="shared" si="3"/>
        <v>81.00000000000307</v>
      </c>
      <c r="F29" s="70">
        <f t="shared" si="4"/>
        <v>164.00000000000006</v>
      </c>
      <c r="G29" s="70">
        <f t="shared" si="5"/>
        <v>9</v>
      </c>
      <c r="H29" s="70">
        <f t="shared" si="6"/>
        <v>10</v>
      </c>
      <c r="I29" t="s">
        <v>6533</v>
      </c>
      <c r="J29" t="s">
        <v>6534</v>
      </c>
      <c r="K29" t="s">
        <v>6535</v>
      </c>
      <c r="L29">
        <v>0</v>
      </c>
      <c r="M29">
        <v>0</v>
      </c>
      <c r="N29">
        <v>10</v>
      </c>
      <c r="O29">
        <v>0</v>
      </c>
      <c r="P29">
        <v>10</v>
      </c>
      <c r="Q29">
        <v>10</v>
      </c>
      <c r="R29">
        <v>0</v>
      </c>
      <c r="S29">
        <v>10</v>
      </c>
      <c r="T29">
        <v>9</v>
      </c>
      <c r="U29">
        <v>10</v>
      </c>
      <c r="V29">
        <v>0</v>
      </c>
      <c r="W29">
        <v>0</v>
      </c>
      <c r="X29">
        <v>0</v>
      </c>
      <c r="Y29">
        <v>10</v>
      </c>
      <c r="Z29">
        <v>10</v>
      </c>
      <c r="AA29">
        <v>0</v>
      </c>
      <c r="AB29">
        <v>0</v>
      </c>
      <c r="AC29">
        <v>10</v>
      </c>
      <c r="AD29">
        <v>0</v>
      </c>
    </row>
    <row r="30" spans="1:30" x14ac:dyDescent="0.3">
      <c r="A30" s="53">
        <v>45916.736991331018</v>
      </c>
      <c r="B30" s="23" t="s">
        <v>61</v>
      </c>
      <c r="C30" s="70">
        <f>TA_NQY!C30+1</f>
        <v>39</v>
      </c>
      <c r="D30" s="72" t="s">
        <v>2088</v>
      </c>
      <c r="E30" s="70">
        <f t="shared" si="3"/>
        <v>49.000000000004462</v>
      </c>
      <c r="F30" s="70">
        <f t="shared" si="4"/>
        <v>155.99999999999562</v>
      </c>
      <c r="G30" s="70">
        <f t="shared" si="5"/>
        <v>9</v>
      </c>
      <c r="H30" s="70">
        <f t="shared" si="6"/>
        <v>10</v>
      </c>
      <c r="I30" t="s">
        <v>6545</v>
      </c>
      <c r="J30" t="s">
        <v>6546</v>
      </c>
      <c r="K30" t="s">
        <v>6547</v>
      </c>
      <c r="L30">
        <v>10</v>
      </c>
      <c r="M30">
        <v>10</v>
      </c>
      <c r="N30">
        <v>10</v>
      </c>
      <c r="O30">
        <v>0</v>
      </c>
      <c r="P30">
        <v>10</v>
      </c>
      <c r="Q30">
        <v>10</v>
      </c>
      <c r="R30">
        <v>0</v>
      </c>
      <c r="S30">
        <v>10</v>
      </c>
      <c r="T30">
        <v>10</v>
      </c>
      <c r="U30">
        <v>0</v>
      </c>
      <c r="V30">
        <v>0</v>
      </c>
      <c r="W30">
        <v>0</v>
      </c>
      <c r="X30">
        <v>0</v>
      </c>
      <c r="Y30">
        <v>10</v>
      </c>
      <c r="Z30">
        <v>0</v>
      </c>
      <c r="AA30">
        <v>0</v>
      </c>
      <c r="AB30">
        <v>0</v>
      </c>
      <c r="AC30">
        <v>10</v>
      </c>
      <c r="AD30">
        <v>0</v>
      </c>
    </row>
    <row r="31" spans="1:30" x14ac:dyDescent="0.3">
      <c r="A31" s="53">
        <v>45916.796940046297</v>
      </c>
      <c r="B31" s="23" t="s">
        <v>62</v>
      </c>
      <c r="C31" s="70">
        <f>TA_NQY!C31+1</f>
        <v>46</v>
      </c>
      <c r="D31" s="72" t="s">
        <v>2088</v>
      </c>
      <c r="E31" s="70">
        <f t="shared" si="3"/>
        <v>90.000000000004476</v>
      </c>
      <c r="F31" s="70">
        <f t="shared" si="4"/>
        <v>141.99999999999983</v>
      </c>
      <c r="G31" s="70">
        <f t="shared" si="5"/>
        <v>8</v>
      </c>
      <c r="H31" s="70">
        <f t="shared" si="6"/>
        <v>11</v>
      </c>
      <c r="I31" t="s">
        <v>6557</v>
      </c>
      <c r="J31" t="s">
        <v>6558</v>
      </c>
      <c r="K31" t="s">
        <v>6559</v>
      </c>
      <c r="L31">
        <v>9</v>
      </c>
      <c r="M31">
        <v>10</v>
      </c>
      <c r="N31">
        <v>10</v>
      </c>
      <c r="O31">
        <v>0</v>
      </c>
      <c r="P31">
        <v>8</v>
      </c>
      <c r="Q31">
        <v>8</v>
      </c>
      <c r="R31">
        <v>0</v>
      </c>
      <c r="S31">
        <v>10</v>
      </c>
      <c r="T31">
        <v>10</v>
      </c>
      <c r="U31">
        <v>3</v>
      </c>
      <c r="V31">
        <v>0</v>
      </c>
      <c r="W31">
        <v>0</v>
      </c>
      <c r="X31">
        <v>0</v>
      </c>
      <c r="Y31">
        <v>10</v>
      </c>
      <c r="Z31">
        <v>3</v>
      </c>
      <c r="AA31">
        <v>0</v>
      </c>
      <c r="AB31">
        <v>0</v>
      </c>
      <c r="AC31">
        <v>0</v>
      </c>
      <c r="AD31">
        <v>0</v>
      </c>
    </row>
    <row r="32" spans="1:30" x14ac:dyDescent="0.3">
      <c r="A32" s="53">
        <v>45917.607987812502</v>
      </c>
      <c r="B32" s="23" t="s">
        <v>63</v>
      </c>
      <c r="C32" s="70">
        <f>TA_NQY!C32+1</f>
        <v>8</v>
      </c>
      <c r="D32" s="72" t="s">
        <v>2088</v>
      </c>
      <c r="E32" s="70">
        <f t="shared" si="3"/>
        <v>56.999999999999318</v>
      </c>
      <c r="F32" s="70">
        <f t="shared" si="4"/>
        <v>122.00000000000308</v>
      </c>
      <c r="G32" s="70">
        <f t="shared" si="5"/>
        <v>6</v>
      </c>
      <c r="H32" s="70">
        <f t="shared" si="6"/>
        <v>13</v>
      </c>
      <c r="I32" t="s">
        <v>6569</v>
      </c>
      <c r="J32" t="s">
        <v>6570</v>
      </c>
      <c r="K32" t="s">
        <v>6571</v>
      </c>
      <c r="L32">
        <v>10</v>
      </c>
      <c r="M32">
        <v>1</v>
      </c>
      <c r="N32">
        <v>1</v>
      </c>
      <c r="O32">
        <v>0</v>
      </c>
      <c r="P32">
        <v>9</v>
      </c>
      <c r="Q32">
        <v>9</v>
      </c>
      <c r="R32">
        <v>0</v>
      </c>
      <c r="S32">
        <v>8</v>
      </c>
      <c r="T32">
        <v>2</v>
      </c>
      <c r="U32">
        <v>9</v>
      </c>
      <c r="V32">
        <v>0</v>
      </c>
      <c r="W32">
        <v>0</v>
      </c>
      <c r="X32">
        <v>0</v>
      </c>
      <c r="Y32">
        <v>0</v>
      </c>
      <c r="Z32">
        <v>9</v>
      </c>
      <c r="AA32">
        <v>0</v>
      </c>
      <c r="AB32">
        <v>0</v>
      </c>
      <c r="AC32">
        <v>0</v>
      </c>
      <c r="AD32">
        <v>0</v>
      </c>
    </row>
    <row r="33" spans="1:30" x14ac:dyDescent="0.3">
      <c r="A33" s="53">
        <v>45917.730855567133</v>
      </c>
      <c r="B33" s="23" t="s">
        <v>65</v>
      </c>
      <c r="C33" s="70">
        <f>TA_NQY!C33+1</f>
        <v>18</v>
      </c>
      <c r="D33" s="72" t="s">
        <v>2088</v>
      </c>
      <c r="E33" s="70">
        <f t="shared" si="3"/>
        <v>31.000000000001648</v>
      </c>
      <c r="F33" s="70">
        <f t="shared" si="4"/>
        <v>191.99999999999164</v>
      </c>
      <c r="G33" s="70">
        <f t="shared" si="5"/>
        <v>11</v>
      </c>
      <c r="H33" s="70">
        <f t="shared" si="6"/>
        <v>8</v>
      </c>
      <c r="I33" t="s">
        <v>6581</v>
      </c>
      <c r="J33" t="s">
        <v>6582</v>
      </c>
      <c r="K33" t="s">
        <v>6583</v>
      </c>
      <c r="L33">
        <v>10</v>
      </c>
      <c r="M33">
        <v>10</v>
      </c>
      <c r="N33">
        <v>10</v>
      </c>
      <c r="O33">
        <v>0</v>
      </c>
      <c r="P33">
        <v>10</v>
      </c>
      <c r="Q33">
        <v>10</v>
      </c>
      <c r="R33">
        <v>0</v>
      </c>
      <c r="S33">
        <v>10</v>
      </c>
      <c r="T33">
        <v>10</v>
      </c>
      <c r="U33">
        <v>10</v>
      </c>
      <c r="V33">
        <v>0</v>
      </c>
      <c r="W33">
        <v>0</v>
      </c>
      <c r="X33">
        <v>0</v>
      </c>
      <c r="Y33">
        <v>10</v>
      </c>
      <c r="Z33">
        <v>10</v>
      </c>
      <c r="AA33">
        <v>0</v>
      </c>
      <c r="AB33">
        <v>0</v>
      </c>
      <c r="AC33">
        <v>10</v>
      </c>
      <c r="AD33">
        <v>0</v>
      </c>
    </row>
    <row r="34" spans="1:30" x14ac:dyDescent="0.3">
      <c r="A34" s="53">
        <v>45918.561457800926</v>
      </c>
      <c r="B34" s="23" t="s">
        <v>64</v>
      </c>
      <c r="C34" s="70">
        <f>TA_NQY!C34+1</f>
        <v>30</v>
      </c>
      <c r="D34" s="72" t="s">
        <v>2088</v>
      </c>
      <c r="E34" s="70">
        <f t="shared" si="3"/>
        <v>95.999999999995822</v>
      </c>
      <c r="F34" s="70">
        <f t="shared" si="4"/>
        <v>155.00000000000824</v>
      </c>
      <c r="G34" s="70">
        <f t="shared" si="5"/>
        <v>9</v>
      </c>
      <c r="H34" s="70">
        <f t="shared" si="6"/>
        <v>10</v>
      </c>
      <c r="I34" t="s">
        <v>6593</v>
      </c>
      <c r="J34" t="s">
        <v>6594</v>
      </c>
      <c r="K34" t="s">
        <v>6595</v>
      </c>
      <c r="L34">
        <v>10</v>
      </c>
      <c r="M34">
        <v>10</v>
      </c>
      <c r="N34">
        <v>10</v>
      </c>
      <c r="O34">
        <v>0</v>
      </c>
      <c r="P34">
        <v>10</v>
      </c>
      <c r="Q34">
        <v>10</v>
      </c>
      <c r="R34">
        <v>0</v>
      </c>
      <c r="S34">
        <v>10</v>
      </c>
      <c r="T34">
        <v>10</v>
      </c>
      <c r="U34">
        <v>10</v>
      </c>
      <c r="V34">
        <v>0</v>
      </c>
      <c r="W34">
        <v>0</v>
      </c>
      <c r="X34">
        <v>0</v>
      </c>
      <c r="Y34">
        <v>0</v>
      </c>
      <c r="Z34">
        <v>10</v>
      </c>
      <c r="AA34">
        <v>0</v>
      </c>
      <c r="AB34">
        <v>0</v>
      </c>
      <c r="AC34">
        <v>0</v>
      </c>
      <c r="AD34">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700CB-14C6-4DB2-A44F-DE93779B7892}">
  <dimension ref="A2:AD34"/>
  <sheetViews>
    <sheetView zoomScale="85" zoomScaleNormal="85" workbookViewId="0">
      <selection activeCell="E16" sqref="E16"/>
    </sheetView>
  </sheetViews>
  <sheetFormatPr defaultRowHeight="14.4" x14ac:dyDescent="0.3"/>
  <cols>
    <col min="1" max="1" width="17" customWidth="1"/>
    <col min="6" max="6" width="13.6640625" customWidth="1"/>
    <col min="7" max="7" width="11.77734375" customWidth="1"/>
    <col min="8" max="8" width="13.33203125" customWidth="1"/>
    <col min="9" max="10" width="11.6640625" customWidth="1"/>
    <col min="11" max="11" width="16" customWidth="1"/>
    <col min="12" max="12" width="13.109375" customWidth="1"/>
    <col min="13" max="13" width="19.88671875" customWidth="1"/>
    <col min="14" max="14" width="18.88671875" customWidth="1"/>
    <col min="15" max="15" width="18.5546875" customWidth="1"/>
    <col min="16" max="16" width="19.88671875" customWidth="1"/>
    <col min="17" max="17" width="14.6640625" customWidth="1"/>
    <col min="18" max="18" width="22.77734375" customWidth="1"/>
    <col min="19" max="19" width="17.88671875" customWidth="1"/>
    <col min="20" max="20" width="13.88671875" customWidth="1"/>
    <col min="21" max="21" width="23" customWidth="1"/>
    <col min="22" max="22" width="22.77734375" customWidth="1"/>
    <col min="23" max="23" width="15.88671875" customWidth="1"/>
    <col min="24" max="24" width="16.21875" customWidth="1"/>
    <col min="25" max="25" width="18.88671875" customWidth="1"/>
    <col min="26" max="26" width="14.77734375" customWidth="1"/>
    <col min="27" max="27" width="13.21875" customWidth="1"/>
    <col min="28" max="28" width="13.77734375" customWidth="1"/>
    <col min="30" max="30" width="13" customWidth="1"/>
  </cols>
  <sheetData>
    <row r="2" spans="1:30" ht="29.4" thickBot="1" x14ac:dyDescent="0.35">
      <c r="A2" s="54" t="s">
        <v>0</v>
      </c>
      <c r="B2" s="19" t="s">
        <v>1</v>
      </c>
      <c r="E2" s="75" t="s">
        <v>6284</v>
      </c>
      <c r="F2" s="75" t="s">
        <v>6285</v>
      </c>
      <c r="G2" s="75" t="s">
        <v>3171</v>
      </c>
      <c r="H2" s="75" t="s">
        <v>3172</v>
      </c>
      <c r="I2" s="75" t="s">
        <v>2091</v>
      </c>
      <c r="J2" s="75" t="s">
        <v>2092</v>
      </c>
      <c r="K2" s="75" t="s">
        <v>2093</v>
      </c>
      <c r="L2" s="75" t="s">
        <v>2094</v>
      </c>
      <c r="M2" s="75" t="s">
        <v>2095</v>
      </c>
      <c r="N2" s="75" t="s">
        <v>2096</v>
      </c>
      <c r="O2" s="75" t="s">
        <v>2097</v>
      </c>
      <c r="P2" s="75" t="s">
        <v>2098</v>
      </c>
      <c r="Q2" s="75" t="s">
        <v>2099</v>
      </c>
      <c r="R2" s="75" t="s">
        <v>2100</v>
      </c>
      <c r="S2" s="75" t="s">
        <v>2101</v>
      </c>
      <c r="T2" s="75" t="s">
        <v>2102</v>
      </c>
      <c r="U2" s="75" t="s">
        <v>2103</v>
      </c>
      <c r="V2" s="75" t="s">
        <v>2104</v>
      </c>
      <c r="W2" s="75" t="s">
        <v>2105</v>
      </c>
      <c r="X2" s="75" t="s">
        <v>2106</v>
      </c>
      <c r="Y2" s="75" t="s">
        <v>2107</v>
      </c>
      <c r="Z2" s="75" t="s">
        <v>2108</v>
      </c>
      <c r="AA2" s="75" t="s">
        <v>2109</v>
      </c>
      <c r="AB2" s="75" t="s">
        <v>2110</v>
      </c>
      <c r="AC2" s="75" t="s">
        <v>2111</v>
      </c>
      <c r="AD2" s="75" t="s">
        <v>2112</v>
      </c>
    </row>
    <row r="3" spans="1:30" x14ac:dyDescent="0.3">
      <c r="A3" s="49">
        <v>45881.446388668977</v>
      </c>
      <c r="B3" s="50">
        <v>1</v>
      </c>
      <c r="C3" s="70">
        <v>27</v>
      </c>
      <c r="D3" s="74" t="s">
        <v>2089</v>
      </c>
      <c r="E3" s="70">
        <f t="shared" ref="E3:F18" si="0">(J3-I3)*86400</f>
        <v>74.000000000000369</v>
      </c>
      <c r="F3" s="70">
        <f t="shared" si="0"/>
        <v>151.99999999999818</v>
      </c>
      <c r="G3" s="70">
        <f t="shared" ref="G3:G18" si="1">COUNTIF(L3:AD3,"&gt;5")</f>
        <v>5</v>
      </c>
      <c r="H3" s="70">
        <f t="shared" ref="H3:H18" si="2">COUNTIF(L3:AD3,"&lt;5")</f>
        <v>14</v>
      </c>
      <c r="I3" t="s">
        <v>6608</v>
      </c>
      <c r="J3" t="s">
        <v>6609</v>
      </c>
      <c r="K3" t="s">
        <v>6610</v>
      </c>
      <c r="L3">
        <v>0</v>
      </c>
      <c r="M3">
        <v>0</v>
      </c>
      <c r="N3">
        <v>0</v>
      </c>
      <c r="O3">
        <v>0</v>
      </c>
      <c r="P3">
        <v>10</v>
      </c>
      <c r="Q3">
        <v>10</v>
      </c>
      <c r="R3">
        <v>0</v>
      </c>
      <c r="S3">
        <v>10</v>
      </c>
      <c r="T3">
        <v>0</v>
      </c>
      <c r="U3">
        <v>0</v>
      </c>
      <c r="V3">
        <v>0</v>
      </c>
      <c r="W3">
        <v>0</v>
      </c>
      <c r="X3">
        <v>0</v>
      </c>
      <c r="Y3">
        <v>10</v>
      </c>
      <c r="Z3">
        <v>10</v>
      </c>
      <c r="AA3">
        <v>0</v>
      </c>
      <c r="AB3">
        <v>0</v>
      </c>
      <c r="AC3">
        <v>0</v>
      </c>
      <c r="AD3">
        <v>0</v>
      </c>
    </row>
    <row r="4" spans="1:30" x14ac:dyDescent="0.3">
      <c r="A4" s="51">
        <v>45881.617943437501</v>
      </c>
      <c r="B4" s="52">
        <v>2</v>
      </c>
      <c r="C4" s="70">
        <v>68</v>
      </c>
      <c r="D4" s="74" t="s">
        <v>2089</v>
      </c>
      <c r="E4" s="70">
        <f t="shared" si="0"/>
        <v>73.99999999999558</v>
      </c>
      <c r="F4" s="70">
        <f t="shared" si="0"/>
        <v>173.99999999999841</v>
      </c>
      <c r="G4" s="70">
        <f t="shared" si="1"/>
        <v>8</v>
      </c>
      <c r="H4" s="70">
        <f t="shared" si="2"/>
        <v>11</v>
      </c>
      <c r="I4" t="s">
        <v>6620</v>
      </c>
      <c r="J4" t="s">
        <v>6621</v>
      </c>
      <c r="K4" t="s">
        <v>6622</v>
      </c>
      <c r="L4">
        <v>0</v>
      </c>
      <c r="M4">
        <v>10</v>
      </c>
      <c r="N4">
        <v>10</v>
      </c>
      <c r="O4">
        <v>0</v>
      </c>
      <c r="P4">
        <v>10</v>
      </c>
      <c r="Q4">
        <v>0</v>
      </c>
      <c r="R4">
        <v>0</v>
      </c>
      <c r="S4">
        <v>10</v>
      </c>
      <c r="T4">
        <v>10</v>
      </c>
      <c r="U4">
        <v>0</v>
      </c>
      <c r="V4">
        <v>0</v>
      </c>
      <c r="W4">
        <v>0</v>
      </c>
      <c r="X4">
        <v>0</v>
      </c>
      <c r="Y4">
        <v>10</v>
      </c>
      <c r="Z4">
        <v>10</v>
      </c>
      <c r="AA4">
        <v>0</v>
      </c>
      <c r="AB4">
        <v>0</v>
      </c>
      <c r="AC4">
        <v>10</v>
      </c>
      <c r="AD4">
        <v>0</v>
      </c>
    </row>
    <row r="5" spans="1:30" x14ac:dyDescent="0.3">
      <c r="A5" s="51">
        <v>45887.610196423615</v>
      </c>
      <c r="B5" s="52">
        <v>3</v>
      </c>
      <c r="C5" s="70">
        <v>169</v>
      </c>
      <c r="D5" s="74" t="s">
        <v>2089</v>
      </c>
      <c r="E5" s="70">
        <f t="shared" si="0"/>
        <v>110.99999999999817</v>
      </c>
      <c r="F5" s="70">
        <f t="shared" si="0"/>
        <v>128.00000000000404</v>
      </c>
      <c r="G5" s="70">
        <f t="shared" si="1"/>
        <v>7</v>
      </c>
      <c r="H5" s="70">
        <f t="shared" si="2"/>
        <v>12</v>
      </c>
      <c r="I5" t="s">
        <v>6286</v>
      </c>
      <c r="J5" t="s">
        <v>6287</v>
      </c>
      <c r="K5" t="s">
        <v>6288</v>
      </c>
      <c r="L5">
        <v>0</v>
      </c>
      <c r="M5">
        <v>0</v>
      </c>
      <c r="N5">
        <v>0</v>
      </c>
      <c r="O5">
        <v>0</v>
      </c>
      <c r="P5">
        <v>10</v>
      </c>
      <c r="Q5">
        <v>10</v>
      </c>
      <c r="R5">
        <v>0</v>
      </c>
      <c r="S5">
        <v>10</v>
      </c>
      <c r="T5">
        <v>10</v>
      </c>
      <c r="U5">
        <v>0</v>
      </c>
      <c r="V5">
        <v>0</v>
      </c>
      <c r="W5">
        <v>0</v>
      </c>
      <c r="X5">
        <v>0</v>
      </c>
      <c r="Y5">
        <v>10</v>
      </c>
      <c r="Z5">
        <v>10</v>
      </c>
      <c r="AA5">
        <v>0</v>
      </c>
      <c r="AB5">
        <v>0</v>
      </c>
      <c r="AC5">
        <v>10</v>
      </c>
      <c r="AD5">
        <v>0</v>
      </c>
    </row>
    <row r="6" spans="1:30" x14ac:dyDescent="0.3">
      <c r="A6" s="51">
        <v>45887.647473391204</v>
      </c>
      <c r="B6" s="52">
        <v>4</v>
      </c>
      <c r="C6" s="70">
        <v>175</v>
      </c>
      <c r="D6" s="74" t="s">
        <v>2089</v>
      </c>
      <c r="E6" s="70">
        <f t="shared" si="0"/>
        <v>331.00000000000057</v>
      </c>
      <c r="F6" s="70">
        <f t="shared" si="0"/>
        <v>159.99999999999304</v>
      </c>
      <c r="G6" s="70">
        <f t="shared" si="1"/>
        <v>5</v>
      </c>
      <c r="H6" s="70">
        <f t="shared" si="2"/>
        <v>14</v>
      </c>
      <c r="I6" t="s">
        <v>6292</v>
      </c>
      <c r="J6" t="s">
        <v>6293</v>
      </c>
      <c r="K6" t="s">
        <v>6294</v>
      </c>
      <c r="L6">
        <v>0</v>
      </c>
      <c r="M6">
        <v>0</v>
      </c>
      <c r="N6">
        <v>0</v>
      </c>
      <c r="O6">
        <v>0</v>
      </c>
      <c r="P6">
        <v>10</v>
      </c>
      <c r="Q6">
        <v>10</v>
      </c>
      <c r="R6">
        <v>0</v>
      </c>
      <c r="S6">
        <v>10</v>
      </c>
      <c r="T6">
        <v>10</v>
      </c>
      <c r="U6">
        <v>0</v>
      </c>
      <c r="V6">
        <v>0</v>
      </c>
      <c r="W6">
        <v>0</v>
      </c>
      <c r="X6">
        <v>0</v>
      </c>
      <c r="Y6">
        <v>0</v>
      </c>
      <c r="Z6">
        <v>10</v>
      </c>
      <c r="AA6">
        <v>0</v>
      </c>
      <c r="AB6">
        <v>0</v>
      </c>
      <c r="AC6">
        <v>0</v>
      </c>
      <c r="AD6">
        <v>0</v>
      </c>
    </row>
    <row r="7" spans="1:30" x14ac:dyDescent="0.3">
      <c r="A7" s="51">
        <v>45889.499309328705</v>
      </c>
      <c r="B7" s="52">
        <v>5</v>
      </c>
      <c r="C7" s="70">
        <v>188</v>
      </c>
      <c r="D7" s="74" t="s">
        <v>2089</v>
      </c>
      <c r="E7" s="70">
        <f t="shared" si="0"/>
        <v>63.999999999997215</v>
      </c>
      <c r="F7" s="70">
        <f t="shared" si="0"/>
        <v>177.00000000000847</v>
      </c>
      <c r="G7" s="70">
        <f t="shared" si="1"/>
        <v>7</v>
      </c>
      <c r="H7" s="70">
        <f t="shared" si="2"/>
        <v>12</v>
      </c>
      <c r="I7" t="s">
        <v>6298</v>
      </c>
      <c r="J7" t="s">
        <v>6299</v>
      </c>
      <c r="K7" t="s">
        <v>6300</v>
      </c>
      <c r="L7">
        <v>0</v>
      </c>
      <c r="M7">
        <v>10</v>
      </c>
      <c r="N7">
        <v>0</v>
      </c>
      <c r="O7">
        <v>0</v>
      </c>
      <c r="P7">
        <v>10</v>
      </c>
      <c r="Q7">
        <v>0</v>
      </c>
      <c r="R7">
        <v>0</v>
      </c>
      <c r="S7">
        <v>10</v>
      </c>
      <c r="T7">
        <v>0</v>
      </c>
      <c r="U7">
        <v>0</v>
      </c>
      <c r="V7">
        <v>0</v>
      </c>
      <c r="W7">
        <v>10</v>
      </c>
      <c r="X7">
        <v>0</v>
      </c>
      <c r="Y7">
        <v>10</v>
      </c>
      <c r="Z7">
        <v>10</v>
      </c>
      <c r="AA7">
        <v>0</v>
      </c>
      <c r="AB7">
        <v>0</v>
      </c>
      <c r="AC7">
        <v>10</v>
      </c>
      <c r="AD7">
        <v>0</v>
      </c>
    </row>
    <row r="8" spans="1:30" x14ac:dyDescent="0.3">
      <c r="A8" s="53">
        <v>45909.444653206017</v>
      </c>
      <c r="B8" s="23" t="s">
        <v>38</v>
      </c>
      <c r="C8" s="70">
        <v>214</v>
      </c>
      <c r="D8" s="74" t="s">
        <v>2089</v>
      </c>
      <c r="E8" s="70">
        <f t="shared" si="0"/>
        <v>74.000000000000369</v>
      </c>
      <c r="F8" s="70">
        <f t="shared" si="0"/>
        <v>359.00000000000176</v>
      </c>
      <c r="G8" s="70">
        <f t="shared" si="1"/>
        <v>10</v>
      </c>
      <c r="H8" s="70">
        <f t="shared" si="2"/>
        <v>9</v>
      </c>
      <c r="I8" t="s">
        <v>6304</v>
      </c>
      <c r="J8" t="s">
        <v>6305</v>
      </c>
      <c r="K8" t="s">
        <v>6306</v>
      </c>
      <c r="L8">
        <v>10</v>
      </c>
      <c r="M8">
        <v>0</v>
      </c>
      <c r="N8">
        <v>10</v>
      </c>
      <c r="O8">
        <v>0</v>
      </c>
      <c r="P8">
        <v>9</v>
      </c>
      <c r="Q8">
        <v>10</v>
      </c>
      <c r="R8">
        <v>0</v>
      </c>
      <c r="S8">
        <v>10</v>
      </c>
      <c r="T8">
        <v>10</v>
      </c>
      <c r="U8">
        <v>10</v>
      </c>
      <c r="V8">
        <v>0</v>
      </c>
      <c r="W8">
        <v>0</v>
      </c>
      <c r="X8">
        <v>0</v>
      </c>
      <c r="Y8">
        <v>10</v>
      </c>
      <c r="Z8">
        <v>10</v>
      </c>
      <c r="AA8">
        <v>0</v>
      </c>
      <c r="AB8">
        <v>0</v>
      </c>
      <c r="AC8">
        <v>10</v>
      </c>
      <c r="AD8">
        <v>0</v>
      </c>
    </row>
    <row r="9" spans="1:30" x14ac:dyDescent="0.3">
      <c r="A9" s="53">
        <v>45909.490350810185</v>
      </c>
      <c r="B9" s="23" t="s">
        <v>40</v>
      </c>
      <c r="C9" s="70">
        <v>221</v>
      </c>
      <c r="D9" s="74" t="s">
        <v>2089</v>
      </c>
      <c r="E9" s="70">
        <f t="shared" si="0"/>
        <v>137.99999999999758</v>
      </c>
      <c r="F9" s="70">
        <f t="shared" si="0"/>
        <v>151.00000000000122</v>
      </c>
      <c r="G9" s="70">
        <f t="shared" si="1"/>
        <v>10</v>
      </c>
      <c r="H9" s="70">
        <f t="shared" si="2"/>
        <v>9</v>
      </c>
      <c r="I9" t="s">
        <v>6310</v>
      </c>
      <c r="J9" t="s">
        <v>6311</v>
      </c>
      <c r="K9" t="s">
        <v>6312</v>
      </c>
      <c r="L9">
        <v>8</v>
      </c>
      <c r="M9">
        <v>9</v>
      </c>
      <c r="N9">
        <v>9</v>
      </c>
      <c r="O9">
        <v>0</v>
      </c>
      <c r="P9">
        <v>8</v>
      </c>
      <c r="Q9">
        <v>10</v>
      </c>
      <c r="R9">
        <v>0</v>
      </c>
      <c r="S9">
        <v>9</v>
      </c>
      <c r="T9">
        <v>8</v>
      </c>
      <c r="U9">
        <v>9</v>
      </c>
      <c r="V9">
        <v>0</v>
      </c>
      <c r="W9">
        <v>0</v>
      </c>
      <c r="X9">
        <v>0</v>
      </c>
      <c r="Y9">
        <v>9</v>
      </c>
      <c r="Z9">
        <v>10</v>
      </c>
      <c r="AA9">
        <v>0</v>
      </c>
      <c r="AB9">
        <v>0</v>
      </c>
      <c r="AC9">
        <v>0</v>
      </c>
      <c r="AD9">
        <v>0</v>
      </c>
    </row>
    <row r="10" spans="1:30" x14ac:dyDescent="0.3">
      <c r="A10" s="53">
        <v>45909.571112488426</v>
      </c>
      <c r="B10" s="23" t="s">
        <v>41</v>
      </c>
      <c r="C10" s="70">
        <v>232</v>
      </c>
      <c r="D10" s="74" t="s">
        <v>2089</v>
      </c>
      <c r="E10" s="70">
        <f t="shared" si="0"/>
        <v>70.999999999995111</v>
      </c>
      <c r="F10" s="70">
        <f t="shared" si="0"/>
        <v>163.0000000000031</v>
      </c>
      <c r="G10" s="70">
        <f t="shared" si="1"/>
        <v>6</v>
      </c>
      <c r="H10" s="70">
        <f t="shared" si="2"/>
        <v>13</v>
      </c>
      <c r="I10" t="s">
        <v>6316</v>
      </c>
      <c r="J10" t="s">
        <v>6317</v>
      </c>
      <c r="K10" t="s">
        <v>6318</v>
      </c>
      <c r="L10">
        <v>0</v>
      </c>
      <c r="M10">
        <v>0</v>
      </c>
      <c r="N10">
        <v>0</v>
      </c>
      <c r="O10">
        <v>0</v>
      </c>
      <c r="P10">
        <v>10</v>
      </c>
      <c r="Q10">
        <v>10</v>
      </c>
      <c r="R10">
        <v>0</v>
      </c>
      <c r="S10">
        <v>10</v>
      </c>
      <c r="T10">
        <v>10</v>
      </c>
      <c r="U10">
        <v>10</v>
      </c>
      <c r="V10">
        <v>0</v>
      </c>
      <c r="W10">
        <v>0</v>
      </c>
      <c r="X10">
        <v>0</v>
      </c>
      <c r="Y10">
        <v>0</v>
      </c>
      <c r="Z10">
        <v>10</v>
      </c>
      <c r="AA10">
        <v>0</v>
      </c>
      <c r="AB10">
        <v>0</v>
      </c>
      <c r="AC10">
        <v>0</v>
      </c>
      <c r="AD10">
        <v>0</v>
      </c>
    </row>
    <row r="11" spans="1:30" x14ac:dyDescent="0.3">
      <c r="A11" s="53">
        <v>45909.613403391202</v>
      </c>
      <c r="B11" s="23" t="s">
        <v>42</v>
      </c>
      <c r="C11" s="70">
        <v>239</v>
      </c>
      <c r="D11" s="74" t="s">
        <v>2089</v>
      </c>
      <c r="E11" s="70">
        <f t="shared" si="0"/>
        <v>96.999999999992781</v>
      </c>
      <c r="F11" s="70">
        <f t="shared" si="0"/>
        <v>188.00000000000381</v>
      </c>
      <c r="G11" s="70">
        <f t="shared" si="1"/>
        <v>11</v>
      </c>
      <c r="H11" s="70">
        <f t="shared" si="2"/>
        <v>8</v>
      </c>
      <c r="I11" t="s">
        <v>6322</v>
      </c>
      <c r="J11" t="s">
        <v>6323</v>
      </c>
      <c r="K11" t="s">
        <v>6324</v>
      </c>
      <c r="L11">
        <v>9</v>
      </c>
      <c r="M11">
        <v>9</v>
      </c>
      <c r="N11">
        <v>9</v>
      </c>
      <c r="O11">
        <v>0</v>
      </c>
      <c r="P11">
        <v>10</v>
      </c>
      <c r="Q11">
        <v>7</v>
      </c>
      <c r="R11">
        <v>0</v>
      </c>
      <c r="S11">
        <v>9</v>
      </c>
      <c r="T11">
        <v>10</v>
      </c>
      <c r="U11">
        <v>9</v>
      </c>
      <c r="V11">
        <v>0</v>
      </c>
      <c r="W11">
        <v>0</v>
      </c>
      <c r="X11">
        <v>0</v>
      </c>
      <c r="Y11">
        <v>9</v>
      </c>
      <c r="Z11">
        <v>8</v>
      </c>
      <c r="AA11">
        <v>0</v>
      </c>
      <c r="AB11">
        <v>0</v>
      </c>
      <c r="AC11">
        <v>9</v>
      </c>
      <c r="AD11">
        <v>0</v>
      </c>
    </row>
    <row r="12" spans="1:30" x14ac:dyDescent="0.3">
      <c r="A12" s="53">
        <v>45909.662530416666</v>
      </c>
      <c r="B12" s="23" t="s">
        <v>44</v>
      </c>
      <c r="C12">
        <v>250</v>
      </c>
      <c r="D12" s="74" t="s">
        <v>2089</v>
      </c>
      <c r="E12" s="70">
        <f t="shared" si="0"/>
        <v>66.000000000000725</v>
      </c>
      <c r="F12" s="70">
        <f t="shared" si="0"/>
        <v>343.00000000000244</v>
      </c>
      <c r="G12" s="70">
        <f t="shared" si="1"/>
        <v>9</v>
      </c>
      <c r="H12" s="70">
        <f t="shared" si="2"/>
        <v>10</v>
      </c>
      <c r="I12" t="s">
        <v>6334</v>
      </c>
      <c r="J12" t="s">
        <v>6335</v>
      </c>
      <c r="K12" t="s">
        <v>6336</v>
      </c>
      <c r="L12">
        <v>10</v>
      </c>
      <c r="M12">
        <v>10</v>
      </c>
      <c r="N12">
        <v>10</v>
      </c>
      <c r="O12">
        <v>0</v>
      </c>
      <c r="P12">
        <v>10</v>
      </c>
      <c r="Q12">
        <v>9</v>
      </c>
      <c r="R12">
        <v>0</v>
      </c>
      <c r="S12">
        <v>10</v>
      </c>
      <c r="T12">
        <v>10</v>
      </c>
      <c r="U12">
        <v>10</v>
      </c>
      <c r="V12">
        <v>0</v>
      </c>
      <c r="W12">
        <v>0</v>
      </c>
      <c r="X12">
        <v>0</v>
      </c>
      <c r="Y12">
        <v>0</v>
      </c>
      <c r="Z12">
        <v>10</v>
      </c>
      <c r="AA12">
        <v>0</v>
      </c>
      <c r="AB12">
        <v>0</v>
      </c>
      <c r="AC12">
        <v>0</v>
      </c>
      <c r="AD12">
        <v>0</v>
      </c>
    </row>
    <row r="13" spans="1:30" x14ac:dyDescent="0.3">
      <c r="A13" s="53">
        <v>45909.707308969912</v>
      </c>
      <c r="B13" s="23" t="s">
        <v>45</v>
      </c>
      <c r="C13">
        <v>257</v>
      </c>
      <c r="D13" s="74" t="s">
        <v>2089</v>
      </c>
      <c r="E13" s="70">
        <f t="shared" si="0"/>
        <v>483.99999999999574</v>
      </c>
      <c r="F13" s="70">
        <f t="shared" si="0"/>
        <v>220.00000000000242</v>
      </c>
      <c r="G13" s="70">
        <f t="shared" si="1"/>
        <v>9</v>
      </c>
      <c r="H13" s="70">
        <f t="shared" si="2"/>
        <v>10</v>
      </c>
      <c r="I13" t="s">
        <v>6346</v>
      </c>
      <c r="J13" t="s">
        <v>6347</v>
      </c>
      <c r="K13" t="s">
        <v>6348</v>
      </c>
      <c r="L13">
        <v>10</v>
      </c>
      <c r="M13">
        <v>9</v>
      </c>
      <c r="N13">
        <v>7</v>
      </c>
      <c r="O13">
        <v>0</v>
      </c>
      <c r="P13">
        <v>10</v>
      </c>
      <c r="Q13">
        <v>0</v>
      </c>
      <c r="R13">
        <v>0</v>
      </c>
      <c r="S13">
        <v>10</v>
      </c>
      <c r="T13">
        <v>10</v>
      </c>
      <c r="U13">
        <v>0</v>
      </c>
      <c r="V13">
        <v>0</v>
      </c>
      <c r="W13">
        <v>0</v>
      </c>
      <c r="X13">
        <v>0</v>
      </c>
      <c r="Y13">
        <v>10</v>
      </c>
      <c r="Z13">
        <v>10</v>
      </c>
      <c r="AA13">
        <v>0</v>
      </c>
      <c r="AB13">
        <v>0</v>
      </c>
      <c r="AC13">
        <v>10</v>
      </c>
      <c r="AD13">
        <v>0</v>
      </c>
    </row>
    <row r="14" spans="1:30" x14ac:dyDescent="0.3">
      <c r="A14" s="53">
        <v>45909.751557291667</v>
      </c>
      <c r="B14" s="23" t="s">
        <v>46</v>
      </c>
      <c r="C14">
        <v>268</v>
      </c>
      <c r="D14" s="74" t="s">
        <v>2089</v>
      </c>
      <c r="E14" s="70">
        <f t="shared" si="0"/>
        <v>190.99999999999469</v>
      </c>
      <c r="F14" s="70">
        <f t="shared" si="0"/>
        <v>179.00000000000239</v>
      </c>
      <c r="G14" s="70">
        <f t="shared" si="1"/>
        <v>9</v>
      </c>
      <c r="H14" s="70">
        <f t="shared" si="2"/>
        <v>10</v>
      </c>
      <c r="I14" t="s">
        <v>6358</v>
      </c>
      <c r="J14" t="s">
        <v>6359</v>
      </c>
      <c r="K14" t="s">
        <v>6360</v>
      </c>
      <c r="L14">
        <v>10</v>
      </c>
      <c r="M14">
        <v>10</v>
      </c>
      <c r="N14">
        <v>10</v>
      </c>
      <c r="O14">
        <v>0</v>
      </c>
      <c r="P14">
        <v>10</v>
      </c>
      <c r="Q14">
        <v>10</v>
      </c>
      <c r="R14">
        <v>0</v>
      </c>
      <c r="S14">
        <v>10</v>
      </c>
      <c r="T14">
        <v>10</v>
      </c>
      <c r="U14">
        <v>10</v>
      </c>
      <c r="V14">
        <v>0</v>
      </c>
      <c r="W14">
        <v>0</v>
      </c>
      <c r="X14">
        <v>0</v>
      </c>
      <c r="Y14">
        <v>0</v>
      </c>
      <c r="Z14">
        <v>10</v>
      </c>
      <c r="AA14">
        <v>0</v>
      </c>
      <c r="AB14">
        <v>0</v>
      </c>
      <c r="AC14">
        <v>0</v>
      </c>
      <c r="AD14">
        <v>0</v>
      </c>
    </row>
    <row r="15" spans="1:30" x14ac:dyDescent="0.3">
      <c r="A15" s="53">
        <v>45910.584917060187</v>
      </c>
      <c r="B15" s="23" t="s">
        <v>47</v>
      </c>
      <c r="C15">
        <v>278</v>
      </c>
      <c r="D15" s="74" t="s">
        <v>2089</v>
      </c>
      <c r="E15" s="70">
        <f t="shared" si="0"/>
        <v>526.00000000000227</v>
      </c>
      <c r="F15" s="70">
        <f t="shared" si="0"/>
        <v>189.99999999999773</v>
      </c>
      <c r="G15" s="70">
        <f t="shared" si="1"/>
        <v>10</v>
      </c>
      <c r="H15" s="70">
        <f t="shared" si="2"/>
        <v>9</v>
      </c>
      <c r="I15" t="s">
        <v>6370</v>
      </c>
      <c r="J15" t="s">
        <v>6371</v>
      </c>
      <c r="K15" t="s">
        <v>6372</v>
      </c>
      <c r="L15">
        <v>10</v>
      </c>
      <c r="M15">
        <v>8</v>
      </c>
      <c r="N15">
        <v>10</v>
      </c>
      <c r="O15">
        <v>0</v>
      </c>
      <c r="P15">
        <v>9</v>
      </c>
      <c r="Q15">
        <v>8</v>
      </c>
      <c r="R15">
        <v>0</v>
      </c>
      <c r="S15">
        <v>7</v>
      </c>
      <c r="T15">
        <v>1</v>
      </c>
      <c r="U15">
        <v>10</v>
      </c>
      <c r="V15">
        <v>0</v>
      </c>
      <c r="W15">
        <v>0</v>
      </c>
      <c r="X15">
        <v>0</v>
      </c>
      <c r="Y15">
        <v>8</v>
      </c>
      <c r="Z15">
        <v>10</v>
      </c>
      <c r="AA15">
        <v>0</v>
      </c>
      <c r="AB15">
        <v>0</v>
      </c>
      <c r="AC15">
        <v>10</v>
      </c>
      <c r="AD15">
        <v>0</v>
      </c>
    </row>
    <row r="16" spans="1:30" x14ac:dyDescent="0.3">
      <c r="A16" s="53">
        <v>45910.691854594908</v>
      </c>
      <c r="B16" s="23" t="s">
        <v>48</v>
      </c>
      <c r="C16">
        <v>288</v>
      </c>
      <c r="D16" s="74" t="s">
        <v>2089</v>
      </c>
      <c r="E16" s="70">
        <f t="shared" si="0"/>
        <v>441.00000000000182</v>
      </c>
      <c r="F16" s="70">
        <f t="shared" si="0"/>
        <v>188.00000000000381</v>
      </c>
      <c r="G16" s="70">
        <f t="shared" si="1"/>
        <v>11</v>
      </c>
      <c r="H16" s="70">
        <f t="shared" si="2"/>
        <v>8</v>
      </c>
      <c r="I16" t="s">
        <v>6376</v>
      </c>
      <c r="J16" t="s">
        <v>6377</v>
      </c>
      <c r="K16" t="s">
        <v>6378</v>
      </c>
      <c r="L16">
        <v>10</v>
      </c>
      <c r="M16">
        <v>10</v>
      </c>
      <c r="N16">
        <v>10</v>
      </c>
      <c r="O16">
        <v>0</v>
      </c>
      <c r="P16">
        <v>10</v>
      </c>
      <c r="Q16">
        <v>10</v>
      </c>
      <c r="R16">
        <v>0</v>
      </c>
      <c r="S16">
        <v>10</v>
      </c>
      <c r="T16">
        <v>10</v>
      </c>
      <c r="U16">
        <v>10</v>
      </c>
      <c r="V16">
        <v>0</v>
      </c>
      <c r="W16">
        <v>0</v>
      </c>
      <c r="X16">
        <v>0</v>
      </c>
      <c r="Y16">
        <v>10</v>
      </c>
      <c r="Z16">
        <v>10</v>
      </c>
      <c r="AA16">
        <v>0</v>
      </c>
      <c r="AB16">
        <v>0</v>
      </c>
      <c r="AC16">
        <v>10</v>
      </c>
      <c r="AD16">
        <v>0</v>
      </c>
    </row>
    <row r="17" spans="1:30" x14ac:dyDescent="0.3">
      <c r="A17" s="53">
        <v>45910.737771979169</v>
      </c>
      <c r="B17" s="23" t="s">
        <v>49</v>
      </c>
      <c r="C17">
        <v>299</v>
      </c>
      <c r="D17" s="74" t="s">
        <v>2089</v>
      </c>
      <c r="E17" s="70">
        <f t="shared" si="0"/>
        <v>269.00000000000688</v>
      </c>
      <c r="F17" s="70">
        <f t="shared" si="0"/>
        <v>208.00000000000054</v>
      </c>
      <c r="G17" s="70">
        <f t="shared" si="1"/>
        <v>7</v>
      </c>
      <c r="H17" s="70">
        <f t="shared" si="2"/>
        <v>12</v>
      </c>
      <c r="I17" t="s">
        <v>6388</v>
      </c>
      <c r="J17" t="s">
        <v>6389</v>
      </c>
      <c r="K17" t="s">
        <v>6390</v>
      </c>
      <c r="L17">
        <v>6</v>
      </c>
      <c r="M17">
        <v>4</v>
      </c>
      <c r="N17">
        <v>6</v>
      </c>
      <c r="O17">
        <v>0</v>
      </c>
      <c r="P17">
        <v>6</v>
      </c>
      <c r="Q17">
        <v>6</v>
      </c>
      <c r="R17">
        <v>0</v>
      </c>
      <c r="S17">
        <v>6</v>
      </c>
      <c r="T17">
        <v>6</v>
      </c>
      <c r="U17">
        <v>4</v>
      </c>
      <c r="V17">
        <v>0</v>
      </c>
      <c r="W17">
        <v>0</v>
      </c>
      <c r="X17">
        <v>0</v>
      </c>
      <c r="Y17">
        <v>4</v>
      </c>
      <c r="Z17">
        <v>6</v>
      </c>
      <c r="AA17">
        <v>0</v>
      </c>
      <c r="AB17">
        <v>0</v>
      </c>
      <c r="AC17">
        <v>4</v>
      </c>
      <c r="AD17">
        <v>0</v>
      </c>
    </row>
    <row r="18" spans="1:30" x14ac:dyDescent="0.3">
      <c r="A18" s="53">
        <v>45912.400994479161</v>
      </c>
      <c r="B18" s="23" t="s">
        <v>50</v>
      </c>
      <c r="C18">
        <v>307</v>
      </c>
      <c r="D18" s="74" t="s">
        <v>2089</v>
      </c>
      <c r="E18" s="70">
        <f t="shared" si="0"/>
        <v>326.99999999999835</v>
      </c>
      <c r="F18" s="70">
        <f t="shared" si="0"/>
        <v>249.00000000000057</v>
      </c>
      <c r="G18" s="70">
        <f t="shared" si="1"/>
        <v>9</v>
      </c>
      <c r="H18" s="70">
        <f t="shared" si="2"/>
        <v>10</v>
      </c>
      <c r="I18" t="s">
        <v>6406</v>
      </c>
      <c r="J18" t="s">
        <v>6407</v>
      </c>
      <c r="K18" t="s">
        <v>6408</v>
      </c>
      <c r="L18">
        <v>10</v>
      </c>
      <c r="M18">
        <v>10</v>
      </c>
      <c r="N18">
        <v>10</v>
      </c>
      <c r="O18">
        <v>0</v>
      </c>
      <c r="P18">
        <v>10</v>
      </c>
      <c r="Q18">
        <v>10</v>
      </c>
      <c r="R18">
        <v>0</v>
      </c>
      <c r="S18">
        <v>10</v>
      </c>
      <c r="T18">
        <v>9</v>
      </c>
      <c r="U18">
        <v>10</v>
      </c>
      <c r="V18">
        <v>0</v>
      </c>
      <c r="W18">
        <v>0</v>
      </c>
      <c r="X18">
        <v>0</v>
      </c>
      <c r="Y18">
        <v>0</v>
      </c>
      <c r="Z18">
        <v>0</v>
      </c>
      <c r="AA18">
        <v>0</v>
      </c>
      <c r="AB18">
        <v>0</v>
      </c>
      <c r="AC18">
        <v>10</v>
      </c>
      <c r="AD18">
        <v>0</v>
      </c>
    </row>
    <row r="19" spans="1:30" x14ac:dyDescent="0.3">
      <c r="A19" s="53">
        <v>45912.446164340276</v>
      </c>
      <c r="B19" s="23" t="s">
        <v>51</v>
      </c>
      <c r="C19">
        <v>318</v>
      </c>
      <c r="D19" s="74" t="s">
        <v>2089</v>
      </c>
      <c r="E19" s="70">
        <f t="shared" ref="E19:F34" si="3">(J19-I19)*86400</f>
        <v>74.000000000000369</v>
      </c>
      <c r="F19" s="70">
        <f t="shared" si="3"/>
        <v>208.00000000000054</v>
      </c>
      <c r="G19" s="70">
        <f t="shared" ref="G19:G34" si="4">COUNTIF(L19:AD19,"&gt;5")</f>
        <v>9</v>
      </c>
      <c r="H19" s="70">
        <f t="shared" ref="H19:H34" si="5">COUNTIF(L19:AD19,"&lt;5")</f>
        <v>10</v>
      </c>
      <c r="I19" t="s">
        <v>6418</v>
      </c>
      <c r="J19" t="s">
        <v>6419</v>
      </c>
      <c r="K19" t="s">
        <v>6420</v>
      </c>
      <c r="L19">
        <v>10</v>
      </c>
      <c r="M19">
        <v>10</v>
      </c>
      <c r="N19">
        <v>10</v>
      </c>
      <c r="O19">
        <v>0</v>
      </c>
      <c r="P19">
        <v>10</v>
      </c>
      <c r="Q19">
        <v>10</v>
      </c>
      <c r="R19">
        <v>0</v>
      </c>
      <c r="S19">
        <v>10</v>
      </c>
      <c r="T19">
        <v>10</v>
      </c>
      <c r="U19">
        <v>0</v>
      </c>
      <c r="V19">
        <v>0</v>
      </c>
      <c r="W19">
        <v>0</v>
      </c>
      <c r="X19">
        <v>0</v>
      </c>
      <c r="Y19">
        <v>10</v>
      </c>
      <c r="Z19">
        <v>10</v>
      </c>
      <c r="AA19">
        <v>0</v>
      </c>
      <c r="AB19">
        <v>0</v>
      </c>
      <c r="AC19">
        <v>0</v>
      </c>
      <c r="AD19">
        <v>0</v>
      </c>
    </row>
    <row r="20" spans="1:30" x14ac:dyDescent="0.3">
      <c r="A20" s="53">
        <v>45912.493647233801</v>
      </c>
      <c r="B20" s="23" t="s">
        <v>52</v>
      </c>
      <c r="C20">
        <v>326</v>
      </c>
      <c r="D20" s="74" t="s">
        <v>2089</v>
      </c>
      <c r="E20" s="70">
        <f t="shared" si="3"/>
        <v>385.00000000000421</v>
      </c>
      <c r="F20" s="70">
        <f t="shared" si="3"/>
        <v>175.00000000000017</v>
      </c>
      <c r="G20" s="70">
        <f t="shared" si="4"/>
        <v>11</v>
      </c>
      <c r="H20" s="70">
        <f t="shared" si="5"/>
        <v>8</v>
      </c>
      <c r="I20" t="s">
        <v>6429</v>
      </c>
      <c r="J20" t="s">
        <v>6430</v>
      </c>
      <c r="K20" t="s">
        <v>6431</v>
      </c>
      <c r="L20">
        <v>9</v>
      </c>
      <c r="M20">
        <v>8</v>
      </c>
      <c r="N20">
        <v>8</v>
      </c>
      <c r="O20">
        <v>0</v>
      </c>
      <c r="P20">
        <v>8</v>
      </c>
      <c r="Q20">
        <v>9</v>
      </c>
      <c r="R20">
        <v>0</v>
      </c>
      <c r="S20">
        <v>9</v>
      </c>
      <c r="T20">
        <v>8</v>
      </c>
      <c r="U20">
        <v>10</v>
      </c>
      <c r="V20">
        <v>0</v>
      </c>
      <c r="W20">
        <v>0</v>
      </c>
      <c r="X20">
        <v>0</v>
      </c>
      <c r="Y20">
        <v>8</v>
      </c>
      <c r="Z20">
        <v>9</v>
      </c>
      <c r="AA20">
        <v>0</v>
      </c>
      <c r="AB20">
        <v>0</v>
      </c>
      <c r="AC20">
        <v>8</v>
      </c>
      <c r="AD20">
        <v>0</v>
      </c>
    </row>
    <row r="21" spans="1:30" x14ac:dyDescent="0.3">
      <c r="A21" s="53">
        <v>45912.578483981481</v>
      </c>
      <c r="B21" s="23" t="s">
        <v>53</v>
      </c>
      <c r="C21">
        <v>338</v>
      </c>
      <c r="D21" s="74" t="s">
        <v>2089</v>
      </c>
      <c r="E21" s="70">
        <f t="shared" si="3"/>
        <v>65.999999999991132</v>
      </c>
      <c r="F21" s="70">
        <f t="shared" si="3"/>
        <v>199.00000000000873</v>
      </c>
      <c r="G21" s="70">
        <f t="shared" si="4"/>
        <v>11</v>
      </c>
      <c r="H21" s="70">
        <f t="shared" si="5"/>
        <v>8</v>
      </c>
      <c r="I21" t="s">
        <v>6441</v>
      </c>
      <c r="J21" t="s">
        <v>6442</v>
      </c>
      <c r="K21" t="s">
        <v>6443</v>
      </c>
      <c r="L21">
        <v>10</v>
      </c>
      <c r="M21">
        <v>10</v>
      </c>
      <c r="N21">
        <v>10</v>
      </c>
      <c r="O21">
        <v>0</v>
      </c>
      <c r="P21">
        <v>10</v>
      </c>
      <c r="Q21">
        <v>10</v>
      </c>
      <c r="R21">
        <v>0</v>
      </c>
      <c r="S21">
        <v>10</v>
      </c>
      <c r="T21">
        <v>10</v>
      </c>
      <c r="U21">
        <v>10</v>
      </c>
      <c r="V21">
        <v>0</v>
      </c>
      <c r="W21">
        <v>0</v>
      </c>
      <c r="X21">
        <v>0</v>
      </c>
      <c r="Y21">
        <v>10</v>
      </c>
      <c r="Z21">
        <v>10</v>
      </c>
      <c r="AA21">
        <v>0</v>
      </c>
      <c r="AB21">
        <v>0</v>
      </c>
      <c r="AC21">
        <v>10</v>
      </c>
      <c r="AD21">
        <v>0</v>
      </c>
    </row>
    <row r="22" spans="1:30" x14ac:dyDescent="0.3">
      <c r="A22" s="53">
        <v>45912.630338414354</v>
      </c>
      <c r="B22" s="23" t="s">
        <v>66</v>
      </c>
      <c r="C22">
        <v>345</v>
      </c>
      <c r="D22" s="74" t="s">
        <v>2089</v>
      </c>
      <c r="E22" s="70">
        <f t="shared" si="3"/>
        <v>346.99999999999989</v>
      </c>
      <c r="F22" s="70">
        <f t="shared" si="3"/>
        <v>269.99999999999426</v>
      </c>
      <c r="G22" s="70">
        <f t="shared" si="4"/>
        <v>11</v>
      </c>
      <c r="H22" s="70">
        <f t="shared" si="5"/>
        <v>8</v>
      </c>
      <c r="I22" t="s">
        <v>6453</v>
      </c>
      <c r="J22" t="s">
        <v>6454</v>
      </c>
      <c r="K22" t="s">
        <v>6455</v>
      </c>
      <c r="L22">
        <v>10</v>
      </c>
      <c r="M22">
        <v>10</v>
      </c>
      <c r="N22">
        <v>10</v>
      </c>
      <c r="O22">
        <v>0</v>
      </c>
      <c r="P22">
        <v>10</v>
      </c>
      <c r="Q22">
        <v>10</v>
      </c>
      <c r="R22">
        <v>0</v>
      </c>
      <c r="S22">
        <v>10</v>
      </c>
      <c r="T22">
        <v>10</v>
      </c>
      <c r="U22">
        <v>10</v>
      </c>
      <c r="V22">
        <v>0</v>
      </c>
      <c r="W22">
        <v>0</v>
      </c>
      <c r="X22">
        <v>0</v>
      </c>
      <c r="Y22">
        <v>10</v>
      </c>
      <c r="Z22">
        <v>10</v>
      </c>
      <c r="AA22">
        <v>0</v>
      </c>
      <c r="AB22">
        <v>0</v>
      </c>
      <c r="AC22">
        <v>10</v>
      </c>
      <c r="AD22">
        <v>0</v>
      </c>
    </row>
    <row r="23" spans="1:30" x14ac:dyDescent="0.3">
      <c r="A23" s="53">
        <v>45912.669901064815</v>
      </c>
      <c r="B23" s="23" t="s">
        <v>54</v>
      </c>
      <c r="C23">
        <v>356</v>
      </c>
      <c r="D23" s="74" t="s">
        <v>2089</v>
      </c>
      <c r="E23" s="70">
        <f t="shared" si="3"/>
        <v>112.99999999999208</v>
      </c>
      <c r="F23" s="70">
        <f t="shared" si="3"/>
        <v>147.00000000000381</v>
      </c>
      <c r="G23" s="70">
        <f t="shared" si="4"/>
        <v>9</v>
      </c>
      <c r="H23" s="70">
        <f t="shared" si="5"/>
        <v>9</v>
      </c>
      <c r="I23" t="s">
        <v>6465</v>
      </c>
      <c r="J23" t="s">
        <v>6466</v>
      </c>
      <c r="K23" t="s">
        <v>6467</v>
      </c>
      <c r="L23">
        <v>10</v>
      </c>
      <c r="M23">
        <v>10</v>
      </c>
      <c r="N23">
        <v>10</v>
      </c>
      <c r="O23">
        <v>0</v>
      </c>
      <c r="P23">
        <v>10</v>
      </c>
      <c r="Q23">
        <v>10</v>
      </c>
      <c r="R23">
        <v>0</v>
      </c>
      <c r="S23">
        <v>10</v>
      </c>
      <c r="T23">
        <v>5</v>
      </c>
      <c r="U23">
        <v>4</v>
      </c>
      <c r="V23">
        <v>0</v>
      </c>
      <c r="W23">
        <v>0</v>
      </c>
      <c r="X23">
        <v>0</v>
      </c>
      <c r="Y23">
        <v>10</v>
      </c>
      <c r="Z23">
        <v>10</v>
      </c>
      <c r="AA23">
        <v>0</v>
      </c>
      <c r="AB23">
        <v>0</v>
      </c>
      <c r="AC23">
        <v>10</v>
      </c>
      <c r="AD23">
        <v>0</v>
      </c>
    </row>
    <row r="24" spans="1:30" x14ac:dyDescent="0.3">
      <c r="A24" s="53">
        <v>45912.719724236114</v>
      </c>
      <c r="B24" s="23" t="s">
        <v>55</v>
      </c>
      <c r="C24">
        <v>363</v>
      </c>
      <c r="D24" s="74" t="s">
        <v>2089</v>
      </c>
      <c r="E24" s="70">
        <f t="shared" si="3"/>
        <v>113.00000000000168</v>
      </c>
      <c r="F24" s="70">
        <f t="shared" si="3"/>
        <v>224.99999999999682</v>
      </c>
      <c r="G24" s="70">
        <f t="shared" si="4"/>
        <v>7</v>
      </c>
      <c r="H24" s="70">
        <f t="shared" si="5"/>
        <v>12</v>
      </c>
      <c r="I24" t="s">
        <v>6477</v>
      </c>
      <c r="J24" t="s">
        <v>6478</v>
      </c>
      <c r="K24" t="s">
        <v>6479</v>
      </c>
      <c r="L24">
        <v>0</v>
      </c>
      <c r="M24">
        <v>8</v>
      </c>
      <c r="N24">
        <v>1</v>
      </c>
      <c r="O24">
        <v>0</v>
      </c>
      <c r="P24">
        <v>2</v>
      </c>
      <c r="Q24">
        <v>1</v>
      </c>
      <c r="R24">
        <v>0</v>
      </c>
      <c r="S24">
        <v>8</v>
      </c>
      <c r="T24">
        <v>8</v>
      </c>
      <c r="U24">
        <v>10</v>
      </c>
      <c r="V24">
        <v>0</v>
      </c>
      <c r="W24">
        <v>0</v>
      </c>
      <c r="X24">
        <v>0</v>
      </c>
      <c r="Y24">
        <v>10</v>
      </c>
      <c r="Z24">
        <v>10</v>
      </c>
      <c r="AA24">
        <v>0</v>
      </c>
      <c r="AB24">
        <v>0</v>
      </c>
      <c r="AC24">
        <v>7</v>
      </c>
      <c r="AD24">
        <v>0</v>
      </c>
    </row>
    <row r="25" spans="1:30" x14ac:dyDescent="0.3">
      <c r="A25" s="53">
        <v>45915.492289108792</v>
      </c>
      <c r="B25" s="23" t="s">
        <v>56</v>
      </c>
      <c r="C25">
        <v>380</v>
      </c>
      <c r="D25" s="74" t="s">
        <v>2089</v>
      </c>
      <c r="E25" s="70">
        <f>(J25-I25)*86400</f>
        <v>61.000000000006338</v>
      </c>
      <c r="F25" s="70">
        <f>(K25-J25)*86400</f>
        <v>195.99999999999866</v>
      </c>
      <c r="G25" s="70">
        <f t="shared" si="4"/>
        <v>11</v>
      </c>
      <c r="H25" s="70">
        <f t="shared" si="5"/>
        <v>8</v>
      </c>
      <c r="I25" t="s">
        <v>6424</v>
      </c>
      <c r="J25" t="s">
        <v>6489</v>
      </c>
      <c r="K25" t="s">
        <v>6490</v>
      </c>
      <c r="L25">
        <v>10</v>
      </c>
      <c r="M25">
        <v>10</v>
      </c>
      <c r="N25">
        <v>10</v>
      </c>
      <c r="O25">
        <v>0</v>
      </c>
      <c r="P25">
        <v>10</v>
      </c>
      <c r="Q25">
        <v>10</v>
      </c>
      <c r="R25">
        <v>0</v>
      </c>
      <c r="S25">
        <v>10</v>
      </c>
      <c r="T25">
        <v>10</v>
      </c>
      <c r="U25">
        <v>10</v>
      </c>
      <c r="V25">
        <v>0</v>
      </c>
      <c r="W25">
        <v>0</v>
      </c>
      <c r="X25">
        <v>0</v>
      </c>
      <c r="Y25">
        <v>10</v>
      </c>
      <c r="Z25">
        <v>10</v>
      </c>
      <c r="AA25">
        <v>0</v>
      </c>
      <c r="AB25">
        <v>0</v>
      </c>
      <c r="AC25">
        <v>10</v>
      </c>
      <c r="AD25">
        <v>0</v>
      </c>
    </row>
    <row r="26" spans="1:30" x14ac:dyDescent="0.3">
      <c r="A26" s="53">
        <v>45915.572406168983</v>
      </c>
      <c r="B26" s="23" t="s">
        <v>57</v>
      </c>
      <c r="C26">
        <v>387</v>
      </c>
      <c r="D26" s="74" t="s">
        <v>2089</v>
      </c>
      <c r="E26" s="70">
        <f t="shared" si="3"/>
        <v>443.00000000000529</v>
      </c>
      <c r="F26" s="70">
        <f t="shared" si="3"/>
        <v>162.99999999999352</v>
      </c>
      <c r="G26" s="70">
        <f t="shared" si="4"/>
        <v>9</v>
      </c>
      <c r="H26" s="70">
        <f t="shared" si="5"/>
        <v>10</v>
      </c>
      <c r="I26" t="s">
        <v>6500</v>
      </c>
      <c r="J26" t="s">
        <v>6501</v>
      </c>
      <c r="K26" t="s">
        <v>6502</v>
      </c>
      <c r="L26">
        <v>10</v>
      </c>
      <c r="M26">
        <v>9</v>
      </c>
      <c r="N26">
        <v>2</v>
      </c>
      <c r="O26">
        <v>0</v>
      </c>
      <c r="P26">
        <v>2</v>
      </c>
      <c r="Q26">
        <v>9</v>
      </c>
      <c r="R26">
        <v>0</v>
      </c>
      <c r="S26">
        <v>9</v>
      </c>
      <c r="T26">
        <v>8</v>
      </c>
      <c r="U26">
        <v>8</v>
      </c>
      <c r="V26">
        <v>0</v>
      </c>
      <c r="W26">
        <v>0</v>
      </c>
      <c r="X26">
        <v>0</v>
      </c>
      <c r="Y26">
        <v>8</v>
      </c>
      <c r="Z26">
        <v>9</v>
      </c>
      <c r="AA26">
        <v>0</v>
      </c>
      <c r="AB26">
        <v>0</v>
      </c>
      <c r="AC26">
        <v>9</v>
      </c>
      <c r="AD26">
        <v>0</v>
      </c>
    </row>
    <row r="27" spans="1:30" x14ac:dyDescent="0.3">
      <c r="A27" s="53">
        <v>45916.480977569445</v>
      </c>
      <c r="B27" s="23" t="s">
        <v>58</v>
      </c>
      <c r="C27">
        <v>10</v>
      </c>
      <c r="D27" s="74" t="s">
        <v>2089</v>
      </c>
      <c r="E27" s="70">
        <f t="shared" si="3"/>
        <v>119.00000000000261</v>
      </c>
      <c r="F27" s="70">
        <f t="shared" si="3"/>
        <v>134.99999999999713</v>
      </c>
      <c r="G27" s="70">
        <f t="shared" si="4"/>
        <v>6</v>
      </c>
      <c r="H27" s="70">
        <f t="shared" si="5"/>
        <v>13</v>
      </c>
      <c r="I27" t="s">
        <v>6512</v>
      </c>
      <c r="J27" t="s">
        <v>6513</v>
      </c>
      <c r="K27" t="s">
        <v>6514</v>
      </c>
      <c r="L27">
        <v>10</v>
      </c>
      <c r="M27">
        <v>0</v>
      </c>
      <c r="N27">
        <v>0</v>
      </c>
      <c r="O27">
        <v>0</v>
      </c>
      <c r="P27">
        <v>10</v>
      </c>
      <c r="Q27">
        <v>10</v>
      </c>
      <c r="R27">
        <v>0</v>
      </c>
      <c r="S27">
        <v>10</v>
      </c>
      <c r="T27">
        <v>0</v>
      </c>
      <c r="U27">
        <v>10</v>
      </c>
      <c r="V27">
        <v>0</v>
      </c>
      <c r="W27">
        <v>0</v>
      </c>
      <c r="X27">
        <v>0</v>
      </c>
      <c r="Y27">
        <v>0</v>
      </c>
      <c r="Z27">
        <v>10</v>
      </c>
      <c r="AA27">
        <v>0</v>
      </c>
      <c r="AB27">
        <v>0</v>
      </c>
      <c r="AC27">
        <v>0</v>
      </c>
      <c r="AD27">
        <v>0</v>
      </c>
    </row>
    <row r="28" spans="1:30" x14ac:dyDescent="0.3">
      <c r="A28" s="53">
        <v>45916.565919652778</v>
      </c>
      <c r="B28" s="23" t="s">
        <v>59</v>
      </c>
      <c r="C28">
        <v>17</v>
      </c>
      <c r="D28" s="74" t="s">
        <v>2089</v>
      </c>
      <c r="E28" s="70">
        <f t="shared" si="3"/>
        <v>356.00000000000131</v>
      </c>
      <c r="F28" s="70">
        <f t="shared" si="3"/>
        <v>192.00000000000125</v>
      </c>
      <c r="G28" s="70">
        <f t="shared" si="4"/>
        <v>10</v>
      </c>
      <c r="H28" s="70">
        <f t="shared" si="5"/>
        <v>9</v>
      </c>
      <c r="I28" t="s">
        <v>6524</v>
      </c>
      <c r="J28" t="s">
        <v>6525</v>
      </c>
      <c r="K28" t="s">
        <v>6526</v>
      </c>
      <c r="L28">
        <v>10</v>
      </c>
      <c r="M28">
        <v>10</v>
      </c>
      <c r="N28">
        <v>10</v>
      </c>
      <c r="O28">
        <v>0</v>
      </c>
      <c r="P28">
        <v>10</v>
      </c>
      <c r="Q28">
        <v>10</v>
      </c>
      <c r="R28">
        <v>0</v>
      </c>
      <c r="S28">
        <v>10</v>
      </c>
      <c r="T28">
        <v>10</v>
      </c>
      <c r="U28">
        <v>10</v>
      </c>
      <c r="V28">
        <v>0</v>
      </c>
      <c r="W28">
        <v>0</v>
      </c>
      <c r="X28">
        <v>0</v>
      </c>
      <c r="Y28">
        <v>10</v>
      </c>
      <c r="Z28">
        <v>0</v>
      </c>
      <c r="AA28">
        <v>0</v>
      </c>
      <c r="AB28">
        <v>0</v>
      </c>
      <c r="AC28">
        <v>10</v>
      </c>
      <c r="AD28">
        <v>0</v>
      </c>
    </row>
    <row r="29" spans="1:30" x14ac:dyDescent="0.3">
      <c r="A29" s="53">
        <v>45916.622170173607</v>
      </c>
      <c r="B29" s="23" t="s">
        <v>60</v>
      </c>
      <c r="C29">
        <v>28</v>
      </c>
      <c r="D29" s="74" t="s">
        <v>2089</v>
      </c>
      <c r="E29" s="70">
        <f t="shared" si="3"/>
        <v>93.000000000004945</v>
      </c>
      <c r="F29" s="70">
        <f t="shared" si="3"/>
        <v>176.00000000000193</v>
      </c>
      <c r="G29" s="70">
        <f t="shared" si="4"/>
        <v>8</v>
      </c>
      <c r="H29" s="70">
        <f t="shared" si="5"/>
        <v>11</v>
      </c>
      <c r="I29" t="s">
        <v>6536</v>
      </c>
      <c r="J29" t="s">
        <v>6537</v>
      </c>
      <c r="K29" t="s">
        <v>6538</v>
      </c>
      <c r="L29">
        <v>0</v>
      </c>
      <c r="M29">
        <v>10</v>
      </c>
      <c r="N29">
        <v>0</v>
      </c>
      <c r="O29">
        <v>0</v>
      </c>
      <c r="P29">
        <v>9</v>
      </c>
      <c r="Q29">
        <v>9</v>
      </c>
      <c r="R29">
        <v>0</v>
      </c>
      <c r="S29">
        <v>10</v>
      </c>
      <c r="T29">
        <v>10</v>
      </c>
      <c r="U29">
        <v>10</v>
      </c>
      <c r="V29">
        <v>0</v>
      </c>
      <c r="W29">
        <v>0</v>
      </c>
      <c r="X29">
        <v>0</v>
      </c>
      <c r="Y29">
        <v>0</v>
      </c>
      <c r="Z29">
        <v>10</v>
      </c>
      <c r="AA29">
        <v>0</v>
      </c>
      <c r="AB29">
        <v>0</v>
      </c>
      <c r="AC29">
        <v>10</v>
      </c>
      <c r="AD29">
        <v>0</v>
      </c>
    </row>
    <row r="30" spans="1:30" x14ac:dyDescent="0.3">
      <c r="A30" s="53">
        <v>45916.736991331018</v>
      </c>
      <c r="B30" s="23" t="s">
        <v>61</v>
      </c>
      <c r="C30">
        <v>36</v>
      </c>
      <c r="D30" s="74" t="s">
        <v>2089</v>
      </c>
      <c r="E30" s="70">
        <f t="shared" si="3"/>
        <v>429.99999999999687</v>
      </c>
      <c r="F30" s="70">
        <f t="shared" si="3"/>
        <v>173.99999999999841</v>
      </c>
      <c r="G30" s="70">
        <f t="shared" si="4"/>
        <v>9</v>
      </c>
      <c r="H30" s="70">
        <f t="shared" si="5"/>
        <v>10</v>
      </c>
      <c r="I30" t="s">
        <v>6548</v>
      </c>
      <c r="J30" t="s">
        <v>6549</v>
      </c>
      <c r="K30" t="s">
        <v>6550</v>
      </c>
      <c r="L30">
        <v>10</v>
      </c>
      <c r="M30">
        <v>10</v>
      </c>
      <c r="N30">
        <v>10</v>
      </c>
      <c r="O30">
        <v>0</v>
      </c>
      <c r="P30">
        <v>10</v>
      </c>
      <c r="Q30">
        <v>10</v>
      </c>
      <c r="R30">
        <v>0</v>
      </c>
      <c r="S30">
        <v>10</v>
      </c>
      <c r="T30">
        <v>10</v>
      </c>
      <c r="U30">
        <v>0</v>
      </c>
      <c r="V30">
        <v>0</v>
      </c>
      <c r="W30">
        <v>0</v>
      </c>
      <c r="X30">
        <v>0</v>
      </c>
      <c r="Y30">
        <v>10</v>
      </c>
      <c r="Z30">
        <v>0</v>
      </c>
      <c r="AA30">
        <v>0</v>
      </c>
      <c r="AB30">
        <v>0</v>
      </c>
      <c r="AC30">
        <v>10</v>
      </c>
      <c r="AD30">
        <v>0</v>
      </c>
    </row>
    <row r="31" spans="1:30" x14ac:dyDescent="0.3">
      <c r="A31" s="53">
        <v>45916.796940046297</v>
      </c>
      <c r="B31" s="23" t="s">
        <v>62</v>
      </c>
      <c r="C31">
        <v>47</v>
      </c>
      <c r="D31" s="74" t="s">
        <v>2089</v>
      </c>
      <c r="E31" s="70">
        <f t="shared" si="3"/>
        <v>160.00000000000261</v>
      </c>
      <c r="F31" s="70">
        <f t="shared" si="3"/>
        <v>135.00000000000193</v>
      </c>
      <c r="G31" s="70">
        <f t="shared" si="4"/>
        <v>8</v>
      </c>
      <c r="H31" s="70">
        <f t="shared" si="5"/>
        <v>11</v>
      </c>
      <c r="I31" t="s">
        <v>6560</v>
      </c>
      <c r="J31" t="s">
        <v>6561</v>
      </c>
      <c r="K31" t="s">
        <v>6562</v>
      </c>
      <c r="L31">
        <v>9</v>
      </c>
      <c r="M31">
        <v>9</v>
      </c>
      <c r="N31">
        <v>9</v>
      </c>
      <c r="O31">
        <v>0</v>
      </c>
      <c r="P31">
        <v>10</v>
      </c>
      <c r="Q31">
        <v>10</v>
      </c>
      <c r="R31">
        <v>0</v>
      </c>
      <c r="S31">
        <v>10</v>
      </c>
      <c r="T31">
        <v>10</v>
      </c>
      <c r="U31">
        <v>0</v>
      </c>
      <c r="V31">
        <v>0</v>
      </c>
      <c r="W31">
        <v>0</v>
      </c>
      <c r="X31">
        <v>0</v>
      </c>
      <c r="Y31">
        <v>10</v>
      </c>
      <c r="Z31">
        <v>0</v>
      </c>
      <c r="AA31">
        <v>0</v>
      </c>
      <c r="AB31">
        <v>0</v>
      </c>
      <c r="AC31">
        <v>0</v>
      </c>
      <c r="AD31">
        <v>0</v>
      </c>
    </row>
    <row r="32" spans="1:30" x14ac:dyDescent="0.3">
      <c r="A32" s="53">
        <v>45917.607987812502</v>
      </c>
      <c r="B32" s="23" t="s">
        <v>63</v>
      </c>
      <c r="C32">
        <v>5</v>
      </c>
      <c r="D32" s="74" t="s">
        <v>2089</v>
      </c>
      <c r="E32" s="70">
        <f t="shared" si="3"/>
        <v>500.0000000000046</v>
      </c>
      <c r="F32" s="70">
        <f t="shared" si="3"/>
        <v>195.99999999999866</v>
      </c>
      <c r="G32" s="70">
        <f t="shared" si="4"/>
        <v>7</v>
      </c>
      <c r="H32" s="70">
        <f t="shared" si="5"/>
        <v>12</v>
      </c>
      <c r="I32" t="s">
        <v>6572</v>
      </c>
      <c r="J32" t="s">
        <v>6573</v>
      </c>
      <c r="K32" t="s">
        <v>6574</v>
      </c>
      <c r="L32">
        <v>8</v>
      </c>
      <c r="M32">
        <v>9</v>
      </c>
      <c r="N32">
        <v>9</v>
      </c>
      <c r="O32">
        <v>0</v>
      </c>
      <c r="P32">
        <v>10</v>
      </c>
      <c r="Q32">
        <v>9</v>
      </c>
      <c r="R32">
        <v>0</v>
      </c>
      <c r="S32">
        <v>2</v>
      </c>
      <c r="T32">
        <v>2</v>
      </c>
      <c r="U32">
        <v>8</v>
      </c>
      <c r="V32">
        <v>0</v>
      </c>
      <c r="W32">
        <v>0</v>
      </c>
      <c r="X32">
        <v>0</v>
      </c>
      <c r="Y32">
        <v>1</v>
      </c>
      <c r="Z32">
        <v>9</v>
      </c>
      <c r="AA32">
        <v>0</v>
      </c>
      <c r="AB32">
        <v>0</v>
      </c>
      <c r="AC32">
        <v>0</v>
      </c>
      <c r="AD32">
        <v>0</v>
      </c>
    </row>
    <row r="33" spans="1:30" x14ac:dyDescent="0.3">
      <c r="A33" s="53">
        <v>45917.730855567133</v>
      </c>
      <c r="B33" s="23" t="s">
        <v>65</v>
      </c>
      <c r="C33">
        <v>19</v>
      </c>
      <c r="D33" s="74" t="s">
        <v>2089</v>
      </c>
      <c r="E33" s="70">
        <f t="shared" si="3"/>
        <v>51.000000000007972</v>
      </c>
      <c r="F33" s="70">
        <f t="shared" si="3"/>
        <v>196.99999999999562</v>
      </c>
      <c r="G33" s="70">
        <f t="shared" si="4"/>
        <v>11</v>
      </c>
      <c r="H33" s="70">
        <f t="shared" si="5"/>
        <v>8</v>
      </c>
      <c r="I33" t="s">
        <v>6584</v>
      </c>
      <c r="J33" t="s">
        <v>6585</v>
      </c>
      <c r="K33" t="s">
        <v>6586</v>
      </c>
      <c r="L33">
        <v>10</v>
      </c>
      <c r="M33">
        <v>10</v>
      </c>
      <c r="N33">
        <v>10</v>
      </c>
      <c r="O33">
        <v>0</v>
      </c>
      <c r="P33">
        <v>10</v>
      </c>
      <c r="Q33">
        <v>10</v>
      </c>
      <c r="R33">
        <v>0</v>
      </c>
      <c r="S33">
        <v>10</v>
      </c>
      <c r="T33">
        <v>10</v>
      </c>
      <c r="U33">
        <v>10</v>
      </c>
      <c r="V33">
        <v>0</v>
      </c>
      <c r="W33">
        <v>0</v>
      </c>
      <c r="X33">
        <v>0</v>
      </c>
      <c r="Y33">
        <v>10</v>
      </c>
      <c r="Z33">
        <v>10</v>
      </c>
      <c r="AA33">
        <v>0</v>
      </c>
      <c r="AB33">
        <v>0</v>
      </c>
      <c r="AC33">
        <v>10</v>
      </c>
      <c r="AD33">
        <v>0</v>
      </c>
    </row>
    <row r="34" spans="1:30" x14ac:dyDescent="0.3">
      <c r="A34" s="53">
        <v>45918.561457800926</v>
      </c>
      <c r="B34" s="23" t="s">
        <v>64</v>
      </c>
      <c r="C34">
        <v>27</v>
      </c>
      <c r="D34" s="74" t="s">
        <v>2089</v>
      </c>
      <c r="E34" s="70">
        <f t="shared" si="3"/>
        <v>419.99999999999852</v>
      </c>
      <c r="F34" s="70">
        <f t="shared" si="3"/>
        <v>195.00000000000171</v>
      </c>
      <c r="G34" s="70">
        <f t="shared" si="4"/>
        <v>11</v>
      </c>
      <c r="H34" s="70">
        <f t="shared" si="5"/>
        <v>8</v>
      </c>
      <c r="I34" t="s">
        <v>6596</v>
      </c>
      <c r="J34" t="s">
        <v>6597</v>
      </c>
      <c r="K34" t="s">
        <v>6598</v>
      </c>
      <c r="L34">
        <v>10</v>
      </c>
      <c r="M34">
        <v>10</v>
      </c>
      <c r="N34">
        <v>10</v>
      </c>
      <c r="O34">
        <v>0</v>
      </c>
      <c r="P34">
        <v>10</v>
      </c>
      <c r="Q34">
        <v>10</v>
      </c>
      <c r="R34">
        <v>0</v>
      </c>
      <c r="S34">
        <v>10</v>
      </c>
      <c r="T34">
        <v>9</v>
      </c>
      <c r="U34">
        <v>10</v>
      </c>
      <c r="V34">
        <v>0</v>
      </c>
      <c r="W34">
        <v>0</v>
      </c>
      <c r="X34">
        <v>0</v>
      </c>
      <c r="Y34">
        <v>10</v>
      </c>
      <c r="Z34">
        <v>10</v>
      </c>
      <c r="AA34">
        <v>0</v>
      </c>
      <c r="AB34">
        <v>0</v>
      </c>
      <c r="AC34">
        <v>10</v>
      </c>
      <c r="AD34">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C9116-2819-4021-AEE7-4E7715DED838}">
  <dimension ref="A2:AD34"/>
  <sheetViews>
    <sheetView workbookViewId="0">
      <selection activeCell="L14" sqref="L14:Q14"/>
    </sheetView>
  </sheetViews>
  <sheetFormatPr defaultRowHeight="14.4" x14ac:dyDescent="0.3"/>
  <cols>
    <col min="1" max="1" width="17" customWidth="1"/>
    <col min="6" max="6" width="13.6640625" customWidth="1"/>
    <col min="7" max="7" width="11.77734375" customWidth="1"/>
    <col min="8" max="8" width="13.33203125" customWidth="1"/>
    <col min="9" max="10" width="11.6640625" customWidth="1"/>
    <col min="11" max="11" width="16" customWidth="1"/>
    <col min="12" max="12" width="13.109375" customWidth="1"/>
    <col min="13" max="13" width="19.88671875" customWidth="1"/>
    <col min="14" max="14" width="18.88671875" customWidth="1"/>
    <col min="15" max="15" width="18.5546875" customWidth="1"/>
    <col min="16" max="16" width="19.88671875" customWidth="1"/>
    <col min="17" max="17" width="14.6640625" customWidth="1"/>
    <col min="18" max="18" width="22.77734375" customWidth="1"/>
    <col min="19" max="19" width="17.88671875" customWidth="1"/>
    <col min="20" max="20" width="13.88671875" customWidth="1"/>
    <col min="21" max="21" width="23" customWidth="1"/>
    <col min="22" max="22" width="22.77734375" customWidth="1"/>
    <col min="23" max="23" width="15.88671875" customWidth="1"/>
    <col min="24" max="24" width="16.21875" customWidth="1"/>
    <col min="25" max="25" width="18.88671875" customWidth="1"/>
    <col min="26" max="26" width="14.77734375" customWidth="1"/>
    <col min="27" max="27" width="13.21875" customWidth="1"/>
    <col min="28" max="28" width="13.77734375" customWidth="1"/>
    <col min="30" max="30" width="13" customWidth="1"/>
  </cols>
  <sheetData>
    <row r="2" spans="1:30" ht="29.4" thickBot="1" x14ac:dyDescent="0.35">
      <c r="A2" s="54" t="s">
        <v>0</v>
      </c>
      <c r="B2" s="19" t="s">
        <v>1</v>
      </c>
      <c r="E2" s="75" t="s">
        <v>6284</v>
      </c>
      <c r="F2" s="75" t="s">
        <v>6285</v>
      </c>
      <c r="G2" s="75" t="s">
        <v>3171</v>
      </c>
      <c r="H2" s="75" t="s">
        <v>3172</v>
      </c>
      <c r="I2" s="75" t="s">
        <v>2091</v>
      </c>
      <c r="J2" s="75" t="s">
        <v>2092</v>
      </c>
      <c r="K2" s="75" t="s">
        <v>2093</v>
      </c>
      <c r="L2" s="75" t="s">
        <v>2094</v>
      </c>
      <c r="M2" s="75" t="s">
        <v>2095</v>
      </c>
      <c r="N2" s="75" t="s">
        <v>2096</v>
      </c>
      <c r="O2" s="75" t="s">
        <v>2097</v>
      </c>
      <c r="P2" s="75" t="s">
        <v>2098</v>
      </c>
      <c r="Q2" s="75" t="s">
        <v>2099</v>
      </c>
      <c r="R2" s="75" t="s">
        <v>2100</v>
      </c>
      <c r="S2" s="75" t="s">
        <v>2101</v>
      </c>
      <c r="T2" s="75" t="s">
        <v>2102</v>
      </c>
      <c r="U2" s="75" t="s">
        <v>2103</v>
      </c>
      <c r="V2" s="75" t="s">
        <v>2104</v>
      </c>
      <c r="W2" s="75" t="s">
        <v>2105</v>
      </c>
      <c r="X2" s="75" t="s">
        <v>2106</v>
      </c>
      <c r="Y2" s="75" t="s">
        <v>2107</v>
      </c>
      <c r="Z2" s="75" t="s">
        <v>2108</v>
      </c>
      <c r="AA2" s="75" t="s">
        <v>2109</v>
      </c>
      <c r="AB2" s="75" t="s">
        <v>2110</v>
      </c>
      <c r="AC2" s="75" t="s">
        <v>2111</v>
      </c>
      <c r="AD2" s="75" t="s">
        <v>2112</v>
      </c>
    </row>
    <row r="3" spans="1:30" x14ac:dyDescent="0.3">
      <c r="A3" s="49">
        <v>45881.446388668977</v>
      </c>
      <c r="B3" s="50">
        <v>1</v>
      </c>
      <c r="C3" s="70">
        <f>TA_QY!C3+1</f>
        <v>28</v>
      </c>
      <c r="D3" s="71" t="s">
        <v>2090</v>
      </c>
      <c r="E3" s="70">
        <f t="shared" ref="E3:F18" si="0">(J3-I3)*86400</f>
        <v>27.000000000004221</v>
      </c>
      <c r="F3" s="70">
        <f t="shared" si="0"/>
        <v>188.99999999999596</v>
      </c>
      <c r="G3" s="70">
        <f t="shared" ref="G3:G34" si="1">COUNTIF(L3:AD3,"&gt;5")</f>
        <v>8</v>
      </c>
      <c r="H3" s="70">
        <f t="shared" ref="H3:H34" si="2">COUNTIF(L3:AD3,"&lt;5")</f>
        <v>11</v>
      </c>
      <c r="I3" t="s">
        <v>6611</v>
      </c>
      <c r="J3" t="s">
        <v>6612</v>
      </c>
      <c r="K3" t="s">
        <v>6613</v>
      </c>
      <c r="L3">
        <v>10</v>
      </c>
      <c r="M3">
        <v>0</v>
      </c>
      <c r="N3">
        <v>0</v>
      </c>
      <c r="O3">
        <v>0</v>
      </c>
      <c r="P3">
        <v>10</v>
      </c>
      <c r="Q3">
        <v>10</v>
      </c>
      <c r="R3">
        <v>0</v>
      </c>
      <c r="S3">
        <v>10</v>
      </c>
      <c r="T3">
        <v>0</v>
      </c>
      <c r="U3">
        <v>0</v>
      </c>
      <c r="V3">
        <v>0</v>
      </c>
      <c r="W3">
        <v>10</v>
      </c>
      <c r="X3">
        <v>0</v>
      </c>
      <c r="Y3">
        <v>10</v>
      </c>
      <c r="Z3">
        <v>10</v>
      </c>
      <c r="AA3">
        <v>0</v>
      </c>
      <c r="AB3">
        <v>0</v>
      </c>
      <c r="AC3">
        <v>10</v>
      </c>
      <c r="AD3">
        <v>0</v>
      </c>
    </row>
    <row r="4" spans="1:30" x14ac:dyDescent="0.3">
      <c r="A4" s="51">
        <v>45881.617943437501</v>
      </c>
      <c r="B4" s="52">
        <v>2</v>
      </c>
      <c r="C4" s="70">
        <f>TA_QY!C4+1</f>
        <v>69</v>
      </c>
      <c r="D4" s="71" t="s">
        <v>2090</v>
      </c>
      <c r="E4" s="70">
        <f t="shared" si="0"/>
        <v>50.99999999999838</v>
      </c>
      <c r="F4" s="70">
        <f t="shared" si="0"/>
        <v>198.00000000000216</v>
      </c>
      <c r="G4" s="70">
        <f t="shared" si="1"/>
        <v>6</v>
      </c>
      <c r="H4" s="70">
        <f t="shared" si="2"/>
        <v>13</v>
      </c>
      <c r="I4" t="s">
        <v>6623</v>
      </c>
      <c r="J4" t="s">
        <v>6624</v>
      </c>
      <c r="K4" t="s">
        <v>6625</v>
      </c>
      <c r="L4">
        <v>0</v>
      </c>
      <c r="M4">
        <v>10</v>
      </c>
      <c r="N4">
        <v>10</v>
      </c>
      <c r="O4">
        <v>0</v>
      </c>
      <c r="P4">
        <v>10</v>
      </c>
      <c r="Q4">
        <v>0</v>
      </c>
      <c r="R4">
        <v>0</v>
      </c>
      <c r="S4">
        <v>10</v>
      </c>
      <c r="T4">
        <v>10</v>
      </c>
      <c r="U4">
        <v>0</v>
      </c>
      <c r="V4">
        <v>0</v>
      </c>
      <c r="W4">
        <v>0</v>
      </c>
      <c r="X4">
        <v>0</v>
      </c>
      <c r="Y4">
        <v>0</v>
      </c>
      <c r="Z4">
        <v>10</v>
      </c>
      <c r="AA4">
        <v>0</v>
      </c>
      <c r="AB4">
        <v>0</v>
      </c>
      <c r="AC4">
        <v>0</v>
      </c>
      <c r="AD4">
        <v>0</v>
      </c>
    </row>
    <row r="5" spans="1:30" x14ac:dyDescent="0.3">
      <c r="A5" s="51">
        <v>45887.610196423615</v>
      </c>
      <c r="B5" s="52">
        <v>3</v>
      </c>
      <c r="C5" s="70">
        <f>TA_QY!C5+1</f>
        <v>170</v>
      </c>
      <c r="D5" s="71" t="s">
        <v>2090</v>
      </c>
      <c r="E5" s="70">
        <f t="shared" si="0"/>
        <v>23.000000000006793</v>
      </c>
      <c r="F5" s="70">
        <f t="shared" si="0"/>
        <v>129.99999999999795</v>
      </c>
      <c r="G5" s="70">
        <f t="shared" si="1"/>
        <v>7</v>
      </c>
      <c r="H5" s="70">
        <f t="shared" si="2"/>
        <v>12</v>
      </c>
      <c r="I5" t="s">
        <v>6289</v>
      </c>
      <c r="J5" t="s">
        <v>6290</v>
      </c>
      <c r="K5" t="s">
        <v>6291</v>
      </c>
      <c r="L5">
        <v>0</v>
      </c>
      <c r="M5">
        <v>0</v>
      </c>
      <c r="N5">
        <v>0</v>
      </c>
      <c r="O5">
        <v>0</v>
      </c>
      <c r="P5">
        <v>10</v>
      </c>
      <c r="Q5">
        <v>10</v>
      </c>
      <c r="R5">
        <v>0</v>
      </c>
      <c r="S5">
        <v>10</v>
      </c>
      <c r="T5">
        <v>10</v>
      </c>
      <c r="U5">
        <v>0</v>
      </c>
      <c r="V5">
        <v>0</v>
      </c>
      <c r="W5">
        <v>0</v>
      </c>
      <c r="X5">
        <v>0</v>
      </c>
      <c r="Y5">
        <v>10</v>
      </c>
      <c r="Z5">
        <v>10</v>
      </c>
      <c r="AA5">
        <v>0</v>
      </c>
      <c r="AB5">
        <v>0</v>
      </c>
      <c r="AC5">
        <v>10</v>
      </c>
      <c r="AD5">
        <v>0</v>
      </c>
    </row>
    <row r="6" spans="1:30" x14ac:dyDescent="0.3">
      <c r="A6" s="51">
        <v>45887.647473391204</v>
      </c>
      <c r="B6" s="52">
        <v>4</v>
      </c>
      <c r="C6" s="70">
        <f>TA_QY!C6+1</f>
        <v>176</v>
      </c>
      <c r="D6" s="71" t="s">
        <v>2090</v>
      </c>
      <c r="E6" s="70">
        <f t="shared" si="0"/>
        <v>75.999999999999091</v>
      </c>
      <c r="F6" s="70">
        <f t="shared" si="0"/>
        <v>170.99999999999795</v>
      </c>
      <c r="G6" s="70">
        <f t="shared" si="1"/>
        <v>7</v>
      </c>
      <c r="H6" s="70">
        <f t="shared" si="2"/>
        <v>12</v>
      </c>
      <c r="I6" t="s">
        <v>6295</v>
      </c>
      <c r="J6" t="s">
        <v>6296</v>
      </c>
      <c r="K6" t="s">
        <v>6297</v>
      </c>
      <c r="L6">
        <v>0</v>
      </c>
      <c r="M6">
        <v>0</v>
      </c>
      <c r="N6">
        <v>0</v>
      </c>
      <c r="O6">
        <v>0</v>
      </c>
      <c r="P6">
        <v>10</v>
      </c>
      <c r="Q6">
        <v>10</v>
      </c>
      <c r="R6">
        <v>0</v>
      </c>
      <c r="S6">
        <v>10</v>
      </c>
      <c r="T6">
        <v>10</v>
      </c>
      <c r="U6">
        <v>10</v>
      </c>
      <c r="V6">
        <v>0</v>
      </c>
      <c r="W6">
        <v>10</v>
      </c>
      <c r="X6">
        <v>0</v>
      </c>
      <c r="Y6">
        <v>0</v>
      </c>
      <c r="Z6">
        <v>10</v>
      </c>
      <c r="AA6">
        <v>0</v>
      </c>
      <c r="AB6">
        <v>0</v>
      </c>
      <c r="AC6">
        <v>0</v>
      </c>
      <c r="AD6">
        <v>0</v>
      </c>
    </row>
    <row r="7" spans="1:30" x14ac:dyDescent="0.3">
      <c r="A7" s="51">
        <v>45889.499309328705</v>
      </c>
      <c r="B7" s="52">
        <v>5</v>
      </c>
      <c r="C7" s="70">
        <f>TA_QY!C7+1</f>
        <v>189</v>
      </c>
      <c r="D7" s="71" t="s">
        <v>2090</v>
      </c>
      <c r="E7" s="70">
        <f t="shared" si="0"/>
        <v>23.000000000006793</v>
      </c>
      <c r="F7" s="70">
        <f t="shared" si="0"/>
        <v>176.00000000000193</v>
      </c>
      <c r="G7" s="70">
        <f t="shared" si="1"/>
        <v>8</v>
      </c>
      <c r="H7" s="70">
        <f t="shared" si="2"/>
        <v>11</v>
      </c>
      <c r="I7" t="s">
        <v>6301</v>
      </c>
      <c r="J7" t="s">
        <v>6302</v>
      </c>
      <c r="K7" t="s">
        <v>6303</v>
      </c>
      <c r="L7">
        <v>0</v>
      </c>
      <c r="M7">
        <v>10</v>
      </c>
      <c r="N7">
        <v>0</v>
      </c>
      <c r="O7">
        <v>0</v>
      </c>
      <c r="P7">
        <v>10</v>
      </c>
      <c r="Q7">
        <v>0</v>
      </c>
      <c r="R7">
        <v>0</v>
      </c>
      <c r="S7">
        <v>10</v>
      </c>
      <c r="T7">
        <v>0</v>
      </c>
      <c r="U7">
        <v>10</v>
      </c>
      <c r="V7">
        <v>0</v>
      </c>
      <c r="W7">
        <v>10</v>
      </c>
      <c r="X7">
        <v>0</v>
      </c>
      <c r="Y7">
        <v>10</v>
      </c>
      <c r="Z7">
        <v>10</v>
      </c>
      <c r="AA7">
        <v>0</v>
      </c>
      <c r="AB7">
        <v>0</v>
      </c>
      <c r="AC7">
        <v>10</v>
      </c>
      <c r="AD7">
        <v>0</v>
      </c>
    </row>
    <row r="8" spans="1:30" x14ac:dyDescent="0.3">
      <c r="A8" s="53">
        <v>45909.444653206017</v>
      </c>
      <c r="B8" s="23" t="s">
        <v>38</v>
      </c>
      <c r="C8" s="70">
        <f>TA_QY!C8+1</f>
        <v>215</v>
      </c>
      <c r="D8" s="71" t="s">
        <v>2090</v>
      </c>
      <c r="E8" s="70">
        <f t="shared" si="0"/>
        <v>52.000000000000135</v>
      </c>
      <c r="F8" s="70">
        <f t="shared" si="0"/>
        <v>222.00000000000114</v>
      </c>
      <c r="G8" s="70">
        <f t="shared" si="1"/>
        <v>11</v>
      </c>
      <c r="H8" s="70">
        <f t="shared" si="2"/>
        <v>8</v>
      </c>
      <c r="I8" t="s">
        <v>6307</v>
      </c>
      <c r="J8" t="s">
        <v>6308</v>
      </c>
      <c r="K8" t="s">
        <v>6309</v>
      </c>
      <c r="L8">
        <v>10</v>
      </c>
      <c r="M8">
        <v>10</v>
      </c>
      <c r="N8">
        <v>10</v>
      </c>
      <c r="O8">
        <v>0</v>
      </c>
      <c r="P8">
        <v>9</v>
      </c>
      <c r="Q8">
        <v>10</v>
      </c>
      <c r="R8">
        <v>0</v>
      </c>
      <c r="S8">
        <v>10</v>
      </c>
      <c r="T8">
        <v>10</v>
      </c>
      <c r="U8">
        <v>10</v>
      </c>
      <c r="V8">
        <v>0</v>
      </c>
      <c r="W8">
        <v>0</v>
      </c>
      <c r="X8">
        <v>0</v>
      </c>
      <c r="Y8">
        <v>10</v>
      </c>
      <c r="Z8">
        <v>10</v>
      </c>
      <c r="AA8">
        <v>0</v>
      </c>
      <c r="AB8">
        <v>0</v>
      </c>
      <c r="AC8">
        <v>10</v>
      </c>
      <c r="AD8">
        <v>0</v>
      </c>
    </row>
    <row r="9" spans="1:30" x14ac:dyDescent="0.3">
      <c r="A9" s="53">
        <v>45909.490350810185</v>
      </c>
      <c r="B9" s="23" t="s">
        <v>40</v>
      </c>
      <c r="C9" s="70">
        <f>TA_QY!C9+1</f>
        <v>222</v>
      </c>
      <c r="D9" s="71" t="s">
        <v>2090</v>
      </c>
      <c r="E9" s="70">
        <f t="shared" si="0"/>
        <v>71.999999999996874</v>
      </c>
      <c r="F9" s="70">
        <f t="shared" si="0"/>
        <v>150.00000000000426</v>
      </c>
      <c r="G9" s="70">
        <f t="shared" si="1"/>
        <v>9</v>
      </c>
      <c r="H9" s="70">
        <f t="shared" si="2"/>
        <v>10</v>
      </c>
      <c r="I9" t="s">
        <v>6313</v>
      </c>
      <c r="J9" t="s">
        <v>6314</v>
      </c>
      <c r="K9" t="s">
        <v>6315</v>
      </c>
      <c r="L9">
        <v>8</v>
      </c>
      <c r="M9">
        <v>9</v>
      </c>
      <c r="N9">
        <v>9</v>
      </c>
      <c r="O9">
        <v>0</v>
      </c>
      <c r="P9">
        <v>8</v>
      </c>
      <c r="Q9">
        <v>10</v>
      </c>
      <c r="R9">
        <v>0</v>
      </c>
      <c r="S9">
        <v>9</v>
      </c>
      <c r="T9">
        <v>8</v>
      </c>
      <c r="U9">
        <v>9</v>
      </c>
      <c r="V9">
        <v>0</v>
      </c>
      <c r="W9">
        <v>0</v>
      </c>
      <c r="X9">
        <v>0</v>
      </c>
      <c r="Y9">
        <v>0</v>
      </c>
      <c r="Z9">
        <v>10</v>
      </c>
      <c r="AA9">
        <v>0</v>
      </c>
      <c r="AB9">
        <v>0</v>
      </c>
      <c r="AC9">
        <v>0</v>
      </c>
      <c r="AD9">
        <v>0</v>
      </c>
    </row>
    <row r="10" spans="1:30" x14ac:dyDescent="0.3">
      <c r="A10" s="53">
        <v>45909.571112488426</v>
      </c>
      <c r="B10" s="23" t="s">
        <v>41</v>
      </c>
      <c r="C10" s="70">
        <f>TA_QY!C10+1</f>
        <v>233</v>
      </c>
      <c r="D10" s="71" t="s">
        <v>2090</v>
      </c>
      <c r="E10" s="70">
        <f t="shared" si="0"/>
        <v>53.00000000000189</v>
      </c>
      <c r="F10" s="70">
        <f t="shared" si="0"/>
        <v>137.00000000000543</v>
      </c>
      <c r="G10" s="70">
        <f t="shared" si="1"/>
        <v>8</v>
      </c>
      <c r="H10" s="70">
        <f t="shared" si="2"/>
        <v>11</v>
      </c>
      <c r="I10" t="s">
        <v>6319</v>
      </c>
      <c r="J10" t="s">
        <v>6320</v>
      </c>
      <c r="K10" t="s">
        <v>6321</v>
      </c>
      <c r="L10">
        <v>0</v>
      </c>
      <c r="M10">
        <v>0</v>
      </c>
      <c r="N10">
        <v>0</v>
      </c>
      <c r="O10">
        <v>0</v>
      </c>
      <c r="P10">
        <v>10</v>
      </c>
      <c r="Q10">
        <v>10</v>
      </c>
      <c r="R10">
        <v>0</v>
      </c>
      <c r="S10">
        <v>10</v>
      </c>
      <c r="T10">
        <v>10</v>
      </c>
      <c r="U10">
        <v>10</v>
      </c>
      <c r="V10">
        <v>0</v>
      </c>
      <c r="W10">
        <v>0</v>
      </c>
      <c r="X10">
        <v>0</v>
      </c>
      <c r="Y10">
        <v>10</v>
      </c>
      <c r="Z10">
        <v>10</v>
      </c>
      <c r="AA10">
        <v>0</v>
      </c>
      <c r="AB10">
        <v>0</v>
      </c>
      <c r="AC10">
        <v>10</v>
      </c>
      <c r="AD10">
        <v>0</v>
      </c>
    </row>
    <row r="11" spans="1:30" x14ac:dyDescent="0.3">
      <c r="A11" s="53">
        <v>45909.613403391202</v>
      </c>
      <c r="B11" s="23" t="s">
        <v>42</v>
      </c>
      <c r="C11" s="70">
        <f>TA_QY!C11+1</f>
        <v>240</v>
      </c>
      <c r="D11" s="71" t="s">
        <v>2090</v>
      </c>
      <c r="E11" s="70">
        <f t="shared" si="0"/>
        <v>41.999999999996973</v>
      </c>
      <c r="F11" s="70">
        <f t="shared" si="0"/>
        <v>186.00000000000028</v>
      </c>
      <c r="G11" s="70">
        <f t="shared" si="1"/>
        <v>11</v>
      </c>
      <c r="H11" s="70">
        <f t="shared" si="2"/>
        <v>8</v>
      </c>
      <c r="I11" t="s">
        <v>6325</v>
      </c>
      <c r="J11" t="s">
        <v>6326</v>
      </c>
      <c r="K11" t="s">
        <v>6327</v>
      </c>
      <c r="L11">
        <v>9</v>
      </c>
      <c r="M11">
        <v>9</v>
      </c>
      <c r="N11">
        <v>9</v>
      </c>
      <c r="O11">
        <v>0</v>
      </c>
      <c r="P11">
        <v>10</v>
      </c>
      <c r="Q11">
        <v>7</v>
      </c>
      <c r="R11">
        <v>0</v>
      </c>
      <c r="S11">
        <v>9</v>
      </c>
      <c r="T11">
        <v>10</v>
      </c>
      <c r="U11">
        <v>9</v>
      </c>
      <c r="V11">
        <v>0</v>
      </c>
      <c r="W11">
        <v>0</v>
      </c>
      <c r="X11">
        <v>0</v>
      </c>
      <c r="Y11">
        <v>9</v>
      </c>
      <c r="Z11">
        <v>8</v>
      </c>
      <c r="AA11">
        <v>0</v>
      </c>
      <c r="AB11">
        <v>0</v>
      </c>
      <c r="AC11">
        <v>9</v>
      </c>
      <c r="AD11">
        <v>0</v>
      </c>
    </row>
    <row r="12" spans="1:30" x14ac:dyDescent="0.3">
      <c r="A12" s="53">
        <v>45909.662530416666</v>
      </c>
      <c r="B12" s="23" t="s">
        <v>44</v>
      </c>
      <c r="C12" s="70">
        <f>TA_QY!C12+1</f>
        <v>251</v>
      </c>
      <c r="D12" s="71" t="s">
        <v>2090</v>
      </c>
      <c r="E12" s="70">
        <f t="shared" si="0"/>
        <v>104.99999999999723</v>
      </c>
      <c r="F12" s="70">
        <f t="shared" si="0"/>
        <v>324.99999999999966</v>
      </c>
      <c r="G12" s="70">
        <f t="shared" si="1"/>
        <v>8</v>
      </c>
      <c r="H12" s="70">
        <f t="shared" si="2"/>
        <v>11</v>
      </c>
      <c r="I12" t="s">
        <v>6337</v>
      </c>
      <c r="J12" t="s">
        <v>6338</v>
      </c>
      <c r="K12" t="s">
        <v>6339</v>
      </c>
      <c r="L12">
        <v>10</v>
      </c>
      <c r="M12">
        <v>10</v>
      </c>
      <c r="N12">
        <v>10</v>
      </c>
      <c r="O12">
        <v>0</v>
      </c>
      <c r="P12">
        <v>10</v>
      </c>
      <c r="Q12">
        <v>9</v>
      </c>
      <c r="R12">
        <v>0</v>
      </c>
      <c r="S12">
        <v>10</v>
      </c>
      <c r="T12">
        <v>10</v>
      </c>
      <c r="U12">
        <v>10</v>
      </c>
      <c r="V12">
        <v>0</v>
      </c>
      <c r="W12">
        <v>0</v>
      </c>
      <c r="X12">
        <v>0</v>
      </c>
      <c r="Y12">
        <v>0</v>
      </c>
      <c r="Z12">
        <v>0</v>
      </c>
      <c r="AA12">
        <v>0</v>
      </c>
      <c r="AB12">
        <v>0</v>
      </c>
      <c r="AC12">
        <v>0</v>
      </c>
      <c r="AD12">
        <v>0</v>
      </c>
    </row>
    <row r="13" spans="1:30" x14ac:dyDescent="0.3">
      <c r="A13" s="53">
        <v>45909.707308969912</v>
      </c>
      <c r="B13" s="23" t="s">
        <v>45</v>
      </c>
      <c r="C13" s="70">
        <f>TA_QY!C13+1</f>
        <v>258</v>
      </c>
      <c r="D13" s="71" t="s">
        <v>2090</v>
      </c>
      <c r="E13" s="70">
        <f t="shared" si="0"/>
        <v>25.999999999997669</v>
      </c>
      <c r="F13" s="70">
        <f t="shared" si="0"/>
        <v>213.00000000000452</v>
      </c>
      <c r="G13" s="70">
        <f t="shared" si="1"/>
        <v>10</v>
      </c>
      <c r="H13" s="70">
        <f t="shared" si="2"/>
        <v>9</v>
      </c>
      <c r="I13" t="s">
        <v>6349</v>
      </c>
      <c r="J13" t="s">
        <v>6350</v>
      </c>
      <c r="K13" t="s">
        <v>6351</v>
      </c>
      <c r="L13">
        <v>10</v>
      </c>
      <c r="M13">
        <v>9</v>
      </c>
      <c r="N13">
        <v>7</v>
      </c>
      <c r="O13">
        <v>0</v>
      </c>
      <c r="P13">
        <v>10</v>
      </c>
      <c r="Q13">
        <v>0</v>
      </c>
      <c r="R13">
        <v>0</v>
      </c>
      <c r="S13">
        <v>10</v>
      </c>
      <c r="T13">
        <v>10</v>
      </c>
      <c r="U13">
        <v>10</v>
      </c>
      <c r="V13">
        <v>0</v>
      </c>
      <c r="W13">
        <v>0</v>
      </c>
      <c r="X13">
        <v>0</v>
      </c>
      <c r="Y13">
        <v>10</v>
      </c>
      <c r="Z13">
        <v>10</v>
      </c>
      <c r="AA13">
        <v>0</v>
      </c>
      <c r="AB13">
        <v>0</v>
      </c>
      <c r="AC13">
        <v>10</v>
      </c>
      <c r="AD13">
        <v>0</v>
      </c>
    </row>
    <row r="14" spans="1:30" x14ac:dyDescent="0.3">
      <c r="A14" s="53">
        <v>45909.751557291667</v>
      </c>
      <c r="B14" s="23" t="s">
        <v>46</v>
      </c>
      <c r="C14" s="70">
        <f>TA_QY!C14+1</f>
        <v>269</v>
      </c>
      <c r="D14" s="71" t="s">
        <v>2090</v>
      </c>
      <c r="E14" s="70">
        <f t="shared" si="0"/>
        <v>72.000000000001663</v>
      </c>
      <c r="F14" s="70">
        <f t="shared" si="0"/>
        <v>208.00000000000054</v>
      </c>
      <c r="G14" s="70">
        <f t="shared" si="1"/>
        <v>11</v>
      </c>
      <c r="H14" s="70">
        <f t="shared" si="2"/>
        <v>8</v>
      </c>
      <c r="I14" t="s">
        <v>6361</v>
      </c>
      <c r="J14" t="s">
        <v>6362</v>
      </c>
      <c r="K14" t="s">
        <v>6363</v>
      </c>
      <c r="L14">
        <v>10</v>
      </c>
      <c r="M14">
        <v>10</v>
      </c>
      <c r="N14">
        <v>10</v>
      </c>
      <c r="O14">
        <v>0</v>
      </c>
      <c r="P14">
        <v>10</v>
      </c>
      <c r="Q14">
        <v>10</v>
      </c>
      <c r="R14">
        <v>0</v>
      </c>
      <c r="S14">
        <v>10</v>
      </c>
      <c r="T14">
        <v>10</v>
      </c>
      <c r="U14">
        <v>10</v>
      </c>
      <c r="V14">
        <v>0</v>
      </c>
      <c r="W14">
        <v>0</v>
      </c>
      <c r="X14">
        <v>0</v>
      </c>
      <c r="Y14">
        <v>10</v>
      </c>
      <c r="Z14">
        <v>10</v>
      </c>
      <c r="AA14">
        <v>0</v>
      </c>
      <c r="AB14">
        <v>0</v>
      </c>
      <c r="AC14">
        <v>10</v>
      </c>
      <c r="AD14">
        <v>0</v>
      </c>
    </row>
    <row r="15" spans="1:30" x14ac:dyDescent="0.3">
      <c r="A15" s="53">
        <v>45910.584917060187</v>
      </c>
      <c r="B15" s="23" t="s">
        <v>47</v>
      </c>
      <c r="C15" s="70">
        <f>TA_QY!C15+1</f>
        <v>279</v>
      </c>
      <c r="D15" s="71" t="s">
        <v>2090</v>
      </c>
      <c r="E15" s="70">
        <f t="shared" si="0"/>
        <v>97.999999999999332</v>
      </c>
      <c r="F15" s="70">
        <f t="shared" si="0"/>
        <v>166.00000000000358</v>
      </c>
      <c r="G15" s="70">
        <f t="shared" si="1"/>
        <v>9</v>
      </c>
      <c r="H15" s="70">
        <f t="shared" si="2"/>
        <v>10</v>
      </c>
      <c r="I15" t="s">
        <v>6373</v>
      </c>
      <c r="J15" t="s">
        <v>6374</v>
      </c>
      <c r="K15" t="s">
        <v>6375</v>
      </c>
      <c r="L15">
        <v>10</v>
      </c>
      <c r="M15">
        <v>8</v>
      </c>
      <c r="N15">
        <v>4</v>
      </c>
      <c r="O15">
        <v>0</v>
      </c>
      <c r="P15">
        <v>9</v>
      </c>
      <c r="Q15">
        <v>8</v>
      </c>
      <c r="R15">
        <v>0</v>
      </c>
      <c r="S15">
        <v>7</v>
      </c>
      <c r="T15">
        <v>1</v>
      </c>
      <c r="U15">
        <v>10</v>
      </c>
      <c r="V15">
        <v>0</v>
      </c>
      <c r="W15">
        <v>0</v>
      </c>
      <c r="X15">
        <v>0</v>
      </c>
      <c r="Y15">
        <v>8</v>
      </c>
      <c r="Z15">
        <v>10</v>
      </c>
      <c r="AA15">
        <v>0</v>
      </c>
      <c r="AB15">
        <v>0</v>
      </c>
      <c r="AC15">
        <v>10</v>
      </c>
      <c r="AD15">
        <v>0</v>
      </c>
    </row>
    <row r="16" spans="1:30" x14ac:dyDescent="0.3">
      <c r="A16" s="53">
        <v>45910.691854594908</v>
      </c>
      <c r="B16" s="23" t="s">
        <v>48</v>
      </c>
      <c r="C16" s="70">
        <f>TA_QY!C16+1</f>
        <v>289</v>
      </c>
      <c r="D16" s="71" t="s">
        <v>2090</v>
      </c>
      <c r="E16" s="70">
        <f t="shared" si="0"/>
        <v>29.000000000007731</v>
      </c>
      <c r="F16" s="70">
        <f t="shared" si="0"/>
        <v>187.9999999999942</v>
      </c>
      <c r="G16" s="70">
        <f t="shared" si="1"/>
        <v>11</v>
      </c>
      <c r="H16" s="70">
        <f t="shared" si="2"/>
        <v>8</v>
      </c>
      <c r="I16" t="s">
        <v>6379</v>
      </c>
      <c r="J16" t="s">
        <v>6380</v>
      </c>
      <c r="K16" t="s">
        <v>6381</v>
      </c>
      <c r="L16">
        <v>10</v>
      </c>
      <c r="M16">
        <v>10</v>
      </c>
      <c r="N16">
        <v>10</v>
      </c>
      <c r="O16">
        <v>0</v>
      </c>
      <c r="P16">
        <v>10</v>
      </c>
      <c r="Q16">
        <v>10</v>
      </c>
      <c r="R16">
        <v>0</v>
      </c>
      <c r="S16">
        <v>10</v>
      </c>
      <c r="T16">
        <v>10</v>
      </c>
      <c r="U16">
        <v>10</v>
      </c>
      <c r="V16">
        <v>0</v>
      </c>
      <c r="W16">
        <v>0</v>
      </c>
      <c r="X16">
        <v>0</v>
      </c>
      <c r="Y16">
        <v>10</v>
      </c>
      <c r="Z16">
        <v>10</v>
      </c>
      <c r="AA16">
        <v>0</v>
      </c>
      <c r="AB16">
        <v>0</v>
      </c>
      <c r="AC16">
        <v>10</v>
      </c>
      <c r="AD16">
        <v>0</v>
      </c>
    </row>
    <row r="17" spans="1:30" x14ac:dyDescent="0.3">
      <c r="A17" s="53">
        <v>45910.737771979169</v>
      </c>
      <c r="B17" s="23" t="s">
        <v>49</v>
      </c>
      <c r="C17" s="70">
        <f>TA_QY!C17+1</f>
        <v>300</v>
      </c>
      <c r="D17" s="71" t="s">
        <v>2090</v>
      </c>
      <c r="E17" s="70">
        <f t="shared" si="0"/>
        <v>91.999999999998394</v>
      </c>
      <c r="F17" s="70">
        <f t="shared" si="0"/>
        <v>151.00000000000122</v>
      </c>
      <c r="G17" s="70">
        <f t="shared" si="1"/>
        <v>9</v>
      </c>
      <c r="H17" s="70">
        <f t="shared" si="2"/>
        <v>10</v>
      </c>
      <c r="I17" t="s">
        <v>6391</v>
      </c>
      <c r="J17" t="s">
        <v>6392</v>
      </c>
      <c r="K17" t="s">
        <v>6393</v>
      </c>
      <c r="L17">
        <v>6</v>
      </c>
      <c r="M17">
        <v>6</v>
      </c>
      <c r="N17">
        <v>6</v>
      </c>
      <c r="O17">
        <v>0</v>
      </c>
      <c r="P17">
        <v>6</v>
      </c>
      <c r="Q17">
        <v>6</v>
      </c>
      <c r="R17">
        <v>0</v>
      </c>
      <c r="S17">
        <v>6</v>
      </c>
      <c r="T17">
        <v>6</v>
      </c>
      <c r="U17">
        <v>4</v>
      </c>
      <c r="V17">
        <v>0</v>
      </c>
      <c r="W17">
        <v>0</v>
      </c>
      <c r="X17">
        <v>0</v>
      </c>
      <c r="Y17">
        <v>6</v>
      </c>
      <c r="Z17">
        <v>6</v>
      </c>
      <c r="AA17">
        <v>0</v>
      </c>
      <c r="AB17">
        <v>0</v>
      </c>
      <c r="AC17">
        <v>4</v>
      </c>
      <c r="AD17">
        <v>0</v>
      </c>
    </row>
    <row r="18" spans="1:30" x14ac:dyDescent="0.3">
      <c r="A18" s="53">
        <v>45912.400994479161</v>
      </c>
      <c r="B18" s="23" t="s">
        <v>50</v>
      </c>
      <c r="C18" s="70">
        <f>TA_QY!C18+1</f>
        <v>308</v>
      </c>
      <c r="D18" s="71" t="s">
        <v>2090</v>
      </c>
      <c r="E18" s="70">
        <f t="shared" si="0"/>
        <v>85.999999999997456</v>
      </c>
      <c r="F18" s="70">
        <f t="shared" si="0"/>
        <v>164.00000000000006</v>
      </c>
      <c r="G18" s="70">
        <f t="shared" si="1"/>
        <v>9</v>
      </c>
      <c r="H18" s="70">
        <f t="shared" si="2"/>
        <v>10</v>
      </c>
      <c r="I18" t="s">
        <v>6409</v>
      </c>
      <c r="J18" t="s">
        <v>6410</v>
      </c>
      <c r="K18" t="s">
        <v>6411</v>
      </c>
      <c r="L18">
        <v>10</v>
      </c>
      <c r="M18">
        <v>10</v>
      </c>
      <c r="N18">
        <v>0</v>
      </c>
      <c r="O18">
        <v>0</v>
      </c>
      <c r="P18">
        <v>10</v>
      </c>
      <c r="Q18">
        <v>0</v>
      </c>
      <c r="R18">
        <v>0</v>
      </c>
      <c r="S18">
        <v>10</v>
      </c>
      <c r="T18">
        <v>9</v>
      </c>
      <c r="U18">
        <v>10</v>
      </c>
      <c r="V18">
        <v>0</v>
      </c>
      <c r="W18">
        <v>0</v>
      </c>
      <c r="X18">
        <v>0</v>
      </c>
      <c r="Y18">
        <v>10</v>
      </c>
      <c r="Z18">
        <v>10</v>
      </c>
      <c r="AA18">
        <v>0</v>
      </c>
      <c r="AB18">
        <v>0</v>
      </c>
      <c r="AC18">
        <v>10</v>
      </c>
      <c r="AD18">
        <v>0</v>
      </c>
    </row>
    <row r="19" spans="1:30" x14ac:dyDescent="0.3">
      <c r="A19" s="53">
        <v>45912.446164340276</v>
      </c>
      <c r="B19" s="23" t="s">
        <v>51</v>
      </c>
      <c r="C19" s="70">
        <f>TA_QY!C19+1</f>
        <v>319</v>
      </c>
      <c r="D19" s="71" t="s">
        <v>2090</v>
      </c>
      <c r="E19" s="70">
        <f t="shared" ref="E19:F34" si="3">(J19-I19)*86400</f>
        <v>92.000000000003183</v>
      </c>
      <c r="F19" s="70">
        <f t="shared" si="3"/>
        <v>263.99999999999812</v>
      </c>
      <c r="G19" s="70">
        <f t="shared" si="1"/>
        <v>10</v>
      </c>
      <c r="H19" s="70">
        <f t="shared" si="2"/>
        <v>9</v>
      </c>
      <c r="I19" t="s">
        <v>6421</v>
      </c>
      <c r="J19" t="s">
        <v>6422</v>
      </c>
      <c r="K19" t="s">
        <v>6423</v>
      </c>
      <c r="L19">
        <v>10</v>
      </c>
      <c r="M19">
        <v>10</v>
      </c>
      <c r="N19">
        <v>10</v>
      </c>
      <c r="O19">
        <v>0</v>
      </c>
      <c r="P19">
        <v>10</v>
      </c>
      <c r="Q19">
        <v>10</v>
      </c>
      <c r="R19">
        <v>0</v>
      </c>
      <c r="S19">
        <v>10</v>
      </c>
      <c r="T19">
        <v>10</v>
      </c>
      <c r="U19">
        <v>0</v>
      </c>
      <c r="V19">
        <v>0</v>
      </c>
      <c r="W19">
        <v>0</v>
      </c>
      <c r="X19">
        <v>0</v>
      </c>
      <c r="Y19">
        <v>10</v>
      </c>
      <c r="Z19">
        <v>10</v>
      </c>
      <c r="AA19">
        <v>0</v>
      </c>
      <c r="AB19">
        <v>0</v>
      </c>
      <c r="AC19">
        <v>10</v>
      </c>
      <c r="AD19">
        <v>0</v>
      </c>
    </row>
    <row r="20" spans="1:30" x14ac:dyDescent="0.3">
      <c r="A20" s="53">
        <v>45912.493647233801</v>
      </c>
      <c r="B20" s="23" t="s">
        <v>52</v>
      </c>
      <c r="C20" s="70">
        <f>TA_QY!C20+1</f>
        <v>327</v>
      </c>
      <c r="D20" s="71" t="s">
        <v>2090</v>
      </c>
      <c r="E20" s="70">
        <f t="shared" si="3"/>
        <v>21.000000000003283</v>
      </c>
      <c r="F20" s="70">
        <f t="shared" si="3"/>
        <v>220.99999999999937</v>
      </c>
      <c r="G20" s="70">
        <f t="shared" si="1"/>
        <v>11</v>
      </c>
      <c r="H20" s="70">
        <f t="shared" si="2"/>
        <v>8</v>
      </c>
      <c r="I20" t="s">
        <v>6432</v>
      </c>
      <c r="J20" t="s">
        <v>6433</v>
      </c>
      <c r="K20" t="s">
        <v>6434</v>
      </c>
      <c r="L20">
        <v>9</v>
      </c>
      <c r="M20">
        <v>8</v>
      </c>
      <c r="N20">
        <v>8</v>
      </c>
      <c r="O20">
        <v>0</v>
      </c>
      <c r="P20">
        <v>8</v>
      </c>
      <c r="Q20">
        <v>9</v>
      </c>
      <c r="R20">
        <v>0</v>
      </c>
      <c r="S20">
        <v>9</v>
      </c>
      <c r="T20">
        <v>8</v>
      </c>
      <c r="U20">
        <v>10</v>
      </c>
      <c r="V20">
        <v>0</v>
      </c>
      <c r="W20">
        <v>0</v>
      </c>
      <c r="X20">
        <v>0</v>
      </c>
      <c r="Y20">
        <v>8</v>
      </c>
      <c r="Z20">
        <v>9</v>
      </c>
      <c r="AA20">
        <v>0</v>
      </c>
      <c r="AB20">
        <v>0</v>
      </c>
      <c r="AC20">
        <v>8</v>
      </c>
      <c r="AD20">
        <v>0</v>
      </c>
    </row>
    <row r="21" spans="1:30" x14ac:dyDescent="0.3">
      <c r="A21" s="53">
        <v>45912.578483981481</v>
      </c>
      <c r="B21" s="23" t="s">
        <v>53</v>
      </c>
      <c r="C21" s="70">
        <f>TA_QY!C21+1</f>
        <v>339</v>
      </c>
      <c r="D21" s="71" t="s">
        <v>2090</v>
      </c>
      <c r="E21" s="70">
        <f t="shared" si="3"/>
        <v>24.000000000003752</v>
      </c>
      <c r="F21" s="70">
        <f t="shared" si="3"/>
        <v>202.99999999999656</v>
      </c>
      <c r="G21" s="70">
        <f t="shared" si="1"/>
        <v>11</v>
      </c>
      <c r="H21" s="70">
        <f t="shared" si="2"/>
        <v>8</v>
      </c>
      <c r="I21" t="s">
        <v>6444</v>
      </c>
      <c r="J21" t="s">
        <v>6445</v>
      </c>
      <c r="K21" t="s">
        <v>6446</v>
      </c>
      <c r="L21">
        <v>10</v>
      </c>
      <c r="M21">
        <v>10</v>
      </c>
      <c r="N21">
        <v>10</v>
      </c>
      <c r="O21">
        <v>0</v>
      </c>
      <c r="P21">
        <v>10</v>
      </c>
      <c r="Q21">
        <v>10</v>
      </c>
      <c r="R21">
        <v>0</v>
      </c>
      <c r="S21">
        <v>10</v>
      </c>
      <c r="T21">
        <v>10</v>
      </c>
      <c r="U21">
        <v>10</v>
      </c>
      <c r="V21">
        <v>0</v>
      </c>
      <c r="W21">
        <v>0</v>
      </c>
      <c r="X21">
        <v>0</v>
      </c>
      <c r="Y21">
        <v>10</v>
      </c>
      <c r="Z21">
        <v>10</v>
      </c>
      <c r="AA21">
        <v>0</v>
      </c>
      <c r="AB21">
        <v>0</v>
      </c>
      <c r="AC21">
        <v>10</v>
      </c>
      <c r="AD21">
        <v>0</v>
      </c>
    </row>
    <row r="22" spans="1:30" x14ac:dyDescent="0.3">
      <c r="A22" s="53">
        <v>45912.630338414354</v>
      </c>
      <c r="B22" s="23" t="s">
        <v>66</v>
      </c>
      <c r="C22" s="70">
        <f>TA_QY!C22+1</f>
        <v>346</v>
      </c>
      <c r="D22" s="71" t="s">
        <v>2090</v>
      </c>
      <c r="E22" s="70">
        <f t="shared" si="3"/>
        <v>22.000000000000242</v>
      </c>
      <c r="F22" s="70">
        <f t="shared" si="3"/>
        <v>291.00000000000711</v>
      </c>
      <c r="G22" s="70">
        <f t="shared" si="1"/>
        <v>11</v>
      </c>
      <c r="H22" s="70">
        <f t="shared" si="2"/>
        <v>8</v>
      </c>
      <c r="I22" t="s">
        <v>6456</v>
      </c>
      <c r="J22" t="s">
        <v>6457</v>
      </c>
      <c r="K22" t="s">
        <v>6458</v>
      </c>
      <c r="L22">
        <v>10</v>
      </c>
      <c r="M22">
        <v>10</v>
      </c>
      <c r="N22">
        <v>10</v>
      </c>
      <c r="O22">
        <v>0</v>
      </c>
      <c r="P22">
        <v>10</v>
      </c>
      <c r="Q22">
        <v>10</v>
      </c>
      <c r="R22">
        <v>0</v>
      </c>
      <c r="S22">
        <v>10</v>
      </c>
      <c r="T22">
        <v>10</v>
      </c>
      <c r="U22">
        <v>10</v>
      </c>
      <c r="V22">
        <v>0</v>
      </c>
      <c r="W22">
        <v>0</v>
      </c>
      <c r="X22">
        <v>0</v>
      </c>
      <c r="Y22">
        <v>10</v>
      </c>
      <c r="Z22">
        <v>10</v>
      </c>
      <c r="AA22">
        <v>0</v>
      </c>
      <c r="AB22">
        <v>0</v>
      </c>
      <c r="AC22">
        <v>10</v>
      </c>
      <c r="AD22">
        <v>0</v>
      </c>
    </row>
    <row r="23" spans="1:30" x14ac:dyDescent="0.3">
      <c r="A23" s="53">
        <v>45912.669901064815</v>
      </c>
      <c r="B23" s="23" t="s">
        <v>54</v>
      </c>
      <c r="C23" s="70">
        <f>TA_QY!C23+1</f>
        <v>357</v>
      </c>
      <c r="D23" s="71" t="s">
        <v>2090</v>
      </c>
      <c r="E23" s="70">
        <f t="shared" si="3"/>
        <v>73.99999999999558</v>
      </c>
      <c r="F23" s="70">
        <f t="shared" si="3"/>
        <v>153.00000000000472</v>
      </c>
      <c r="G23" s="70">
        <f t="shared" si="1"/>
        <v>9</v>
      </c>
      <c r="H23" s="70">
        <f t="shared" si="2"/>
        <v>9</v>
      </c>
      <c r="I23" t="s">
        <v>6468</v>
      </c>
      <c r="J23" t="s">
        <v>6469</v>
      </c>
      <c r="K23" t="s">
        <v>6470</v>
      </c>
      <c r="L23">
        <v>10</v>
      </c>
      <c r="M23">
        <v>10</v>
      </c>
      <c r="N23">
        <v>10</v>
      </c>
      <c r="O23">
        <v>0</v>
      </c>
      <c r="P23">
        <v>10</v>
      </c>
      <c r="Q23">
        <v>10</v>
      </c>
      <c r="R23">
        <v>0</v>
      </c>
      <c r="S23">
        <v>10</v>
      </c>
      <c r="T23">
        <v>5</v>
      </c>
      <c r="U23">
        <v>4</v>
      </c>
      <c r="V23">
        <v>0</v>
      </c>
      <c r="W23">
        <v>0</v>
      </c>
      <c r="X23">
        <v>0</v>
      </c>
      <c r="Y23">
        <v>10</v>
      </c>
      <c r="Z23">
        <v>10</v>
      </c>
      <c r="AA23">
        <v>0</v>
      </c>
      <c r="AB23">
        <v>0</v>
      </c>
      <c r="AC23">
        <v>10</v>
      </c>
      <c r="AD23">
        <v>0</v>
      </c>
    </row>
    <row r="24" spans="1:30" x14ac:dyDescent="0.3">
      <c r="A24" s="53">
        <v>45912.719724236114</v>
      </c>
      <c r="B24" s="23" t="s">
        <v>55</v>
      </c>
      <c r="C24" s="70">
        <f>TA_QY!C24+1</f>
        <v>364</v>
      </c>
      <c r="D24" s="71" t="s">
        <v>2090</v>
      </c>
      <c r="E24" s="70">
        <f t="shared" si="3"/>
        <v>45.000000000007034</v>
      </c>
      <c r="F24" s="70">
        <f t="shared" si="3"/>
        <v>184.99999999999375</v>
      </c>
      <c r="G24" s="70">
        <f t="shared" si="1"/>
        <v>9</v>
      </c>
      <c r="H24" s="70">
        <f t="shared" si="2"/>
        <v>10</v>
      </c>
      <c r="I24" t="s">
        <v>6480</v>
      </c>
      <c r="J24" t="s">
        <v>6481</v>
      </c>
      <c r="K24" t="s">
        <v>6482</v>
      </c>
      <c r="L24">
        <v>0</v>
      </c>
      <c r="M24">
        <v>8</v>
      </c>
      <c r="N24">
        <v>10</v>
      </c>
      <c r="O24">
        <v>0</v>
      </c>
      <c r="P24">
        <v>6</v>
      </c>
      <c r="Q24">
        <v>1</v>
      </c>
      <c r="R24">
        <v>0</v>
      </c>
      <c r="S24">
        <v>8</v>
      </c>
      <c r="T24">
        <v>8</v>
      </c>
      <c r="U24">
        <v>10</v>
      </c>
      <c r="V24">
        <v>0</v>
      </c>
      <c r="W24">
        <v>0</v>
      </c>
      <c r="X24">
        <v>0</v>
      </c>
      <c r="Y24">
        <v>10</v>
      </c>
      <c r="Z24">
        <v>10</v>
      </c>
      <c r="AA24">
        <v>0</v>
      </c>
      <c r="AB24">
        <v>0</v>
      </c>
      <c r="AC24">
        <v>7</v>
      </c>
      <c r="AD24">
        <v>0</v>
      </c>
    </row>
    <row r="25" spans="1:30" x14ac:dyDescent="0.3">
      <c r="A25" s="53">
        <v>45915.492289108792</v>
      </c>
      <c r="B25" s="23" t="s">
        <v>56</v>
      </c>
      <c r="C25" s="70">
        <f>TA_QY!C25+1</f>
        <v>381</v>
      </c>
      <c r="D25" s="71" t="s">
        <v>2090</v>
      </c>
      <c r="E25" s="70">
        <f>(J25-I25)*86400</f>
        <v>77.999999999993008</v>
      </c>
      <c r="F25" s="70">
        <f>(K25-J25)*86400</f>
        <v>216.000000000005</v>
      </c>
      <c r="G25" s="70">
        <f t="shared" si="1"/>
        <v>11</v>
      </c>
      <c r="H25" s="70">
        <f t="shared" si="2"/>
        <v>8</v>
      </c>
      <c r="I25" t="s">
        <v>6491</v>
      </c>
      <c r="J25" t="s">
        <v>6492</v>
      </c>
      <c r="K25" t="s">
        <v>6493</v>
      </c>
      <c r="L25">
        <v>10</v>
      </c>
      <c r="M25">
        <v>10</v>
      </c>
      <c r="N25">
        <v>10</v>
      </c>
      <c r="O25">
        <v>0</v>
      </c>
      <c r="P25">
        <v>10</v>
      </c>
      <c r="Q25">
        <v>10</v>
      </c>
      <c r="R25">
        <v>0</v>
      </c>
      <c r="S25">
        <v>10</v>
      </c>
      <c r="T25">
        <v>10</v>
      </c>
      <c r="U25">
        <v>10</v>
      </c>
      <c r="V25">
        <v>0</v>
      </c>
      <c r="W25">
        <v>0</v>
      </c>
      <c r="X25">
        <v>0</v>
      </c>
      <c r="Y25">
        <v>10</v>
      </c>
      <c r="Z25">
        <v>10</v>
      </c>
      <c r="AA25">
        <v>0</v>
      </c>
      <c r="AB25">
        <v>0</v>
      </c>
      <c r="AC25">
        <v>10</v>
      </c>
      <c r="AD25">
        <v>0</v>
      </c>
    </row>
    <row r="26" spans="1:30" x14ac:dyDescent="0.3">
      <c r="A26" s="53">
        <v>45915.572406168983</v>
      </c>
      <c r="B26" s="23" t="s">
        <v>57</v>
      </c>
      <c r="C26" s="70">
        <f>TA_QY!C26+1</f>
        <v>388</v>
      </c>
      <c r="D26" s="71" t="s">
        <v>2090</v>
      </c>
      <c r="E26" s="70">
        <f t="shared" si="3"/>
        <v>53.999999999998849</v>
      </c>
      <c r="F26" s="70">
        <f t="shared" si="3"/>
        <v>162.99999999999352</v>
      </c>
      <c r="G26" s="70">
        <f t="shared" si="1"/>
        <v>9</v>
      </c>
      <c r="H26" s="70">
        <f t="shared" si="2"/>
        <v>10</v>
      </c>
      <c r="I26" t="s">
        <v>6503</v>
      </c>
      <c r="J26" t="s">
        <v>6504</v>
      </c>
      <c r="K26" t="s">
        <v>6505</v>
      </c>
      <c r="L26">
        <v>10</v>
      </c>
      <c r="M26">
        <v>9</v>
      </c>
      <c r="N26">
        <v>2</v>
      </c>
      <c r="O26">
        <v>0</v>
      </c>
      <c r="P26">
        <v>2</v>
      </c>
      <c r="Q26">
        <v>9</v>
      </c>
      <c r="R26">
        <v>0</v>
      </c>
      <c r="S26">
        <v>9</v>
      </c>
      <c r="T26">
        <v>8</v>
      </c>
      <c r="U26">
        <v>8</v>
      </c>
      <c r="V26">
        <v>0</v>
      </c>
      <c r="W26">
        <v>0</v>
      </c>
      <c r="X26">
        <v>0</v>
      </c>
      <c r="Y26">
        <v>8</v>
      </c>
      <c r="Z26">
        <v>9</v>
      </c>
      <c r="AA26">
        <v>0</v>
      </c>
      <c r="AB26">
        <v>0</v>
      </c>
      <c r="AC26">
        <v>9</v>
      </c>
      <c r="AD26">
        <v>0</v>
      </c>
    </row>
    <row r="27" spans="1:30" x14ac:dyDescent="0.3">
      <c r="A27" s="53">
        <v>45916.480977569445</v>
      </c>
      <c r="B27" s="23" t="s">
        <v>58</v>
      </c>
      <c r="C27" s="70">
        <f>TA_QY!C27+1</f>
        <v>11</v>
      </c>
      <c r="D27" s="71" t="s">
        <v>2090</v>
      </c>
      <c r="E27" s="70">
        <f t="shared" si="3"/>
        <v>40.000000000003055</v>
      </c>
      <c r="F27" s="70">
        <f t="shared" si="3"/>
        <v>124.99999999999875</v>
      </c>
      <c r="G27" s="70">
        <f t="shared" si="1"/>
        <v>6</v>
      </c>
      <c r="H27" s="70">
        <f t="shared" si="2"/>
        <v>13</v>
      </c>
      <c r="I27" t="s">
        <v>6515</v>
      </c>
      <c r="J27" t="s">
        <v>6516</v>
      </c>
      <c r="K27" t="s">
        <v>6517</v>
      </c>
      <c r="L27">
        <v>10</v>
      </c>
      <c r="M27">
        <v>0</v>
      </c>
      <c r="N27">
        <v>0</v>
      </c>
      <c r="O27">
        <v>0</v>
      </c>
      <c r="P27">
        <v>10</v>
      </c>
      <c r="Q27">
        <v>10</v>
      </c>
      <c r="R27">
        <v>0</v>
      </c>
      <c r="S27">
        <v>10</v>
      </c>
      <c r="T27">
        <v>0</v>
      </c>
      <c r="U27">
        <v>10</v>
      </c>
      <c r="V27">
        <v>0</v>
      </c>
      <c r="W27">
        <v>0</v>
      </c>
      <c r="X27">
        <v>0</v>
      </c>
      <c r="Y27">
        <v>0</v>
      </c>
      <c r="Z27">
        <v>10</v>
      </c>
      <c r="AA27">
        <v>0</v>
      </c>
      <c r="AB27">
        <v>0</v>
      </c>
      <c r="AC27">
        <v>0</v>
      </c>
      <c r="AD27">
        <v>0</v>
      </c>
    </row>
    <row r="28" spans="1:30" x14ac:dyDescent="0.3">
      <c r="A28" s="53">
        <v>45916.565919652778</v>
      </c>
      <c r="B28" s="23" t="s">
        <v>59</v>
      </c>
      <c r="C28" s="70">
        <f>TA_QY!C28+1</f>
        <v>18</v>
      </c>
      <c r="D28" s="71" t="s">
        <v>2090</v>
      </c>
      <c r="E28" s="70">
        <f t="shared" si="3"/>
        <v>22.000000000000242</v>
      </c>
      <c r="F28" s="70">
        <f t="shared" si="3"/>
        <v>228.00000000000688</v>
      </c>
      <c r="G28" s="70">
        <f t="shared" si="1"/>
        <v>10</v>
      </c>
      <c r="H28" s="70">
        <f t="shared" si="2"/>
        <v>9</v>
      </c>
      <c r="I28" t="s">
        <v>6527</v>
      </c>
      <c r="J28" t="s">
        <v>6528</v>
      </c>
      <c r="K28" t="s">
        <v>6529</v>
      </c>
      <c r="L28">
        <v>10</v>
      </c>
      <c r="M28">
        <v>10</v>
      </c>
      <c r="N28">
        <v>10</v>
      </c>
      <c r="O28">
        <v>0</v>
      </c>
      <c r="P28">
        <v>10</v>
      </c>
      <c r="Q28">
        <v>10</v>
      </c>
      <c r="R28">
        <v>0</v>
      </c>
      <c r="S28">
        <v>10</v>
      </c>
      <c r="T28">
        <v>10</v>
      </c>
      <c r="U28">
        <v>10</v>
      </c>
      <c r="V28">
        <v>0</v>
      </c>
      <c r="W28">
        <v>0</v>
      </c>
      <c r="X28">
        <v>0</v>
      </c>
      <c r="Y28">
        <v>10</v>
      </c>
      <c r="Z28">
        <v>0</v>
      </c>
      <c r="AA28">
        <v>0</v>
      </c>
      <c r="AB28">
        <v>0</v>
      </c>
      <c r="AC28">
        <v>10</v>
      </c>
      <c r="AD28">
        <v>0</v>
      </c>
    </row>
    <row r="29" spans="1:30" x14ac:dyDescent="0.3">
      <c r="A29" s="53">
        <v>45916.622170173607</v>
      </c>
      <c r="B29" s="23" t="s">
        <v>60</v>
      </c>
      <c r="C29" s="70">
        <f>TA_QY!C29+1</f>
        <v>29</v>
      </c>
      <c r="D29" s="71" t="s">
        <v>2090</v>
      </c>
      <c r="E29" s="70">
        <f t="shared" si="3"/>
        <v>28.00000000000118</v>
      </c>
      <c r="F29" s="70">
        <f t="shared" si="3"/>
        <v>194.9999999999921</v>
      </c>
      <c r="G29" s="70">
        <f t="shared" si="1"/>
        <v>9</v>
      </c>
      <c r="H29" s="70">
        <f t="shared" si="2"/>
        <v>10</v>
      </c>
      <c r="I29" t="s">
        <v>6539</v>
      </c>
      <c r="J29" t="s">
        <v>6540</v>
      </c>
      <c r="K29" t="s">
        <v>6541</v>
      </c>
      <c r="L29">
        <v>0</v>
      </c>
      <c r="M29">
        <v>10</v>
      </c>
      <c r="N29">
        <v>0</v>
      </c>
      <c r="O29">
        <v>0</v>
      </c>
      <c r="P29">
        <v>9</v>
      </c>
      <c r="Q29">
        <v>9</v>
      </c>
      <c r="R29">
        <v>0</v>
      </c>
      <c r="S29">
        <v>10</v>
      </c>
      <c r="T29">
        <v>10</v>
      </c>
      <c r="U29">
        <v>10</v>
      </c>
      <c r="V29">
        <v>0</v>
      </c>
      <c r="W29">
        <v>0</v>
      </c>
      <c r="X29">
        <v>0</v>
      </c>
      <c r="Y29">
        <v>9</v>
      </c>
      <c r="Z29">
        <v>10</v>
      </c>
      <c r="AA29">
        <v>0</v>
      </c>
      <c r="AB29">
        <v>0</v>
      </c>
      <c r="AC29">
        <v>10</v>
      </c>
      <c r="AD29">
        <v>0</v>
      </c>
    </row>
    <row r="30" spans="1:30" x14ac:dyDescent="0.3">
      <c r="A30" s="53">
        <v>45916.736991331018</v>
      </c>
      <c r="B30" s="23" t="s">
        <v>61</v>
      </c>
      <c r="C30" s="70">
        <f>TA_QY!C30+1</f>
        <v>37</v>
      </c>
      <c r="D30" s="71" t="s">
        <v>2090</v>
      </c>
      <c r="E30" s="70">
        <f t="shared" si="3"/>
        <v>41.999999999996973</v>
      </c>
      <c r="F30" s="70">
        <f t="shared" si="3"/>
        <v>242.9999999999996</v>
      </c>
      <c r="G30" s="70">
        <f t="shared" si="1"/>
        <v>11</v>
      </c>
      <c r="H30" s="70">
        <f t="shared" si="2"/>
        <v>8</v>
      </c>
      <c r="I30" t="s">
        <v>6551</v>
      </c>
      <c r="J30" t="s">
        <v>6552</v>
      </c>
      <c r="K30" t="s">
        <v>6553</v>
      </c>
      <c r="L30">
        <v>10</v>
      </c>
      <c r="M30">
        <v>10</v>
      </c>
      <c r="N30">
        <v>10</v>
      </c>
      <c r="O30">
        <v>0</v>
      </c>
      <c r="P30">
        <v>10</v>
      </c>
      <c r="Q30">
        <v>10</v>
      </c>
      <c r="R30">
        <v>0</v>
      </c>
      <c r="S30">
        <v>10</v>
      </c>
      <c r="T30">
        <v>10</v>
      </c>
      <c r="U30">
        <v>10</v>
      </c>
      <c r="V30">
        <v>0</v>
      </c>
      <c r="W30">
        <v>0</v>
      </c>
      <c r="X30">
        <v>0</v>
      </c>
      <c r="Y30">
        <v>10</v>
      </c>
      <c r="Z30">
        <v>10</v>
      </c>
      <c r="AA30">
        <v>0</v>
      </c>
      <c r="AB30">
        <v>0</v>
      </c>
      <c r="AC30">
        <v>10</v>
      </c>
      <c r="AD30">
        <v>0</v>
      </c>
    </row>
    <row r="31" spans="1:30" x14ac:dyDescent="0.3">
      <c r="A31" s="53">
        <v>45916.796940046297</v>
      </c>
      <c r="B31" s="23" t="s">
        <v>62</v>
      </c>
      <c r="C31" s="70">
        <f>TA_QY!C31+1</f>
        <v>48</v>
      </c>
      <c r="D31" s="71" t="s">
        <v>2090</v>
      </c>
      <c r="E31" s="70">
        <f t="shared" si="3"/>
        <v>56.999999999999318</v>
      </c>
      <c r="F31" s="70">
        <f t="shared" si="3"/>
        <v>145.99999999999724</v>
      </c>
      <c r="G31" s="70">
        <f t="shared" si="1"/>
        <v>8</v>
      </c>
      <c r="H31" s="70">
        <f t="shared" si="2"/>
        <v>11</v>
      </c>
      <c r="I31" t="s">
        <v>6563</v>
      </c>
      <c r="J31" t="s">
        <v>6564</v>
      </c>
      <c r="K31" t="s">
        <v>6565</v>
      </c>
      <c r="L31">
        <v>9</v>
      </c>
      <c r="M31">
        <v>9</v>
      </c>
      <c r="N31">
        <v>9</v>
      </c>
      <c r="O31">
        <v>0</v>
      </c>
      <c r="P31">
        <v>10</v>
      </c>
      <c r="Q31">
        <v>10</v>
      </c>
      <c r="R31">
        <v>0</v>
      </c>
      <c r="S31">
        <v>10</v>
      </c>
      <c r="T31">
        <v>10</v>
      </c>
      <c r="U31">
        <v>0</v>
      </c>
      <c r="V31">
        <v>0</v>
      </c>
      <c r="W31">
        <v>0</v>
      </c>
      <c r="X31">
        <v>0</v>
      </c>
      <c r="Y31">
        <v>10</v>
      </c>
      <c r="Z31">
        <v>0</v>
      </c>
      <c r="AA31">
        <v>0</v>
      </c>
      <c r="AB31">
        <v>0</v>
      </c>
      <c r="AC31">
        <v>0</v>
      </c>
      <c r="AD31">
        <v>0</v>
      </c>
    </row>
    <row r="32" spans="1:30" x14ac:dyDescent="0.3">
      <c r="A32" s="53">
        <v>45917.607987812502</v>
      </c>
      <c r="B32" s="23" t="s">
        <v>63</v>
      </c>
      <c r="C32" s="70">
        <f>TA_QY!C32+1</f>
        <v>6</v>
      </c>
      <c r="D32" s="71" t="s">
        <v>2090</v>
      </c>
      <c r="E32" s="70">
        <f t="shared" si="3"/>
        <v>63.999999999997215</v>
      </c>
      <c r="F32" s="70">
        <f t="shared" si="3"/>
        <v>177.00000000000847</v>
      </c>
      <c r="G32" s="70">
        <f t="shared" si="1"/>
        <v>10</v>
      </c>
      <c r="H32" s="70">
        <f t="shared" si="2"/>
        <v>9</v>
      </c>
      <c r="I32" t="s">
        <v>6575</v>
      </c>
      <c r="J32" t="s">
        <v>6576</v>
      </c>
      <c r="K32" t="s">
        <v>6577</v>
      </c>
      <c r="L32">
        <v>8</v>
      </c>
      <c r="M32">
        <v>9</v>
      </c>
      <c r="N32">
        <v>9</v>
      </c>
      <c r="O32">
        <v>0</v>
      </c>
      <c r="P32">
        <v>10</v>
      </c>
      <c r="Q32">
        <v>9</v>
      </c>
      <c r="R32">
        <v>0</v>
      </c>
      <c r="S32">
        <v>10</v>
      </c>
      <c r="T32">
        <v>2</v>
      </c>
      <c r="U32">
        <v>8</v>
      </c>
      <c r="V32">
        <v>0</v>
      </c>
      <c r="W32">
        <v>0</v>
      </c>
      <c r="X32">
        <v>0</v>
      </c>
      <c r="Y32">
        <v>8</v>
      </c>
      <c r="Z32">
        <v>9</v>
      </c>
      <c r="AA32">
        <v>0</v>
      </c>
      <c r="AB32">
        <v>0</v>
      </c>
      <c r="AC32">
        <v>9</v>
      </c>
      <c r="AD32">
        <v>0</v>
      </c>
    </row>
    <row r="33" spans="1:30" x14ac:dyDescent="0.3">
      <c r="A33" s="53">
        <v>45917.730855567133</v>
      </c>
      <c r="B33" s="23" t="s">
        <v>65</v>
      </c>
      <c r="C33" s="70">
        <f>TA_QY!C33+1</f>
        <v>20</v>
      </c>
      <c r="D33" s="71" t="s">
        <v>2090</v>
      </c>
      <c r="E33" s="70">
        <f t="shared" si="3"/>
        <v>36.999999999992994</v>
      </c>
      <c r="F33" s="70">
        <f t="shared" si="3"/>
        <v>195.00000000000171</v>
      </c>
      <c r="G33" s="70">
        <f t="shared" si="1"/>
        <v>11</v>
      </c>
      <c r="H33" s="70">
        <f t="shared" si="2"/>
        <v>8</v>
      </c>
      <c r="I33" t="s">
        <v>6587</v>
      </c>
      <c r="J33" t="s">
        <v>6588</v>
      </c>
      <c r="K33" t="s">
        <v>6589</v>
      </c>
      <c r="L33">
        <v>10</v>
      </c>
      <c r="M33">
        <v>10</v>
      </c>
      <c r="N33">
        <v>10</v>
      </c>
      <c r="O33">
        <v>0</v>
      </c>
      <c r="P33">
        <v>10</v>
      </c>
      <c r="Q33">
        <v>10</v>
      </c>
      <c r="R33">
        <v>0</v>
      </c>
      <c r="S33">
        <v>10</v>
      </c>
      <c r="T33">
        <v>10</v>
      </c>
      <c r="U33">
        <v>10</v>
      </c>
      <c r="V33">
        <v>0</v>
      </c>
      <c r="W33">
        <v>0</v>
      </c>
      <c r="X33">
        <v>0</v>
      </c>
      <c r="Y33">
        <v>10</v>
      </c>
      <c r="Z33">
        <v>10</v>
      </c>
      <c r="AA33">
        <v>0</v>
      </c>
      <c r="AB33">
        <v>0</v>
      </c>
      <c r="AC33">
        <v>10</v>
      </c>
      <c r="AD33">
        <v>0</v>
      </c>
    </row>
    <row r="34" spans="1:30" x14ac:dyDescent="0.3">
      <c r="A34" s="53">
        <v>45918.561457800926</v>
      </c>
      <c r="B34" s="23" t="s">
        <v>64</v>
      </c>
      <c r="C34" s="70">
        <f>TA_QY!C34+1</f>
        <v>28</v>
      </c>
      <c r="D34" s="71" t="s">
        <v>2090</v>
      </c>
      <c r="E34" s="70">
        <f t="shared" si="3"/>
        <v>26.999999999994628</v>
      </c>
      <c r="F34" s="70">
        <f t="shared" si="3"/>
        <v>191.00000000000426</v>
      </c>
      <c r="G34" s="70">
        <f t="shared" si="1"/>
        <v>11</v>
      </c>
      <c r="H34" s="70">
        <f t="shared" si="2"/>
        <v>8</v>
      </c>
      <c r="I34" t="s">
        <v>6599</v>
      </c>
      <c r="J34" t="s">
        <v>6600</v>
      </c>
      <c r="K34" t="s">
        <v>6601</v>
      </c>
      <c r="L34">
        <v>10</v>
      </c>
      <c r="M34">
        <v>10</v>
      </c>
      <c r="N34">
        <v>10</v>
      </c>
      <c r="O34">
        <v>0</v>
      </c>
      <c r="P34">
        <v>10</v>
      </c>
      <c r="Q34">
        <v>10</v>
      </c>
      <c r="R34">
        <v>0</v>
      </c>
      <c r="S34">
        <v>10</v>
      </c>
      <c r="T34">
        <v>9</v>
      </c>
      <c r="U34">
        <v>10</v>
      </c>
      <c r="V34">
        <v>0</v>
      </c>
      <c r="W34">
        <v>0</v>
      </c>
      <c r="X34">
        <v>0</v>
      </c>
      <c r="Y34">
        <v>10</v>
      </c>
      <c r="Z34">
        <v>10</v>
      </c>
      <c r="AA34">
        <v>0</v>
      </c>
      <c r="AB34">
        <v>0</v>
      </c>
      <c r="AC34">
        <v>10</v>
      </c>
      <c r="AD34">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1DB8B-FAEB-44C2-B93E-A93F341D3062}">
  <dimension ref="A2:AD130"/>
  <sheetViews>
    <sheetView workbookViewId="0">
      <selection activeCell="C47" sqref="C47:AD50"/>
    </sheetView>
  </sheetViews>
  <sheetFormatPr defaultRowHeight="14.4" x14ac:dyDescent="0.3"/>
  <cols>
    <col min="1" max="1" width="17" customWidth="1"/>
    <col min="6" max="6" width="13.6640625" customWidth="1"/>
    <col min="7" max="7" width="11.77734375" customWidth="1"/>
    <col min="8" max="8" width="13.33203125" customWidth="1"/>
    <col min="9" max="10" width="11.6640625" customWidth="1"/>
    <col min="11" max="11" width="16" customWidth="1"/>
    <col min="12" max="12" width="13.109375" customWidth="1"/>
    <col min="13" max="13" width="19.88671875" customWidth="1"/>
    <col min="14" max="14" width="18.88671875" customWidth="1"/>
    <col min="15" max="15" width="18.5546875" customWidth="1"/>
    <col min="16" max="16" width="19.88671875" customWidth="1"/>
    <col min="17" max="17" width="14.6640625" customWidth="1"/>
    <col min="18" max="18" width="22.77734375" customWidth="1"/>
    <col min="19" max="19" width="17.88671875" customWidth="1"/>
    <col min="20" max="20" width="13.88671875" customWidth="1"/>
    <col min="21" max="21" width="23" customWidth="1"/>
    <col min="22" max="22" width="22.77734375" customWidth="1"/>
    <col min="23" max="23" width="15.88671875" customWidth="1"/>
    <col min="24" max="24" width="16.21875" customWidth="1"/>
    <col min="25" max="25" width="18.88671875" customWidth="1"/>
    <col min="26" max="26" width="14.77734375" customWidth="1"/>
    <col min="27" max="27" width="13.21875" customWidth="1"/>
    <col min="28" max="28" width="13.77734375" customWidth="1"/>
    <col min="30" max="30" width="13" customWidth="1"/>
  </cols>
  <sheetData>
    <row r="2" spans="1:30" ht="29.4" thickBot="1" x14ac:dyDescent="0.35">
      <c r="A2" s="54" t="s">
        <v>0</v>
      </c>
      <c r="B2" s="19" t="s">
        <v>1</v>
      </c>
      <c r="E2" s="75" t="s">
        <v>6284</v>
      </c>
      <c r="F2" s="75" t="s">
        <v>6285</v>
      </c>
      <c r="G2" s="75" t="s">
        <v>3171</v>
      </c>
      <c r="H2" s="75" t="s">
        <v>3172</v>
      </c>
      <c r="I2" s="75" t="s">
        <v>2091</v>
      </c>
      <c r="J2" s="75" t="s">
        <v>2092</v>
      </c>
      <c r="K2" s="75" t="s">
        <v>2093</v>
      </c>
      <c r="L2" s="75" t="s">
        <v>2094</v>
      </c>
      <c r="M2" s="75" t="s">
        <v>2095</v>
      </c>
      <c r="N2" s="75" t="s">
        <v>2096</v>
      </c>
      <c r="O2" s="75" t="s">
        <v>2097</v>
      </c>
      <c r="P2" s="75" t="s">
        <v>2098</v>
      </c>
      <c r="Q2" s="75" t="s">
        <v>2099</v>
      </c>
      <c r="R2" s="75" t="s">
        <v>2100</v>
      </c>
      <c r="S2" s="75" t="s">
        <v>2101</v>
      </c>
      <c r="T2" s="75" t="s">
        <v>2102</v>
      </c>
      <c r="U2" s="75" t="s">
        <v>2103</v>
      </c>
      <c r="V2" s="75" t="s">
        <v>2104</v>
      </c>
      <c r="W2" s="75" t="s">
        <v>2105</v>
      </c>
      <c r="X2" s="75" t="s">
        <v>2106</v>
      </c>
      <c r="Y2" s="75" t="s">
        <v>2107</v>
      </c>
      <c r="Z2" s="75" t="s">
        <v>2108</v>
      </c>
      <c r="AA2" s="75" t="s">
        <v>2109</v>
      </c>
      <c r="AB2" s="75" t="s">
        <v>2110</v>
      </c>
      <c r="AC2" s="75" t="s">
        <v>2111</v>
      </c>
      <c r="AD2" s="75" t="s">
        <v>2112</v>
      </c>
    </row>
    <row r="3" spans="1:30" x14ac:dyDescent="0.3">
      <c r="A3" s="49">
        <v>45881.446388668977</v>
      </c>
      <c r="B3" s="50">
        <v>1</v>
      </c>
      <c r="C3" s="70" t="s">
        <v>54</v>
      </c>
      <c r="D3" s="73" t="s">
        <v>2087</v>
      </c>
      <c r="E3" s="70">
        <f>(J3-I3)*86400</f>
        <v>121.99999999999829</v>
      </c>
      <c r="F3" s="70">
        <f>(K3-J3)*86400</f>
        <v>155.00000000000344</v>
      </c>
      <c r="G3" s="70">
        <f>COUNTIF(L3:AD3,"&gt;5")</f>
        <v>8</v>
      </c>
      <c r="H3" s="70">
        <f>COUNTIF(L3:AD3,"&lt;5")</f>
        <v>11</v>
      </c>
      <c r="I3" t="s">
        <v>6602</v>
      </c>
      <c r="J3" t="s">
        <v>6603</v>
      </c>
      <c r="K3" t="s">
        <v>6604</v>
      </c>
      <c r="L3">
        <v>10</v>
      </c>
      <c r="M3">
        <v>10</v>
      </c>
      <c r="N3">
        <v>10</v>
      </c>
      <c r="O3">
        <v>0</v>
      </c>
      <c r="P3">
        <v>10</v>
      </c>
      <c r="Q3">
        <v>10</v>
      </c>
      <c r="R3">
        <v>0</v>
      </c>
      <c r="S3">
        <v>0</v>
      </c>
      <c r="T3">
        <v>0</v>
      </c>
      <c r="U3">
        <v>10</v>
      </c>
      <c r="V3">
        <v>0</v>
      </c>
      <c r="W3">
        <v>0</v>
      </c>
      <c r="X3">
        <v>0</v>
      </c>
      <c r="Y3">
        <v>0</v>
      </c>
      <c r="Z3">
        <v>10</v>
      </c>
      <c r="AA3">
        <v>0</v>
      </c>
      <c r="AB3">
        <v>0</v>
      </c>
      <c r="AC3">
        <v>10</v>
      </c>
      <c r="AD3">
        <v>0</v>
      </c>
    </row>
    <row r="4" spans="1:30" x14ac:dyDescent="0.3">
      <c r="C4" s="70" t="s">
        <v>55</v>
      </c>
      <c r="D4" s="72" t="s">
        <v>2088</v>
      </c>
      <c r="E4" s="70">
        <f t="shared" ref="E4:F67" si="0">(J4-I4)*86400</f>
        <v>60.999999999996746</v>
      </c>
      <c r="F4" s="70">
        <f t="shared" si="0"/>
        <v>177.00000000000369</v>
      </c>
      <c r="G4" s="70">
        <f t="shared" ref="G4:G67" si="1">COUNTIF(L4:AD4,"&gt;5")</f>
        <v>8</v>
      </c>
      <c r="H4" s="70">
        <f t="shared" ref="H4:H67" si="2">COUNTIF(L4:AD4,"&lt;5")</f>
        <v>11</v>
      </c>
      <c r="I4" t="s">
        <v>6605</v>
      </c>
      <c r="J4" t="s">
        <v>6606</v>
      </c>
      <c r="K4" t="s">
        <v>6607</v>
      </c>
      <c r="L4">
        <v>10</v>
      </c>
      <c r="M4">
        <v>10</v>
      </c>
      <c r="N4">
        <v>10</v>
      </c>
      <c r="O4">
        <v>0</v>
      </c>
      <c r="P4">
        <v>10</v>
      </c>
      <c r="Q4">
        <v>10</v>
      </c>
      <c r="R4">
        <v>0</v>
      </c>
      <c r="S4">
        <v>0</v>
      </c>
      <c r="T4">
        <v>0</v>
      </c>
      <c r="U4">
        <v>10</v>
      </c>
      <c r="V4">
        <v>0</v>
      </c>
      <c r="W4">
        <v>0</v>
      </c>
      <c r="X4">
        <v>0</v>
      </c>
      <c r="Y4">
        <v>0</v>
      </c>
      <c r="Z4">
        <v>10</v>
      </c>
      <c r="AA4">
        <v>0</v>
      </c>
      <c r="AB4">
        <v>0</v>
      </c>
      <c r="AC4">
        <v>10</v>
      </c>
      <c r="AD4">
        <v>0</v>
      </c>
    </row>
    <row r="5" spans="1:30" x14ac:dyDescent="0.3">
      <c r="C5" s="70">
        <v>27</v>
      </c>
      <c r="D5" s="74" t="s">
        <v>2089</v>
      </c>
      <c r="E5" s="70">
        <f t="shared" si="0"/>
        <v>74.000000000000369</v>
      </c>
      <c r="F5" s="70">
        <f t="shared" si="0"/>
        <v>151.99999999999818</v>
      </c>
      <c r="G5" s="70">
        <f t="shared" si="1"/>
        <v>5</v>
      </c>
      <c r="H5" s="70">
        <f t="shared" si="2"/>
        <v>14</v>
      </c>
      <c r="I5" t="s">
        <v>6608</v>
      </c>
      <c r="J5" t="s">
        <v>6609</v>
      </c>
      <c r="K5" t="s">
        <v>6610</v>
      </c>
      <c r="L5">
        <v>0</v>
      </c>
      <c r="M5">
        <v>0</v>
      </c>
      <c r="N5">
        <v>0</v>
      </c>
      <c r="O5">
        <v>0</v>
      </c>
      <c r="P5">
        <v>10</v>
      </c>
      <c r="Q5">
        <v>10</v>
      </c>
      <c r="R5">
        <v>0</v>
      </c>
      <c r="S5">
        <v>10</v>
      </c>
      <c r="T5">
        <v>0</v>
      </c>
      <c r="U5">
        <v>0</v>
      </c>
      <c r="V5">
        <v>0</v>
      </c>
      <c r="W5">
        <v>0</v>
      </c>
      <c r="X5">
        <v>0</v>
      </c>
      <c r="Y5">
        <v>10</v>
      </c>
      <c r="Z5">
        <v>10</v>
      </c>
      <c r="AA5">
        <v>0</v>
      </c>
      <c r="AB5">
        <v>0</v>
      </c>
      <c r="AC5">
        <v>0</v>
      </c>
      <c r="AD5">
        <v>0</v>
      </c>
    </row>
    <row r="6" spans="1:30" x14ac:dyDescent="0.3">
      <c r="C6" s="70">
        <v>28</v>
      </c>
      <c r="D6" s="71" t="s">
        <v>2090</v>
      </c>
      <c r="E6" s="70">
        <f t="shared" si="0"/>
        <v>27.000000000004221</v>
      </c>
      <c r="F6" s="70">
        <f t="shared" si="0"/>
        <v>188.99999999999596</v>
      </c>
      <c r="G6" s="70">
        <f t="shared" si="1"/>
        <v>8</v>
      </c>
      <c r="H6" s="70">
        <f t="shared" si="2"/>
        <v>11</v>
      </c>
      <c r="I6" t="s">
        <v>6611</v>
      </c>
      <c r="J6" t="s">
        <v>6612</v>
      </c>
      <c r="K6" t="s">
        <v>6613</v>
      </c>
      <c r="L6">
        <v>10</v>
      </c>
      <c r="M6">
        <v>0</v>
      </c>
      <c r="N6">
        <v>0</v>
      </c>
      <c r="O6">
        <v>0</v>
      </c>
      <c r="P6">
        <v>10</v>
      </c>
      <c r="Q6">
        <v>10</v>
      </c>
      <c r="R6">
        <v>0</v>
      </c>
      <c r="S6">
        <v>10</v>
      </c>
      <c r="T6">
        <v>0</v>
      </c>
      <c r="U6">
        <v>0</v>
      </c>
      <c r="V6">
        <v>0</v>
      </c>
      <c r="W6">
        <v>10</v>
      </c>
      <c r="X6">
        <v>0</v>
      </c>
      <c r="Y6">
        <v>10</v>
      </c>
      <c r="Z6">
        <v>10</v>
      </c>
      <c r="AA6">
        <v>0</v>
      </c>
      <c r="AB6">
        <v>0</v>
      </c>
      <c r="AC6">
        <v>10</v>
      </c>
      <c r="AD6">
        <v>0</v>
      </c>
    </row>
    <row r="7" spans="1:30" x14ac:dyDescent="0.3">
      <c r="A7" s="51">
        <v>45881.617943437501</v>
      </c>
      <c r="B7" s="52">
        <v>2</v>
      </c>
      <c r="C7" s="70" t="s">
        <v>738</v>
      </c>
      <c r="D7" s="73" t="s">
        <v>2087</v>
      </c>
      <c r="E7" s="70">
        <f t="shared" si="0"/>
        <v>166.00000000000358</v>
      </c>
      <c r="F7" s="70">
        <f t="shared" si="0"/>
        <v>187.9999999999942</v>
      </c>
      <c r="G7" s="70">
        <f t="shared" si="1"/>
        <v>10</v>
      </c>
      <c r="H7" s="70">
        <f t="shared" si="2"/>
        <v>9</v>
      </c>
      <c r="I7" t="s">
        <v>6614</v>
      </c>
      <c r="J7" t="s">
        <v>6615</v>
      </c>
      <c r="K7" t="s">
        <v>6616</v>
      </c>
      <c r="L7">
        <v>0</v>
      </c>
      <c r="M7">
        <v>10</v>
      </c>
      <c r="N7">
        <v>10</v>
      </c>
      <c r="O7">
        <v>0</v>
      </c>
      <c r="P7">
        <v>10</v>
      </c>
      <c r="Q7">
        <v>10</v>
      </c>
      <c r="R7">
        <v>0</v>
      </c>
      <c r="S7">
        <v>10</v>
      </c>
      <c r="T7">
        <v>10</v>
      </c>
      <c r="U7">
        <v>0</v>
      </c>
      <c r="V7">
        <v>0</v>
      </c>
      <c r="W7">
        <v>10</v>
      </c>
      <c r="X7">
        <v>0</v>
      </c>
      <c r="Y7">
        <v>10</v>
      </c>
      <c r="Z7">
        <v>10</v>
      </c>
      <c r="AA7">
        <v>0</v>
      </c>
      <c r="AB7">
        <v>0</v>
      </c>
      <c r="AC7">
        <v>10</v>
      </c>
      <c r="AD7">
        <v>0</v>
      </c>
    </row>
    <row r="8" spans="1:30" x14ac:dyDescent="0.3">
      <c r="C8" s="70" t="s">
        <v>781</v>
      </c>
      <c r="D8" s="72" t="s">
        <v>2088</v>
      </c>
      <c r="E8" s="70">
        <f t="shared" si="0"/>
        <v>28.00000000000118</v>
      </c>
      <c r="F8" s="70">
        <f t="shared" si="0"/>
        <v>195.99999999999866</v>
      </c>
      <c r="G8" s="70">
        <f t="shared" si="1"/>
        <v>10</v>
      </c>
      <c r="H8" s="70">
        <f t="shared" si="2"/>
        <v>9</v>
      </c>
      <c r="I8" t="s">
        <v>6617</v>
      </c>
      <c r="J8" t="s">
        <v>6618</v>
      </c>
      <c r="K8" t="s">
        <v>6619</v>
      </c>
      <c r="L8">
        <v>0</v>
      </c>
      <c r="M8">
        <v>10</v>
      </c>
      <c r="N8">
        <v>10</v>
      </c>
      <c r="O8">
        <v>0</v>
      </c>
      <c r="P8">
        <v>10</v>
      </c>
      <c r="Q8">
        <v>10</v>
      </c>
      <c r="R8">
        <v>0</v>
      </c>
      <c r="S8">
        <v>10</v>
      </c>
      <c r="T8">
        <v>10</v>
      </c>
      <c r="U8">
        <v>0</v>
      </c>
      <c r="V8">
        <v>0</v>
      </c>
      <c r="W8">
        <v>10</v>
      </c>
      <c r="X8">
        <v>0</v>
      </c>
      <c r="Y8">
        <v>10</v>
      </c>
      <c r="Z8">
        <v>10</v>
      </c>
      <c r="AA8">
        <v>0</v>
      </c>
      <c r="AB8">
        <v>0</v>
      </c>
      <c r="AC8">
        <v>10</v>
      </c>
      <c r="AD8">
        <v>0</v>
      </c>
    </row>
    <row r="9" spans="1:30" x14ac:dyDescent="0.3">
      <c r="C9" s="70">
        <v>68</v>
      </c>
      <c r="D9" s="74" t="s">
        <v>2089</v>
      </c>
      <c r="E9" s="70">
        <f t="shared" si="0"/>
        <v>73.99999999999558</v>
      </c>
      <c r="F9" s="70">
        <f t="shared" si="0"/>
        <v>173.99999999999841</v>
      </c>
      <c r="G9" s="70">
        <f t="shared" si="1"/>
        <v>8</v>
      </c>
      <c r="H9" s="70">
        <f t="shared" si="2"/>
        <v>11</v>
      </c>
      <c r="I9" t="s">
        <v>6620</v>
      </c>
      <c r="J9" t="s">
        <v>6621</v>
      </c>
      <c r="K9" t="s">
        <v>6622</v>
      </c>
      <c r="L9">
        <v>0</v>
      </c>
      <c r="M9">
        <v>10</v>
      </c>
      <c r="N9">
        <v>10</v>
      </c>
      <c r="O9">
        <v>0</v>
      </c>
      <c r="P9">
        <v>10</v>
      </c>
      <c r="Q9">
        <v>0</v>
      </c>
      <c r="R9">
        <v>0</v>
      </c>
      <c r="S9">
        <v>10</v>
      </c>
      <c r="T9">
        <v>10</v>
      </c>
      <c r="U9">
        <v>0</v>
      </c>
      <c r="V9">
        <v>0</v>
      </c>
      <c r="W9">
        <v>0</v>
      </c>
      <c r="X9">
        <v>0</v>
      </c>
      <c r="Y9">
        <v>10</v>
      </c>
      <c r="Z9">
        <v>10</v>
      </c>
      <c r="AA9">
        <v>0</v>
      </c>
      <c r="AB9">
        <v>0</v>
      </c>
      <c r="AC9">
        <v>10</v>
      </c>
      <c r="AD9">
        <v>0</v>
      </c>
    </row>
    <row r="10" spans="1:30" x14ac:dyDescent="0.3">
      <c r="C10" s="70">
        <v>69</v>
      </c>
      <c r="D10" s="71" t="s">
        <v>2090</v>
      </c>
      <c r="E10" s="70">
        <f t="shared" si="0"/>
        <v>50.99999999999838</v>
      </c>
      <c r="F10" s="70">
        <f t="shared" si="0"/>
        <v>198.00000000000216</v>
      </c>
      <c r="G10" s="70">
        <f t="shared" si="1"/>
        <v>6</v>
      </c>
      <c r="H10" s="70">
        <f t="shared" si="2"/>
        <v>13</v>
      </c>
      <c r="I10" t="s">
        <v>6623</v>
      </c>
      <c r="J10" t="s">
        <v>6624</v>
      </c>
      <c r="K10" t="s">
        <v>6625</v>
      </c>
      <c r="L10">
        <v>0</v>
      </c>
      <c r="M10">
        <v>10</v>
      </c>
      <c r="N10">
        <v>10</v>
      </c>
      <c r="O10">
        <v>0</v>
      </c>
      <c r="P10">
        <v>10</v>
      </c>
      <c r="Q10">
        <v>0</v>
      </c>
      <c r="R10">
        <v>0</v>
      </c>
      <c r="S10">
        <v>10</v>
      </c>
      <c r="T10">
        <v>10</v>
      </c>
      <c r="U10">
        <v>0</v>
      </c>
      <c r="V10">
        <v>0</v>
      </c>
      <c r="W10">
        <v>0</v>
      </c>
      <c r="X10">
        <v>0</v>
      </c>
      <c r="Y10">
        <v>0</v>
      </c>
      <c r="Z10">
        <v>10</v>
      </c>
      <c r="AA10">
        <v>0</v>
      </c>
      <c r="AB10">
        <v>0</v>
      </c>
      <c r="AC10">
        <v>0</v>
      </c>
      <c r="AD10">
        <v>0</v>
      </c>
    </row>
    <row r="11" spans="1:30" x14ac:dyDescent="0.3">
      <c r="A11" s="51">
        <v>45887.610196423615</v>
      </c>
      <c r="B11" s="52">
        <v>3</v>
      </c>
      <c r="C11" s="70" t="s">
        <v>807</v>
      </c>
      <c r="D11" s="73" t="s">
        <v>2087</v>
      </c>
      <c r="E11" s="70">
        <f t="shared" si="0"/>
        <v>132.00000000000145</v>
      </c>
      <c r="F11" s="70">
        <f t="shared" si="0"/>
        <v>137.99999999999278</v>
      </c>
      <c r="G11" s="70">
        <f t="shared" si="1"/>
        <v>6</v>
      </c>
      <c r="H11" s="70">
        <f t="shared" si="2"/>
        <v>13</v>
      </c>
      <c r="I11" t="s">
        <v>2151</v>
      </c>
      <c r="J11" t="s">
        <v>2152</v>
      </c>
      <c r="K11" t="s">
        <v>2153</v>
      </c>
      <c r="L11">
        <v>10</v>
      </c>
      <c r="M11">
        <v>10</v>
      </c>
      <c r="N11">
        <v>10</v>
      </c>
      <c r="O11">
        <v>0</v>
      </c>
      <c r="P11">
        <v>0</v>
      </c>
      <c r="Q11">
        <v>0</v>
      </c>
      <c r="R11">
        <v>0</v>
      </c>
      <c r="S11">
        <v>10</v>
      </c>
      <c r="T11">
        <v>10</v>
      </c>
      <c r="U11">
        <v>0</v>
      </c>
      <c r="V11">
        <v>0</v>
      </c>
      <c r="W11">
        <v>0</v>
      </c>
      <c r="X11">
        <v>0</v>
      </c>
      <c r="Y11">
        <v>10</v>
      </c>
      <c r="Z11">
        <v>0</v>
      </c>
      <c r="AA11">
        <v>0</v>
      </c>
      <c r="AB11">
        <v>0</v>
      </c>
      <c r="AC11">
        <v>0</v>
      </c>
      <c r="AD11">
        <v>0</v>
      </c>
    </row>
    <row r="12" spans="1:30" x14ac:dyDescent="0.3">
      <c r="C12" s="70" t="s">
        <v>846</v>
      </c>
      <c r="D12" s="72" t="s">
        <v>2088</v>
      </c>
      <c r="E12" s="70">
        <f t="shared" si="0"/>
        <v>37.000000000002586</v>
      </c>
      <c r="F12" s="70">
        <f t="shared" si="0"/>
        <v>193.99999999999517</v>
      </c>
      <c r="G12" s="70">
        <f t="shared" si="1"/>
        <v>8</v>
      </c>
      <c r="H12" s="70">
        <f t="shared" si="2"/>
        <v>11</v>
      </c>
      <c r="I12" t="s">
        <v>2154</v>
      </c>
      <c r="J12" t="s">
        <v>2155</v>
      </c>
      <c r="K12" t="s">
        <v>2156</v>
      </c>
      <c r="L12">
        <v>10</v>
      </c>
      <c r="M12">
        <v>10</v>
      </c>
      <c r="N12">
        <v>10</v>
      </c>
      <c r="O12">
        <v>0</v>
      </c>
      <c r="P12">
        <v>0</v>
      </c>
      <c r="Q12">
        <v>0</v>
      </c>
      <c r="R12">
        <v>0</v>
      </c>
      <c r="S12">
        <v>10</v>
      </c>
      <c r="T12">
        <v>10</v>
      </c>
      <c r="U12">
        <v>0</v>
      </c>
      <c r="V12">
        <v>0</v>
      </c>
      <c r="W12">
        <v>0</v>
      </c>
      <c r="X12">
        <v>0</v>
      </c>
      <c r="Y12">
        <v>10</v>
      </c>
      <c r="Z12">
        <v>10</v>
      </c>
      <c r="AA12">
        <v>0</v>
      </c>
      <c r="AB12">
        <v>0</v>
      </c>
      <c r="AC12">
        <v>10</v>
      </c>
      <c r="AD12">
        <v>0</v>
      </c>
    </row>
    <row r="13" spans="1:30" x14ac:dyDescent="0.3">
      <c r="C13" s="70">
        <v>169</v>
      </c>
      <c r="D13" s="74" t="s">
        <v>2089</v>
      </c>
      <c r="E13" s="70">
        <f t="shared" si="0"/>
        <v>110.99999999999817</v>
      </c>
      <c r="F13" s="70">
        <f t="shared" si="0"/>
        <v>128.00000000000404</v>
      </c>
      <c r="G13" s="70">
        <f t="shared" si="1"/>
        <v>7</v>
      </c>
      <c r="H13" s="70">
        <f t="shared" si="2"/>
        <v>12</v>
      </c>
      <c r="I13" t="s">
        <v>6286</v>
      </c>
      <c r="J13" t="s">
        <v>6287</v>
      </c>
      <c r="K13" t="s">
        <v>6288</v>
      </c>
      <c r="L13">
        <v>0</v>
      </c>
      <c r="M13">
        <v>0</v>
      </c>
      <c r="N13">
        <v>0</v>
      </c>
      <c r="O13">
        <v>0</v>
      </c>
      <c r="P13">
        <v>10</v>
      </c>
      <c r="Q13">
        <v>10</v>
      </c>
      <c r="R13">
        <v>0</v>
      </c>
      <c r="S13">
        <v>10</v>
      </c>
      <c r="T13">
        <v>10</v>
      </c>
      <c r="U13">
        <v>0</v>
      </c>
      <c r="V13">
        <v>0</v>
      </c>
      <c r="W13">
        <v>0</v>
      </c>
      <c r="X13">
        <v>0</v>
      </c>
      <c r="Y13">
        <v>10</v>
      </c>
      <c r="Z13">
        <v>10</v>
      </c>
      <c r="AA13">
        <v>0</v>
      </c>
      <c r="AB13">
        <v>0</v>
      </c>
      <c r="AC13">
        <v>10</v>
      </c>
      <c r="AD13">
        <v>0</v>
      </c>
    </row>
    <row r="14" spans="1:30" x14ac:dyDescent="0.3">
      <c r="C14" s="70">
        <v>170</v>
      </c>
      <c r="D14" s="71" t="s">
        <v>2090</v>
      </c>
      <c r="E14" s="70">
        <f t="shared" si="0"/>
        <v>23.000000000006793</v>
      </c>
      <c r="F14" s="70">
        <f t="shared" si="0"/>
        <v>129.99999999999795</v>
      </c>
      <c r="G14" s="70">
        <f t="shared" si="1"/>
        <v>7</v>
      </c>
      <c r="H14" s="70">
        <f t="shared" si="2"/>
        <v>12</v>
      </c>
      <c r="I14" t="s">
        <v>6289</v>
      </c>
      <c r="J14" t="s">
        <v>6290</v>
      </c>
      <c r="K14" t="s">
        <v>6291</v>
      </c>
      <c r="L14">
        <v>0</v>
      </c>
      <c r="M14">
        <v>0</v>
      </c>
      <c r="N14">
        <v>0</v>
      </c>
      <c r="O14">
        <v>0</v>
      </c>
      <c r="P14">
        <v>10</v>
      </c>
      <c r="Q14">
        <v>10</v>
      </c>
      <c r="R14">
        <v>0</v>
      </c>
      <c r="S14">
        <v>10</v>
      </c>
      <c r="T14">
        <v>10</v>
      </c>
      <c r="U14">
        <v>0</v>
      </c>
      <c r="V14">
        <v>0</v>
      </c>
      <c r="W14">
        <v>0</v>
      </c>
      <c r="X14">
        <v>0</v>
      </c>
      <c r="Y14">
        <v>10</v>
      </c>
      <c r="Z14">
        <v>10</v>
      </c>
      <c r="AA14">
        <v>0</v>
      </c>
      <c r="AB14">
        <v>0</v>
      </c>
      <c r="AC14">
        <v>10</v>
      </c>
      <c r="AD14">
        <v>0</v>
      </c>
    </row>
    <row r="15" spans="1:30" x14ac:dyDescent="0.3">
      <c r="A15" s="51">
        <v>45887.647473391204</v>
      </c>
      <c r="B15" s="52">
        <v>4</v>
      </c>
      <c r="C15" s="70" t="s">
        <v>1057</v>
      </c>
      <c r="D15" s="73" t="s">
        <v>2087</v>
      </c>
      <c r="E15" s="70">
        <f t="shared" si="0"/>
        <v>261.00000000000244</v>
      </c>
      <c r="F15" s="70">
        <f t="shared" si="0"/>
        <v>147.00000000000381</v>
      </c>
      <c r="G15" s="70">
        <f t="shared" si="1"/>
        <v>7</v>
      </c>
      <c r="H15" s="70">
        <f t="shared" si="2"/>
        <v>12</v>
      </c>
      <c r="I15" t="s">
        <v>2145</v>
      </c>
      <c r="J15" t="s">
        <v>2146</v>
      </c>
      <c r="K15" t="s">
        <v>2147</v>
      </c>
      <c r="L15">
        <v>10</v>
      </c>
      <c r="M15">
        <v>10</v>
      </c>
      <c r="N15">
        <v>10</v>
      </c>
      <c r="O15">
        <v>0</v>
      </c>
      <c r="P15">
        <v>10</v>
      </c>
      <c r="Q15">
        <v>10</v>
      </c>
      <c r="R15">
        <v>0</v>
      </c>
      <c r="S15">
        <v>0</v>
      </c>
      <c r="T15">
        <v>0</v>
      </c>
      <c r="U15">
        <v>10</v>
      </c>
      <c r="V15">
        <v>0</v>
      </c>
      <c r="W15">
        <v>0</v>
      </c>
      <c r="X15">
        <v>0</v>
      </c>
      <c r="Y15">
        <v>0</v>
      </c>
      <c r="Z15">
        <v>10</v>
      </c>
      <c r="AA15">
        <v>0</v>
      </c>
      <c r="AB15">
        <v>0</v>
      </c>
      <c r="AC15">
        <v>0</v>
      </c>
      <c r="AD15">
        <v>0</v>
      </c>
    </row>
    <row r="16" spans="1:30" x14ac:dyDescent="0.3">
      <c r="C16" s="70" t="s">
        <v>1097</v>
      </c>
      <c r="D16" s="72" t="s">
        <v>2088</v>
      </c>
      <c r="E16" s="70">
        <f t="shared" si="0"/>
        <v>82.999999999996987</v>
      </c>
      <c r="F16" s="70">
        <f t="shared" si="0"/>
        <v>135.00000000000193</v>
      </c>
      <c r="G16" s="70">
        <f t="shared" si="1"/>
        <v>7</v>
      </c>
      <c r="H16" s="70">
        <f t="shared" si="2"/>
        <v>12</v>
      </c>
      <c r="I16" t="s">
        <v>2148</v>
      </c>
      <c r="J16" t="s">
        <v>2149</v>
      </c>
      <c r="K16" t="s">
        <v>2150</v>
      </c>
      <c r="L16">
        <v>10</v>
      </c>
      <c r="M16">
        <v>10</v>
      </c>
      <c r="N16">
        <v>10</v>
      </c>
      <c r="O16">
        <v>0</v>
      </c>
      <c r="P16">
        <v>10</v>
      </c>
      <c r="Q16">
        <v>10</v>
      </c>
      <c r="R16">
        <v>0</v>
      </c>
      <c r="S16">
        <v>0</v>
      </c>
      <c r="T16">
        <v>0</v>
      </c>
      <c r="U16">
        <v>10</v>
      </c>
      <c r="V16">
        <v>0</v>
      </c>
      <c r="W16">
        <v>0</v>
      </c>
      <c r="X16">
        <v>0</v>
      </c>
      <c r="Y16">
        <v>0</v>
      </c>
      <c r="Z16">
        <v>10</v>
      </c>
      <c r="AA16">
        <v>0</v>
      </c>
      <c r="AB16">
        <v>0</v>
      </c>
      <c r="AC16">
        <v>0</v>
      </c>
      <c r="AD16">
        <v>0</v>
      </c>
    </row>
    <row r="17" spans="1:30" x14ac:dyDescent="0.3">
      <c r="C17" s="70">
        <v>175</v>
      </c>
      <c r="D17" s="74" t="s">
        <v>2089</v>
      </c>
      <c r="E17" s="70">
        <f t="shared" si="0"/>
        <v>331.00000000000057</v>
      </c>
      <c r="F17" s="70">
        <f t="shared" si="0"/>
        <v>159.99999999999304</v>
      </c>
      <c r="G17" s="70">
        <f t="shared" si="1"/>
        <v>5</v>
      </c>
      <c r="H17" s="70">
        <f t="shared" si="2"/>
        <v>14</v>
      </c>
      <c r="I17" t="s">
        <v>6292</v>
      </c>
      <c r="J17" t="s">
        <v>6293</v>
      </c>
      <c r="K17" t="s">
        <v>6294</v>
      </c>
      <c r="L17">
        <v>0</v>
      </c>
      <c r="M17">
        <v>0</v>
      </c>
      <c r="N17">
        <v>0</v>
      </c>
      <c r="O17">
        <v>0</v>
      </c>
      <c r="P17">
        <v>10</v>
      </c>
      <c r="Q17">
        <v>10</v>
      </c>
      <c r="R17">
        <v>0</v>
      </c>
      <c r="S17">
        <v>10</v>
      </c>
      <c r="T17">
        <v>10</v>
      </c>
      <c r="U17">
        <v>0</v>
      </c>
      <c r="V17">
        <v>0</v>
      </c>
      <c r="W17">
        <v>0</v>
      </c>
      <c r="X17">
        <v>0</v>
      </c>
      <c r="Y17">
        <v>0</v>
      </c>
      <c r="Z17">
        <v>10</v>
      </c>
      <c r="AA17">
        <v>0</v>
      </c>
      <c r="AB17">
        <v>0</v>
      </c>
      <c r="AC17">
        <v>0</v>
      </c>
      <c r="AD17">
        <v>0</v>
      </c>
    </row>
    <row r="18" spans="1:30" x14ac:dyDescent="0.3">
      <c r="C18" s="70">
        <v>176</v>
      </c>
      <c r="D18" s="71" t="s">
        <v>2090</v>
      </c>
      <c r="E18" s="70">
        <f t="shared" si="0"/>
        <v>75.999999999999091</v>
      </c>
      <c r="F18" s="70">
        <f t="shared" si="0"/>
        <v>170.99999999999795</v>
      </c>
      <c r="G18" s="70">
        <f t="shared" si="1"/>
        <v>7</v>
      </c>
      <c r="H18" s="70">
        <f t="shared" si="2"/>
        <v>12</v>
      </c>
      <c r="I18" t="s">
        <v>6295</v>
      </c>
      <c r="J18" t="s">
        <v>6296</v>
      </c>
      <c r="K18" t="s">
        <v>6297</v>
      </c>
      <c r="L18">
        <v>0</v>
      </c>
      <c r="M18">
        <v>0</v>
      </c>
      <c r="N18">
        <v>0</v>
      </c>
      <c r="O18">
        <v>0</v>
      </c>
      <c r="P18">
        <v>10</v>
      </c>
      <c r="Q18">
        <v>10</v>
      </c>
      <c r="R18">
        <v>0</v>
      </c>
      <c r="S18">
        <v>10</v>
      </c>
      <c r="T18">
        <v>10</v>
      </c>
      <c r="U18">
        <v>10</v>
      </c>
      <c r="V18">
        <v>0</v>
      </c>
      <c r="W18">
        <v>10</v>
      </c>
      <c r="X18">
        <v>0</v>
      </c>
      <c r="Y18">
        <v>0</v>
      </c>
      <c r="Z18">
        <v>10</v>
      </c>
      <c r="AA18">
        <v>0</v>
      </c>
      <c r="AB18">
        <v>0</v>
      </c>
      <c r="AC18">
        <v>0</v>
      </c>
      <c r="AD18">
        <v>0</v>
      </c>
    </row>
    <row r="19" spans="1:30" x14ac:dyDescent="0.3">
      <c r="A19" s="51">
        <v>45889.499309328705</v>
      </c>
      <c r="B19" s="52">
        <v>5</v>
      </c>
      <c r="C19" s="70" t="s">
        <v>1122</v>
      </c>
      <c r="D19" s="73" t="s">
        <v>2087</v>
      </c>
      <c r="E19" s="70">
        <f t="shared" si="0"/>
        <v>102.00000000000156</v>
      </c>
      <c r="F19" s="70">
        <f t="shared" si="0"/>
        <v>152.99999999999514</v>
      </c>
      <c r="G19" s="70">
        <f t="shared" si="1"/>
        <v>7</v>
      </c>
      <c r="H19" s="70">
        <f t="shared" si="2"/>
        <v>12</v>
      </c>
      <c r="I19" t="s">
        <v>2139</v>
      </c>
      <c r="J19" t="s">
        <v>2140</v>
      </c>
      <c r="K19" t="s">
        <v>2141</v>
      </c>
      <c r="L19">
        <v>0</v>
      </c>
      <c r="M19">
        <v>10</v>
      </c>
      <c r="N19">
        <v>2</v>
      </c>
      <c r="O19">
        <v>0</v>
      </c>
      <c r="P19">
        <v>10</v>
      </c>
      <c r="Q19">
        <v>0</v>
      </c>
      <c r="R19">
        <v>0</v>
      </c>
      <c r="S19">
        <v>0</v>
      </c>
      <c r="T19">
        <v>10</v>
      </c>
      <c r="U19">
        <v>0</v>
      </c>
      <c r="V19">
        <v>0</v>
      </c>
      <c r="W19">
        <v>10</v>
      </c>
      <c r="X19">
        <v>0</v>
      </c>
      <c r="Y19">
        <v>10</v>
      </c>
      <c r="Z19">
        <v>10</v>
      </c>
      <c r="AA19">
        <v>0</v>
      </c>
      <c r="AB19">
        <v>0</v>
      </c>
      <c r="AC19">
        <v>10</v>
      </c>
      <c r="AD19">
        <v>0</v>
      </c>
    </row>
    <row r="20" spans="1:30" x14ac:dyDescent="0.3">
      <c r="C20" s="70" t="s">
        <v>1174</v>
      </c>
      <c r="D20" s="72" t="s">
        <v>2088</v>
      </c>
      <c r="E20" s="70">
        <f t="shared" si="0"/>
        <v>60.999999999996746</v>
      </c>
      <c r="F20" s="70">
        <f t="shared" si="0"/>
        <v>189.99999999999773</v>
      </c>
      <c r="G20" s="70">
        <f t="shared" si="1"/>
        <v>8</v>
      </c>
      <c r="H20" s="70">
        <f t="shared" si="2"/>
        <v>11</v>
      </c>
      <c r="I20" t="s">
        <v>2142</v>
      </c>
      <c r="J20" t="s">
        <v>2143</v>
      </c>
      <c r="K20" t="s">
        <v>2144</v>
      </c>
      <c r="L20">
        <v>0</v>
      </c>
      <c r="M20">
        <v>10</v>
      </c>
      <c r="N20">
        <v>0</v>
      </c>
      <c r="O20">
        <v>0</v>
      </c>
      <c r="P20">
        <v>10</v>
      </c>
      <c r="Q20">
        <v>10</v>
      </c>
      <c r="R20">
        <v>0</v>
      </c>
      <c r="S20">
        <v>0</v>
      </c>
      <c r="T20">
        <v>10</v>
      </c>
      <c r="U20">
        <v>0</v>
      </c>
      <c r="V20">
        <v>0</v>
      </c>
      <c r="W20">
        <v>10</v>
      </c>
      <c r="X20">
        <v>0</v>
      </c>
      <c r="Y20">
        <v>10</v>
      </c>
      <c r="Z20">
        <v>10</v>
      </c>
      <c r="AA20">
        <v>0</v>
      </c>
      <c r="AB20">
        <v>0</v>
      </c>
      <c r="AC20">
        <v>10</v>
      </c>
      <c r="AD20">
        <v>0</v>
      </c>
    </row>
    <row r="21" spans="1:30" x14ac:dyDescent="0.3">
      <c r="C21" s="70">
        <v>188</v>
      </c>
      <c r="D21" s="74" t="s">
        <v>2089</v>
      </c>
      <c r="E21" s="70">
        <f t="shared" si="0"/>
        <v>63.999999999997215</v>
      </c>
      <c r="F21" s="70">
        <f t="shared" si="0"/>
        <v>177.00000000000847</v>
      </c>
      <c r="G21" s="70">
        <f t="shared" si="1"/>
        <v>7</v>
      </c>
      <c r="H21" s="70">
        <f t="shared" si="2"/>
        <v>12</v>
      </c>
      <c r="I21" t="s">
        <v>6298</v>
      </c>
      <c r="J21" t="s">
        <v>6299</v>
      </c>
      <c r="K21" t="s">
        <v>6300</v>
      </c>
      <c r="L21">
        <v>0</v>
      </c>
      <c r="M21">
        <v>10</v>
      </c>
      <c r="N21">
        <v>0</v>
      </c>
      <c r="O21">
        <v>0</v>
      </c>
      <c r="P21">
        <v>10</v>
      </c>
      <c r="Q21">
        <v>0</v>
      </c>
      <c r="R21">
        <v>0</v>
      </c>
      <c r="S21">
        <v>10</v>
      </c>
      <c r="T21">
        <v>0</v>
      </c>
      <c r="U21">
        <v>0</v>
      </c>
      <c r="V21">
        <v>0</v>
      </c>
      <c r="W21">
        <v>10</v>
      </c>
      <c r="X21">
        <v>0</v>
      </c>
      <c r="Y21">
        <v>10</v>
      </c>
      <c r="Z21">
        <v>10</v>
      </c>
      <c r="AA21">
        <v>0</v>
      </c>
      <c r="AB21">
        <v>0</v>
      </c>
      <c r="AC21">
        <v>10</v>
      </c>
      <c r="AD21">
        <v>0</v>
      </c>
    </row>
    <row r="22" spans="1:30" x14ac:dyDescent="0.3">
      <c r="C22" s="70">
        <v>189</v>
      </c>
      <c r="D22" s="71" t="s">
        <v>2090</v>
      </c>
      <c r="E22" s="70">
        <f t="shared" si="0"/>
        <v>23.000000000006793</v>
      </c>
      <c r="F22" s="70">
        <f t="shared" si="0"/>
        <v>176.00000000000193</v>
      </c>
      <c r="G22" s="70">
        <f t="shared" si="1"/>
        <v>8</v>
      </c>
      <c r="H22" s="70">
        <f t="shared" si="2"/>
        <v>11</v>
      </c>
      <c r="I22" t="s">
        <v>6301</v>
      </c>
      <c r="J22" t="s">
        <v>6302</v>
      </c>
      <c r="K22" t="s">
        <v>6303</v>
      </c>
      <c r="L22">
        <v>0</v>
      </c>
      <c r="M22">
        <v>10</v>
      </c>
      <c r="N22">
        <v>0</v>
      </c>
      <c r="O22">
        <v>0</v>
      </c>
      <c r="P22">
        <v>10</v>
      </c>
      <c r="Q22">
        <v>0</v>
      </c>
      <c r="R22">
        <v>0</v>
      </c>
      <c r="S22">
        <v>10</v>
      </c>
      <c r="T22">
        <v>0</v>
      </c>
      <c r="U22">
        <v>10</v>
      </c>
      <c r="V22">
        <v>0</v>
      </c>
      <c r="W22">
        <v>10</v>
      </c>
      <c r="X22">
        <v>0</v>
      </c>
      <c r="Y22">
        <v>10</v>
      </c>
      <c r="Z22">
        <v>10</v>
      </c>
      <c r="AA22">
        <v>0</v>
      </c>
      <c r="AB22">
        <v>0</v>
      </c>
      <c r="AC22">
        <v>10</v>
      </c>
      <c r="AD22">
        <v>0</v>
      </c>
    </row>
    <row r="23" spans="1:30" x14ac:dyDescent="0.3">
      <c r="A23" s="53">
        <v>45909.444653206017</v>
      </c>
      <c r="B23" s="23" t="s">
        <v>38</v>
      </c>
      <c r="C23" s="70" t="s">
        <v>1331</v>
      </c>
      <c r="D23" s="73" t="s">
        <v>2087</v>
      </c>
      <c r="E23" s="70">
        <f t="shared" si="0"/>
        <v>72.999999999998622</v>
      </c>
      <c r="F23" s="70">
        <f t="shared" si="0"/>
        <v>175.99999999999713</v>
      </c>
      <c r="G23" s="70">
        <f t="shared" si="1"/>
        <v>10</v>
      </c>
      <c r="H23" s="70">
        <f t="shared" si="2"/>
        <v>9</v>
      </c>
      <c r="I23" t="s">
        <v>2113</v>
      </c>
      <c r="J23" t="s">
        <v>2114</v>
      </c>
      <c r="K23" t="s">
        <v>2115</v>
      </c>
      <c r="L23">
        <v>10</v>
      </c>
      <c r="M23">
        <v>10</v>
      </c>
      <c r="N23">
        <v>10</v>
      </c>
      <c r="O23">
        <v>0</v>
      </c>
      <c r="P23">
        <v>10</v>
      </c>
      <c r="Q23">
        <v>10</v>
      </c>
      <c r="R23">
        <v>0</v>
      </c>
      <c r="S23">
        <v>10</v>
      </c>
      <c r="T23">
        <v>10</v>
      </c>
      <c r="U23">
        <v>0</v>
      </c>
      <c r="V23">
        <v>0</v>
      </c>
      <c r="W23">
        <v>0</v>
      </c>
      <c r="X23">
        <v>0</v>
      </c>
      <c r="Y23">
        <v>10</v>
      </c>
      <c r="Z23">
        <v>10</v>
      </c>
      <c r="AA23">
        <v>0</v>
      </c>
      <c r="AB23">
        <v>0</v>
      </c>
      <c r="AC23">
        <v>10</v>
      </c>
      <c r="AD23">
        <v>0</v>
      </c>
    </row>
    <row r="24" spans="1:30" x14ac:dyDescent="0.3">
      <c r="C24" s="70" t="s">
        <v>1366</v>
      </c>
      <c r="D24" s="72" t="s">
        <v>2088</v>
      </c>
      <c r="E24" s="70">
        <f t="shared" si="0"/>
        <v>36.000000000000831</v>
      </c>
      <c r="F24" s="70">
        <f t="shared" si="0"/>
        <v>170.99999999999795</v>
      </c>
      <c r="G24" s="70">
        <f t="shared" si="1"/>
        <v>9</v>
      </c>
      <c r="H24" s="70">
        <f t="shared" si="2"/>
        <v>10</v>
      </c>
      <c r="I24" t="s">
        <v>2116</v>
      </c>
      <c r="J24" t="s">
        <v>2117</v>
      </c>
      <c r="K24" t="s">
        <v>2118</v>
      </c>
      <c r="L24">
        <v>10</v>
      </c>
      <c r="M24">
        <v>10</v>
      </c>
      <c r="N24">
        <v>10</v>
      </c>
      <c r="O24">
        <v>0</v>
      </c>
      <c r="P24">
        <v>10</v>
      </c>
      <c r="Q24">
        <v>0</v>
      </c>
      <c r="R24">
        <v>0</v>
      </c>
      <c r="S24">
        <v>10</v>
      </c>
      <c r="T24">
        <v>10</v>
      </c>
      <c r="U24">
        <v>0</v>
      </c>
      <c r="V24">
        <v>0</v>
      </c>
      <c r="W24">
        <v>0</v>
      </c>
      <c r="X24">
        <v>0</v>
      </c>
      <c r="Y24">
        <v>10</v>
      </c>
      <c r="Z24">
        <v>10</v>
      </c>
      <c r="AA24">
        <v>0</v>
      </c>
      <c r="AB24">
        <v>0</v>
      </c>
      <c r="AC24">
        <v>10</v>
      </c>
      <c r="AD24">
        <v>0</v>
      </c>
    </row>
    <row r="25" spans="1:30" x14ac:dyDescent="0.3">
      <c r="C25" s="70">
        <v>214</v>
      </c>
      <c r="D25" s="74" t="s">
        <v>2089</v>
      </c>
      <c r="E25" s="70">
        <f t="shared" si="0"/>
        <v>74.000000000000369</v>
      </c>
      <c r="F25" s="70">
        <f t="shared" si="0"/>
        <v>359.00000000000176</v>
      </c>
      <c r="G25" s="70">
        <f t="shared" si="1"/>
        <v>10</v>
      </c>
      <c r="H25" s="70">
        <f t="shared" si="2"/>
        <v>9</v>
      </c>
      <c r="I25" t="s">
        <v>6304</v>
      </c>
      <c r="J25" t="s">
        <v>6305</v>
      </c>
      <c r="K25" t="s">
        <v>6306</v>
      </c>
      <c r="L25">
        <v>10</v>
      </c>
      <c r="M25">
        <v>0</v>
      </c>
      <c r="N25">
        <v>10</v>
      </c>
      <c r="O25">
        <v>0</v>
      </c>
      <c r="P25">
        <v>9</v>
      </c>
      <c r="Q25">
        <v>10</v>
      </c>
      <c r="R25">
        <v>0</v>
      </c>
      <c r="S25">
        <v>10</v>
      </c>
      <c r="T25">
        <v>10</v>
      </c>
      <c r="U25">
        <v>10</v>
      </c>
      <c r="V25">
        <v>0</v>
      </c>
      <c r="W25">
        <v>0</v>
      </c>
      <c r="X25">
        <v>0</v>
      </c>
      <c r="Y25">
        <v>10</v>
      </c>
      <c r="Z25">
        <v>10</v>
      </c>
      <c r="AA25">
        <v>0</v>
      </c>
      <c r="AB25">
        <v>0</v>
      </c>
      <c r="AC25">
        <v>10</v>
      </c>
      <c r="AD25">
        <v>0</v>
      </c>
    </row>
    <row r="26" spans="1:30" x14ac:dyDescent="0.3">
      <c r="C26" s="70">
        <v>215</v>
      </c>
      <c r="D26" s="71" t="s">
        <v>2090</v>
      </c>
      <c r="E26" s="70">
        <f t="shared" si="0"/>
        <v>52.000000000000135</v>
      </c>
      <c r="F26" s="70">
        <f t="shared" si="0"/>
        <v>222.00000000000114</v>
      </c>
      <c r="G26" s="70">
        <f t="shared" si="1"/>
        <v>11</v>
      </c>
      <c r="H26" s="70">
        <f t="shared" si="2"/>
        <v>8</v>
      </c>
      <c r="I26" t="s">
        <v>6307</v>
      </c>
      <c r="J26" t="s">
        <v>6308</v>
      </c>
      <c r="K26" t="s">
        <v>6309</v>
      </c>
      <c r="L26">
        <v>10</v>
      </c>
      <c r="M26">
        <v>10</v>
      </c>
      <c r="N26">
        <v>10</v>
      </c>
      <c r="O26">
        <v>0</v>
      </c>
      <c r="P26">
        <v>9</v>
      </c>
      <c r="Q26">
        <v>10</v>
      </c>
      <c r="R26">
        <v>0</v>
      </c>
      <c r="S26">
        <v>10</v>
      </c>
      <c r="T26">
        <v>10</v>
      </c>
      <c r="U26">
        <v>10</v>
      </c>
      <c r="V26">
        <v>0</v>
      </c>
      <c r="W26">
        <v>0</v>
      </c>
      <c r="X26">
        <v>0</v>
      </c>
      <c r="Y26">
        <v>10</v>
      </c>
      <c r="Z26">
        <v>10</v>
      </c>
      <c r="AA26">
        <v>0</v>
      </c>
      <c r="AB26">
        <v>0</v>
      </c>
      <c r="AC26">
        <v>10</v>
      </c>
      <c r="AD26">
        <v>0</v>
      </c>
    </row>
    <row r="27" spans="1:30" x14ac:dyDescent="0.3">
      <c r="A27" s="53">
        <v>45909.490350810185</v>
      </c>
      <c r="B27" s="23" t="s">
        <v>40</v>
      </c>
      <c r="C27" s="70" t="s">
        <v>1678</v>
      </c>
      <c r="D27" s="73" t="s">
        <v>2087</v>
      </c>
      <c r="E27" s="70">
        <f t="shared" si="0"/>
        <v>80.000000000001307</v>
      </c>
      <c r="F27" s="70">
        <f t="shared" si="0"/>
        <v>148.99999999999773</v>
      </c>
      <c r="G27" s="70">
        <f t="shared" si="1"/>
        <v>9</v>
      </c>
      <c r="H27" s="70">
        <f t="shared" si="2"/>
        <v>10</v>
      </c>
      <c r="I27" t="s">
        <v>2121</v>
      </c>
      <c r="J27" t="s">
        <v>2122</v>
      </c>
      <c r="K27" t="s">
        <v>2123</v>
      </c>
      <c r="L27">
        <v>9</v>
      </c>
      <c r="M27">
        <v>9</v>
      </c>
      <c r="N27">
        <v>9</v>
      </c>
      <c r="O27">
        <v>0</v>
      </c>
      <c r="P27">
        <v>9</v>
      </c>
      <c r="Q27">
        <v>9</v>
      </c>
      <c r="R27">
        <v>0</v>
      </c>
      <c r="S27">
        <v>9</v>
      </c>
      <c r="T27">
        <v>9</v>
      </c>
      <c r="U27">
        <v>9</v>
      </c>
      <c r="V27">
        <v>0</v>
      </c>
      <c r="W27">
        <v>0</v>
      </c>
      <c r="X27">
        <v>0</v>
      </c>
      <c r="Y27">
        <v>1</v>
      </c>
      <c r="Z27">
        <v>9</v>
      </c>
      <c r="AA27">
        <v>0</v>
      </c>
      <c r="AB27">
        <v>0</v>
      </c>
      <c r="AC27">
        <v>1</v>
      </c>
      <c r="AD27">
        <v>0</v>
      </c>
    </row>
    <row r="28" spans="1:30" x14ac:dyDescent="0.3">
      <c r="C28" s="70" t="s">
        <v>1716</v>
      </c>
      <c r="D28" s="72" t="s">
        <v>2088</v>
      </c>
      <c r="E28" s="70">
        <f t="shared" si="0"/>
        <v>44.000000000000483</v>
      </c>
      <c r="F28" s="70">
        <f t="shared" si="0"/>
        <v>192.00000000000125</v>
      </c>
      <c r="G28" s="70">
        <f t="shared" si="1"/>
        <v>11</v>
      </c>
      <c r="H28" s="70">
        <f t="shared" si="2"/>
        <v>8</v>
      </c>
      <c r="I28" t="s">
        <v>2124</v>
      </c>
      <c r="J28" t="s">
        <v>2125</v>
      </c>
      <c r="K28" t="s">
        <v>2126</v>
      </c>
      <c r="L28">
        <v>9</v>
      </c>
      <c r="M28">
        <v>9</v>
      </c>
      <c r="N28">
        <v>9</v>
      </c>
      <c r="O28">
        <v>0</v>
      </c>
      <c r="P28">
        <v>9</v>
      </c>
      <c r="Q28">
        <v>9</v>
      </c>
      <c r="R28">
        <v>0</v>
      </c>
      <c r="S28">
        <v>9</v>
      </c>
      <c r="T28">
        <v>9</v>
      </c>
      <c r="U28">
        <v>9</v>
      </c>
      <c r="V28">
        <v>0</v>
      </c>
      <c r="W28">
        <v>0</v>
      </c>
      <c r="X28">
        <v>0</v>
      </c>
      <c r="Y28">
        <v>8</v>
      </c>
      <c r="Z28">
        <v>9</v>
      </c>
      <c r="AA28">
        <v>0</v>
      </c>
      <c r="AB28">
        <v>0</v>
      </c>
      <c r="AC28">
        <v>8</v>
      </c>
      <c r="AD28">
        <v>0</v>
      </c>
    </row>
    <row r="29" spans="1:30" x14ac:dyDescent="0.3">
      <c r="C29" s="70">
        <v>221</v>
      </c>
      <c r="D29" s="74" t="s">
        <v>2089</v>
      </c>
      <c r="E29" s="70">
        <f t="shared" si="0"/>
        <v>137.99999999999758</v>
      </c>
      <c r="F29" s="70">
        <f t="shared" si="0"/>
        <v>151.00000000000122</v>
      </c>
      <c r="G29" s="70">
        <f t="shared" si="1"/>
        <v>10</v>
      </c>
      <c r="H29" s="70">
        <f t="shared" si="2"/>
        <v>9</v>
      </c>
      <c r="I29" t="s">
        <v>6310</v>
      </c>
      <c r="J29" t="s">
        <v>6311</v>
      </c>
      <c r="K29" t="s">
        <v>6312</v>
      </c>
      <c r="L29">
        <v>8</v>
      </c>
      <c r="M29">
        <v>9</v>
      </c>
      <c r="N29">
        <v>9</v>
      </c>
      <c r="O29">
        <v>0</v>
      </c>
      <c r="P29">
        <v>8</v>
      </c>
      <c r="Q29">
        <v>10</v>
      </c>
      <c r="R29">
        <v>0</v>
      </c>
      <c r="S29">
        <v>9</v>
      </c>
      <c r="T29">
        <v>8</v>
      </c>
      <c r="U29">
        <v>9</v>
      </c>
      <c r="V29">
        <v>0</v>
      </c>
      <c r="W29">
        <v>0</v>
      </c>
      <c r="X29">
        <v>0</v>
      </c>
      <c r="Y29">
        <v>9</v>
      </c>
      <c r="Z29">
        <v>10</v>
      </c>
      <c r="AA29">
        <v>0</v>
      </c>
      <c r="AB29">
        <v>0</v>
      </c>
      <c r="AC29">
        <v>0</v>
      </c>
      <c r="AD29">
        <v>0</v>
      </c>
    </row>
    <row r="30" spans="1:30" x14ac:dyDescent="0.3">
      <c r="C30" s="70">
        <v>222</v>
      </c>
      <c r="D30" s="71" t="s">
        <v>2090</v>
      </c>
      <c r="E30" s="70">
        <f t="shared" si="0"/>
        <v>71.999999999996874</v>
      </c>
      <c r="F30" s="70">
        <f t="shared" si="0"/>
        <v>150.00000000000426</v>
      </c>
      <c r="G30" s="70">
        <f t="shared" si="1"/>
        <v>9</v>
      </c>
      <c r="H30" s="70">
        <f t="shared" si="2"/>
        <v>10</v>
      </c>
      <c r="I30" t="s">
        <v>6313</v>
      </c>
      <c r="J30" t="s">
        <v>6314</v>
      </c>
      <c r="K30" t="s">
        <v>6315</v>
      </c>
      <c r="L30">
        <v>8</v>
      </c>
      <c r="M30">
        <v>9</v>
      </c>
      <c r="N30">
        <v>9</v>
      </c>
      <c r="O30">
        <v>0</v>
      </c>
      <c r="P30">
        <v>8</v>
      </c>
      <c r="Q30">
        <v>10</v>
      </c>
      <c r="R30">
        <v>0</v>
      </c>
      <c r="S30">
        <v>9</v>
      </c>
      <c r="T30">
        <v>8</v>
      </c>
      <c r="U30">
        <v>9</v>
      </c>
      <c r="V30">
        <v>0</v>
      </c>
      <c r="W30">
        <v>0</v>
      </c>
      <c r="X30">
        <v>0</v>
      </c>
      <c r="Y30">
        <v>0</v>
      </c>
      <c r="Z30">
        <v>10</v>
      </c>
      <c r="AA30">
        <v>0</v>
      </c>
      <c r="AB30">
        <v>0</v>
      </c>
      <c r="AC30">
        <v>0</v>
      </c>
      <c r="AD30">
        <v>0</v>
      </c>
    </row>
    <row r="31" spans="1:30" x14ac:dyDescent="0.3">
      <c r="A31" s="53">
        <v>45909.571112488426</v>
      </c>
      <c r="B31" s="23" t="s">
        <v>41</v>
      </c>
      <c r="C31" s="70" t="s">
        <v>1749</v>
      </c>
      <c r="D31" s="73" t="s">
        <v>2087</v>
      </c>
      <c r="E31" s="70">
        <f t="shared" si="0"/>
        <v>490.00000000000625</v>
      </c>
      <c r="F31" s="70">
        <f t="shared" si="0"/>
        <v>133.99999999999537</v>
      </c>
      <c r="G31" s="70">
        <f t="shared" si="1"/>
        <v>8</v>
      </c>
      <c r="H31" s="70">
        <f t="shared" si="2"/>
        <v>11</v>
      </c>
      <c r="I31" t="s">
        <v>2127</v>
      </c>
      <c r="J31" t="s">
        <v>2128</v>
      </c>
      <c r="K31" t="s">
        <v>2129</v>
      </c>
      <c r="L31">
        <v>0</v>
      </c>
      <c r="M31">
        <v>0</v>
      </c>
      <c r="N31">
        <v>0</v>
      </c>
      <c r="O31">
        <v>0</v>
      </c>
      <c r="P31">
        <v>10</v>
      </c>
      <c r="Q31">
        <v>10</v>
      </c>
      <c r="R31">
        <v>0</v>
      </c>
      <c r="S31">
        <v>10</v>
      </c>
      <c r="T31">
        <v>10</v>
      </c>
      <c r="U31">
        <v>10</v>
      </c>
      <c r="V31">
        <v>0</v>
      </c>
      <c r="W31">
        <v>0</v>
      </c>
      <c r="X31">
        <v>0</v>
      </c>
      <c r="Y31">
        <v>10</v>
      </c>
      <c r="Z31">
        <v>10</v>
      </c>
      <c r="AA31">
        <v>0</v>
      </c>
      <c r="AB31">
        <v>0</v>
      </c>
      <c r="AC31">
        <v>10</v>
      </c>
      <c r="AD31">
        <v>0</v>
      </c>
    </row>
    <row r="32" spans="1:30" x14ac:dyDescent="0.3">
      <c r="C32" s="70" t="s">
        <v>1801</v>
      </c>
      <c r="D32" s="72" t="s">
        <v>2088</v>
      </c>
      <c r="E32" s="70">
        <f t="shared" si="0"/>
        <v>80.999999999993477</v>
      </c>
      <c r="F32" s="70">
        <f t="shared" si="0"/>
        <v>131.00000000000449</v>
      </c>
      <c r="G32" s="70">
        <f t="shared" si="1"/>
        <v>6</v>
      </c>
      <c r="H32" s="70">
        <f t="shared" si="2"/>
        <v>13</v>
      </c>
      <c r="I32" t="s">
        <v>2130</v>
      </c>
      <c r="J32" t="s">
        <v>2131</v>
      </c>
      <c r="K32" t="s">
        <v>2132</v>
      </c>
      <c r="L32">
        <v>0</v>
      </c>
      <c r="M32">
        <v>0</v>
      </c>
      <c r="N32">
        <v>0</v>
      </c>
      <c r="O32">
        <v>0</v>
      </c>
      <c r="P32">
        <v>10</v>
      </c>
      <c r="Q32">
        <v>10</v>
      </c>
      <c r="R32">
        <v>0</v>
      </c>
      <c r="S32">
        <v>10</v>
      </c>
      <c r="T32">
        <v>10</v>
      </c>
      <c r="U32">
        <v>10</v>
      </c>
      <c r="V32">
        <v>0</v>
      </c>
      <c r="W32">
        <v>0</v>
      </c>
      <c r="X32">
        <v>0</v>
      </c>
      <c r="Y32">
        <v>0</v>
      </c>
      <c r="Z32">
        <v>10</v>
      </c>
      <c r="AA32">
        <v>0</v>
      </c>
      <c r="AB32">
        <v>0</v>
      </c>
      <c r="AC32">
        <v>0</v>
      </c>
      <c r="AD32">
        <v>0</v>
      </c>
    </row>
    <row r="33" spans="1:30" x14ac:dyDescent="0.3">
      <c r="C33" s="70">
        <v>232</v>
      </c>
      <c r="D33" s="74" t="s">
        <v>2089</v>
      </c>
      <c r="E33" s="70">
        <f t="shared" si="0"/>
        <v>70.999999999995111</v>
      </c>
      <c r="F33" s="70">
        <f t="shared" si="0"/>
        <v>163.0000000000031</v>
      </c>
      <c r="G33" s="70">
        <f t="shared" si="1"/>
        <v>6</v>
      </c>
      <c r="H33" s="70">
        <f t="shared" si="2"/>
        <v>13</v>
      </c>
      <c r="I33" t="s">
        <v>6316</v>
      </c>
      <c r="J33" t="s">
        <v>6317</v>
      </c>
      <c r="K33" t="s">
        <v>6318</v>
      </c>
      <c r="L33">
        <v>0</v>
      </c>
      <c r="M33">
        <v>0</v>
      </c>
      <c r="N33">
        <v>0</v>
      </c>
      <c r="O33">
        <v>0</v>
      </c>
      <c r="P33">
        <v>10</v>
      </c>
      <c r="Q33">
        <v>10</v>
      </c>
      <c r="R33">
        <v>0</v>
      </c>
      <c r="S33">
        <v>10</v>
      </c>
      <c r="T33">
        <v>10</v>
      </c>
      <c r="U33">
        <v>10</v>
      </c>
      <c r="V33">
        <v>0</v>
      </c>
      <c r="W33">
        <v>0</v>
      </c>
      <c r="X33">
        <v>0</v>
      </c>
      <c r="Y33">
        <v>0</v>
      </c>
      <c r="Z33">
        <v>10</v>
      </c>
      <c r="AA33">
        <v>0</v>
      </c>
      <c r="AB33">
        <v>0</v>
      </c>
      <c r="AC33">
        <v>0</v>
      </c>
      <c r="AD33">
        <v>0</v>
      </c>
    </row>
    <row r="34" spans="1:30" x14ac:dyDescent="0.3">
      <c r="C34" s="70">
        <v>233</v>
      </c>
      <c r="D34" s="71" t="s">
        <v>2090</v>
      </c>
      <c r="E34" s="70">
        <f t="shared" si="0"/>
        <v>53.00000000000189</v>
      </c>
      <c r="F34" s="70">
        <f t="shared" si="0"/>
        <v>137.00000000000543</v>
      </c>
      <c r="G34" s="70">
        <f t="shared" si="1"/>
        <v>8</v>
      </c>
      <c r="H34" s="70">
        <f t="shared" si="2"/>
        <v>11</v>
      </c>
      <c r="I34" t="s">
        <v>6319</v>
      </c>
      <c r="J34" t="s">
        <v>6320</v>
      </c>
      <c r="K34" t="s">
        <v>6321</v>
      </c>
      <c r="L34">
        <v>0</v>
      </c>
      <c r="M34">
        <v>0</v>
      </c>
      <c r="N34">
        <v>0</v>
      </c>
      <c r="O34">
        <v>0</v>
      </c>
      <c r="P34">
        <v>10</v>
      </c>
      <c r="Q34">
        <v>10</v>
      </c>
      <c r="R34">
        <v>0</v>
      </c>
      <c r="S34">
        <v>10</v>
      </c>
      <c r="T34">
        <v>10</v>
      </c>
      <c r="U34">
        <v>10</v>
      </c>
      <c r="V34">
        <v>0</v>
      </c>
      <c r="W34">
        <v>0</v>
      </c>
      <c r="X34">
        <v>0</v>
      </c>
      <c r="Y34">
        <v>10</v>
      </c>
      <c r="Z34">
        <v>10</v>
      </c>
      <c r="AA34">
        <v>0</v>
      </c>
      <c r="AB34">
        <v>0</v>
      </c>
      <c r="AC34">
        <v>10</v>
      </c>
      <c r="AD34">
        <v>0</v>
      </c>
    </row>
    <row r="35" spans="1:30" x14ac:dyDescent="0.3">
      <c r="A35" s="53">
        <v>45909.613403391202</v>
      </c>
      <c r="B35" s="23" t="s">
        <v>42</v>
      </c>
      <c r="C35" s="70" t="s">
        <v>2008</v>
      </c>
      <c r="D35" s="73" t="s">
        <v>2087</v>
      </c>
      <c r="E35" s="70">
        <f t="shared" si="0"/>
        <v>207.00000000000358</v>
      </c>
      <c r="F35" s="70">
        <f t="shared" si="0"/>
        <v>182.99999999999983</v>
      </c>
      <c r="G35" s="70">
        <f t="shared" si="1"/>
        <v>11</v>
      </c>
      <c r="H35" s="70">
        <f t="shared" si="2"/>
        <v>8</v>
      </c>
      <c r="I35" t="s">
        <v>2133</v>
      </c>
      <c r="J35" t="s">
        <v>2134</v>
      </c>
      <c r="K35" t="s">
        <v>2135</v>
      </c>
      <c r="L35">
        <v>9</v>
      </c>
      <c r="M35">
        <v>9</v>
      </c>
      <c r="N35">
        <v>8</v>
      </c>
      <c r="O35">
        <v>0</v>
      </c>
      <c r="P35">
        <v>8</v>
      </c>
      <c r="Q35">
        <v>8</v>
      </c>
      <c r="R35">
        <v>0</v>
      </c>
      <c r="S35">
        <v>8</v>
      </c>
      <c r="T35">
        <v>8</v>
      </c>
      <c r="U35">
        <v>9</v>
      </c>
      <c r="V35">
        <v>0</v>
      </c>
      <c r="W35">
        <v>0</v>
      </c>
      <c r="X35">
        <v>0</v>
      </c>
      <c r="Y35">
        <v>8</v>
      </c>
      <c r="Z35">
        <v>8</v>
      </c>
      <c r="AA35">
        <v>0</v>
      </c>
      <c r="AB35">
        <v>0</v>
      </c>
      <c r="AC35">
        <v>7</v>
      </c>
      <c r="AD35">
        <v>0</v>
      </c>
    </row>
    <row r="36" spans="1:30" x14ac:dyDescent="0.3">
      <c r="C36" s="70" t="s">
        <v>2046</v>
      </c>
      <c r="D36" s="72" t="s">
        <v>2088</v>
      </c>
      <c r="E36" s="70">
        <f t="shared" si="0"/>
        <v>42.000000000006565</v>
      </c>
      <c r="F36" s="70">
        <f t="shared" si="0"/>
        <v>127.99999999999443</v>
      </c>
      <c r="G36" s="70">
        <f t="shared" si="1"/>
        <v>8</v>
      </c>
      <c r="H36" s="70">
        <f t="shared" si="2"/>
        <v>11</v>
      </c>
      <c r="I36" t="s">
        <v>2136</v>
      </c>
      <c r="J36" t="s">
        <v>2137</v>
      </c>
      <c r="K36" t="s">
        <v>2138</v>
      </c>
      <c r="L36">
        <v>9</v>
      </c>
      <c r="M36">
        <v>1</v>
      </c>
      <c r="N36">
        <v>0</v>
      </c>
      <c r="O36">
        <v>0</v>
      </c>
      <c r="P36">
        <v>8</v>
      </c>
      <c r="Q36">
        <v>8</v>
      </c>
      <c r="R36">
        <v>0</v>
      </c>
      <c r="S36">
        <v>8</v>
      </c>
      <c r="T36">
        <v>8</v>
      </c>
      <c r="U36">
        <v>9</v>
      </c>
      <c r="V36">
        <v>0</v>
      </c>
      <c r="W36">
        <v>0</v>
      </c>
      <c r="X36">
        <v>0</v>
      </c>
      <c r="Y36">
        <v>0</v>
      </c>
      <c r="Z36">
        <v>8</v>
      </c>
      <c r="AA36">
        <v>0</v>
      </c>
      <c r="AB36">
        <v>0</v>
      </c>
      <c r="AC36">
        <v>7</v>
      </c>
      <c r="AD36">
        <v>0</v>
      </c>
    </row>
    <row r="37" spans="1:30" x14ac:dyDescent="0.3">
      <c r="C37" s="70">
        <v>239</v>
      </c>
      <c r="D37" s="74" t="s">
        <v>2089</v>
      </c>
      <c r="E37" s="70">
        <f t="shared" si="0"/>
        <v>96.999999999992781</v>
      </c>
      <c r="F37" s="70">
        <f t="shared" si="0"/>
        <v>188.00000000000381</v>
      </c>
      <c r="G37" s="70">
        <f t="shared" si="1"/>
        <v>11</v>
      </c>
      <c r="H37" s="70">
        <f t="shared" si="2"/>
        <v>8</v>
      </c>
      <c r="I37" t="s">
        <v>6322</v>
      </c>
      <c r="J37" t="s">
        <v>6323</v>
      </c>
      <c r="K37" t="s">
        <v>6324</v>
      </c>
      <c r="L37">
        <v>9</v>
      </c>
      <c r="M37">
        <v>9</v>
      </c>
      <c r="N37">
        <v>9</v>
      </c>
      <c r="O37">
        <v>0</v>
      </c>
      <c r="P37">
        <v>10</v>
      </c>
      <c r="Q37">
        <v>7</v>
      </c>
      <c r="R37">
        <v>0</v>
      </c>
      <c r="S37">
        <v>9</v>
      </c>
      <c r="T37">
        <v>10</v>
      </c>
      <c r="U37">
        <v>9</v>
      </c>
      <c r="V37">
        <v>0</v>
      </c>
      <c r="W37">
        <v>0</v>
      </c>
      <c r="X37">
        <v>0</v>
      </c>
      <c r="Y37">
        <v>9</v>
      </c>
      <c r="Z37">
        <v>8</v>
      </c>
      <c r="AA37">
        <v>0</v>
      </c>
      <c r="AB37">
        <v>0</v>
      </c>
      <c r="AC37">
        <v>9</v>
      </c>
      <c r="AD37">
        <v>0</v>
      </c>
    </row>
    <row r="38" spans="1:30" x14ac:dyDescent="0.3">
      <c r="C38" s="70">
        <v>240</v>
      </c>
      <c r="D38" s="71" t="s">
        <v>2090</v>
      </c>
      <c r="E38" s="70">
        <f t="shared" si="0"/>
        <v>41.999999999996973</v>
      </c>
      <c r="F38" s="70">
        <f t="shared" si="0"/>
        <v>186.00000000000028</v>
      </c>
      <c r="G38" s="70">
        <f t="shared" si="1"/>
        <v>11</v>
      </c>
      <c r="H38" s="70">
        <f t="shared" si="2"/>
        <v>8</v>
      </c>
      <c r="I38" t="s">
        <v>6325</v>
      </c>
      <c r="J38" t="s">
        <v>6326</v>
      </c>
      <c r="K38" t="s">
        <v>6327</v>
      </c>
      <c r="L38">
        <v>9</v>
      </c>
      <c r="M38">
        <v>9</v>
      </c>
      <c r="N38">
        <v>9</v>
      </c>
      <c r="O38">
        <v>0</v>
      </c>
      <c r="P38">
        <v>10</v>
      </c>
      <c r="Q38">
        <v>7</v>
      </c>
      <c r="R38">
        <v>0</v>
      </c>
      <c r="S38">
        <v>9</v>
      </c>
      <c r="T38">
        <v>10</v>
      </c>
      <c r="U38">
        <v>9</v>
      </c>
      <c r="V38">
        <v>0</v>
      </c>
      <c r="W38">
        <v>0</v>
      </c>
      <c r="X38">
        <v>0</v>
      </c>
      <c r="Y38">
        <v>9</v>
      </c>
      <c r="Z38">
        <v>8</v>
      </c>
      <c r="AA38">
        <v>0</v>
      </c>
      <c r="AB38">
        <v>0</v>
      </c>
      <c r="AC38">
        <v>9</v>
      </c>
      <c r="AD38">
        <v>0</v>
      </c>
    </row>
    <row r="39" spans="1:30" x14ac:dyDescent="0.3">
      <c r="A39" s="53">
        <v>45909.662530416666</v>
      </c>
      <c r="B39" s="23" t="s">
        <v>44</v>
      </c>
      <c r="C39" s="70" t="s">
        <v>2157</v>
      </c>
      <c r="D39" s="73" t="s">
        <v>2087</v>
      </c>
      <c r="E39" s="70">
        <f t="shared" si="0"/>
        <v>72.000000000001663</v>
      </c>
      <c r="F39" s="70">
        <f t="shared" si="0"/>
        <v>129.00000000000097</v>
      </c>
      <c r="G39" s="70">
        <f t="shared" si="1"/>
        <v>4</v>
      </c>
      <c r="H39" s="70">
        <f t="shared" si="2"/>
        <v>15</v>
      </c>
      <c r="I39" t="s">
        <v>6328</v>
      </c>
      <c r="J39" t="s">
        <v>6329</v>
      </c>
      <c r="K39" t="s">
        <v>6330</v>
      </c>
      <c r="L39">
        <v>0</v>
      </c>
      <c r="M39">
        <v>0</v>
      </c>
      <c r="N39">
        <v>0</v>
      </c>
      <c r="O39">
        <v>0</v>
      </c>
      <c r="P39">
        <v>10</v>
      </c>
      <c r="Q39">
        <v>10</v>
      </c>
      <c r="R39">
        <v>0</v>
      </c>
      <c r="S39">
        <v>0</v>
      </c>
      <c r="T39">
        <v>0</v>
      </c>
      <c r="U39">
        <v>0</v>
      </c>
      <c r="V39">
        <v>0</v>
      </c>
      <c r="W39">
        <v>0</v>
      </c>
      <c r="X39">
        <v>0</v>
      </c>
      <c r="Y39">
        <v>10</v>
      </c>
      <c r="Z39">
        <v>0</v>
      </c>
      <c r="AA39">
        <v>0</v>
      </c>
      <c r="AB39">
        <v>0</v>
      </c>
      <c r="AC39">
        <v>10</v>
      </c>
      <c r="AD39">
        <v>0</v>
      </c>
    </row>
    <row r="40" spans="1:30" x14ac:dyDescent="0.3">
      <c r="C40" s="70">
        <v>249</v>
      </c>
      <c r="D40" s="72" t="s">
        <v>2088</v>
      </c>
      <c r="E40" s="70">
        <f t="shared" si="0"/>
        <v>55.0000000000054</v>
      </c>
      <c r="F40" s="70">
        <f t="shared" si="0"/>
        <v>114.99999999999559</v>
      </c>
      <c r="G40" s="70">
        <f t="shared" si="1"/>
        <v>6</v>
      </c>
      <c r="H40" s="70">
        <f t="shared" si="2"/>
        <v>13</v>
      </c>
      <c r="I40" t="s">
        <v>6331</v>
      </c>
      <c r="J40" t="s">
        <v>6332</v>
      </c>
      <c r="K40" t="s">
        <v>6333</v>
      </c>
      <c r="L40">
        <v>0</v>
      </c>
      <c r="M40">
        <v>0</v>
      </c>
      <c r="N40">
        <v>0</v>
      </c>
      <c r="O40">
        <v>0</v>
      </c>
      <c r="P40">
        <v>10</v>
      </c>
      <c r="Q40">
        <v>10</v>
      </c>
      <c r="R40">
        <v>0</v>
      </c>
      <c r="S40">
        <v>10</v>
      </c>
      <c r="T40">
        <v>10</v>
      </c>
      <c r="U40">
        <v>0</v>
      </c>
      <c r="V40">
        <v>0</v>
      </c>
      <c r="W40">
        <v>0</v>
      </c>
      <c r="X40">
        <v>0</v>
      </c>
      <c r="Y40">
        <v>10</v>
      </c>
      <c r="Z40">
        <v>0</v>
      </c>
      <c r="AA40">
        <v>0</v>
      </c>
      <c r="AB40">
        <v>0</v>
      </c>
      <c r="AC40">
        <v>10</v>
      </c>
      <c r="AD40">
        <v>0</v>
      </c>
    </row>
    <row r="41" spans="1:30" x14ac:dyDescent="0.3">
      <c r="C41" t="s">
        <v>2084</v>
      </c>
      <c r="D41" s="74" t="s">
        <v>2089</v>
      </c>
      <c r="E41" s="70">
        <f t="shared" si="0"/>
        <v>66.000000000000725</v>
      </c>
      <c r="F41" s="70">
        <f t="shared" si="0"/>
        <v>343.00000000000244</v>
      </c>
      <c r="G41" s="70">
        <f t="shared" si="1"/>
        <v>9</v>
      </c>
      <c r="H41" s="70">
        <f t="shared" si="2"/>
        <v>10</v>
      </c>
      <c r="I41" t="s">
        <v>6334</v>
      </c>
      <c r="J41" t="s">
        <v>6335</v>
      </c>
      <c r="K41" t="s">
        <v>6336</v>
      </c>
      <c r="L41">
        <v>10</v>
      </c>
      <c r="M41">
        <v>10</v>
      </c>
      <c r="N41">
        <v>10</v>
      </c>
      <c r="O41">
        <v>0</v>
      </c>
      <c r="P41">
        <v>10</v>
      </c>
      <c r="Q41">
        <v>9</v>
      </c>
      <c r="R41">
        <v>0</v>
      </c>
      <c r="S41">
        <v>10</v>
      </c>
      <c r="T41">
        <v>10</v>
      </c>
      <c r="U41">
        <v>10</v>
      </c>
      <c r="V41">
        <v>0</v>
      </c>
      <c r="W41">
        <v>0</v>
      </c>
      <c r="X41">
        <v>0</v>
      </c>
      <c r="Y41">
        <v>0</v>
      </c>
      <c r="Z41">
        <v>10</v>
      </c>
      <c r="AA41">
        <v>0</v>
      </c>
      <c r="AB41">
        <v>0</v>
      </c>
      <c r="AC41">
        <v>0</v>
      </c>
      <c r="AD41">
        <v>0</v>
      </c>
    </row>
    <row r="42" spans="1:30" x14ac:dyDescent="0.3">
      <c r="C42" s="70">
        <v>251</v>
      </c>
      <c r="D42" s="71" t="s">
        <v>2090</v>
      </c>
      <c r="E42" s="70">
        <f t="shared" si="0"/>
        <v>104.99999999999723</v>
      </c>
      <c r="F42" s="70">
        <f t="shared" si="0"/>
        <v>324.99999999999966</v>
      </c>
      <c r="G42" s="70">
        <f t="shared" si="1"/>
        <v>8</v>
      </c>
      <c r="H42" s="70">
        <f t="shared" si="2"/>
        <v>11</v>
      </c>
      <c r="I42" t="s">
        <v>6337</v>
      </c>
      <c r="J42" t="s">
        <v>6338</v>
      </c>
      <c r="K42" t="s">
        <v>6339</v>
      </c>
      <c r="L42">
        <v>10</v>
      </c>
      <c r="M42">
        <v>10</v>
      </c>
      <c r="N42">
        <v>10</v>
      </c>
      <c r="O42">
        <v>0</v>
      </c>
      <c r="P42">
        <v>10</v>
      </c>
      <c r="Q42">
        <v>9</v>
      </c>
      <c r="R42">
        <v>0</v>
      </c>
      <c r="S42">
        <v>10</v>
      </c>
      <c r="T42">
        <v>10</v>
      </c>
      <c r="U42">
        <v>10</v>
      </c>
      <c r="V42">
        <v>0</v>
      </c>
      <c r="W42">
        <v>0</v>
      </c>
      <c r="X42">
        <v>0</v>
      </c>
      <c r="Y42">
        <v>0</v>
      </c>
      <c r="Z42">
        <v>0</v>
      </c>
      <c r="AA42">
        <v>0</v>
      </c>
      <c r="AB42">
        <v>0</v>
      </c>
      <c r="AC42">
        <v>0</v>
      </c>
      <c r="AD42">
        <v>0</v>
      </c>
    </row>
    <row r="43" spans="1:30" x14ac:dyDescent="0.3">
      <c r="A43" s="53">
        <v>45909.707308969912</v>
      </c>
      <c r="B43" s="23" t="s">
        <v>45</v>
      </c>
      <c r="C43">
        <v>259</v>
      </c>
      <c r="D43" s="73" t="s">
        <v>2087</v>
      </c>
      <c r="E43" s="70">
        <f t="shared" si="0"/>
        <v>116.00000000000215</v>
      </c>
      <c r="F43" s="70">
        <f t="shared" si="0"/>
        <v>151.99999999999818</v>
      </c>
      <c r="G43" s="70">
        <f t="shared" si="1"/>
        <v>8</v>
      </c>
      <c r="H43" s="70">
        <f t="shared" si="2"/>
        <v>11</v>
      </c>
      <c r="I43" t="s">
        <v>6340</v>
      </c>
      <c r="J43" t="s">
        <v>6341</v>
      </c>
      <c r="K43" t="s">
        <v>6342</v>
      </c>
      <c r="L43">
        <v>10</v>
      </c>
      <c r="M43">
        <v>10</v>
      </c>
      <c r="N43">
        <v>10</v>
      </c>
      <c r="O43">
        <v>0</v>
      </c>
      <c r="P43">
        <v>10</v>
      </c>
      <c r="Q43">
        <v>10</v>
      </c>
      <c r="R43">
        <v>0</v>
      </c>
      <c r="S43">
        <v>0</v>
      </c>
      <c r="T43">
        <v>0</v>
      </c>
      <c r="U43">
        <v>0</v>
      </c>
      <c r="V43">
        <v>0</v>
      </c>
      <c r="W43">
        <v>0</v>
      </c>
      <c r="X43">
        <v>0</v>
      </c>
      <c r="Y43">
        <v>10</v>
      </c>
      <c r="Z43">
        <v>10</v>
      </c>
      <c r="AA43">
        <v>0</v>
      </c>
      <c r="AB43">
        <v>0</v>
      </c>
      <c r="AC43">
        <v>10</v>
      </c>
      <c r="AD43">
        <v>0</v>
      </c>
    </row>
    <row r="44" spans="1:30" x14ac:dyDescent="0.3">
      <c r="D44" s="72" t="s">
        <v>2088</v>
      </c>
      <c r="E44" s="70">
        <f t="shared" si="0"/>
        <v>21.000000000003283</v>
      </c>
      <c r="F44" s="70">
        <f t="shared" si="0"/>
        <v>152.99999999999514</v>
      </c>
      <c r="G44" s="70">
        <f t="shared" si="1"/>
        <v>7</v>
      </c>
      <c r="H44" s="70">
        <f t="shared" si="2"/>
        <v>12</v>
      </c>
      <c r="I44" t="s">
        <v>6343</v>
      </c>
      <c r="J44" t="s">
        <v>6344</v>
      </c>
      <c r="K44" t="s">
        <v>6345</v>
      </c>
      <c r="L44">
        <v>10</v>
      </c>
      <c r="M44">
        <v>10</v>
      </c>
      <c r="N44">
        <v>0</v>
      </c>
      <c r="O44">
        <v>0</v>
      </c>
      <c r="P44">
        <v>10</v>
      </c>
      <c r="Q44">
        <v>10</v>
      </c>
      <c r="R44">
        <v>0</v>
      </c>
      <c r="S44">
        <v>0</v>
      </c>
      <c r="T44">
        <v>0</v>
      </c>
      <c r="U44">
        <v>0</v>
      </c>
      <c r="V44">
        <v>0</v>
      </c>
      <c r="W44">
        <v>0</v>
      </c>
      <c r="X44">
        <v>0</v>
      </c>
      <c r="Y44">
        <v>10</v>
      </c>
      <c r="Z44">
        <v>10</v>
      </c>
      <c r="AA44">
        <v>0</v>
      </c>
      <c r="AB44">
        <v>0</v>
      </c>
      <c r="AC44">
        <v>10</v>
      </c>
      <c r="AD44">
        <v>0</v>
      </c>
    </row>
    <row r="45" spans="1:30" x14ac:dyDescent="0.3">
      <c r="C45">
        <v>257</v>
      </c>
      <c r="D45" s="74" t="s">
        <v>2089</v>
      </c>
      <c r="E45" s="70">
        <f t="shared" si="0"/>
        <v>483.99999999999574</v>
      </c>
      <c r="F45" s="70">
        <f t="shared" si="0"/>
        <v>220.00000000000242</v>
      </c>
      <c r="G45" s="70">
        <f t="shared" si="1"/>
        <v>9</v>
      </c>
      <c r="H45" s="70">
        <f t="shared" si="2"/>
        <v>10</v>
      </c>
      <c r="I45" t="s">
        <v>6346</v>
      </c>
      <c r="J45" t="s">
        <v>6347</v>
      </c>
      <c r="K45" t="s">
        <v>6348</v>
      </c>
      <c r="L45">
        <v>10</v>
      </c>
      <c r="M45">
        <v>9</v>
      </c>
      <c r="N45">
        <v>7</v>
      </c>
      <c r="O45">
        <v>0</v>
      </c>
      <c r="P45">
        <v>10</v>
      </c>
      <c r="Q45">
        <v>0</v>
      </c>
      <c r="R45">
        <v>0</v>
      </c>
      <c r="S45">
        <v>10</v>
      </c>
      <c r="T45">
        <v>10</v>
      </c>
      <c r="U45">
        <v>0</v>
      </c>
      <c r="V45">
        <v>0</v>
      </c>
      <c r="W45">
        <v>0</v>
      </c>
      <c r="X45">
        <v>0</v>
      </c>
      <c r="Y45">
        <v>10</v>
      </c>
      <c r="Z45">
        <v>10</v>
      </c>
      <c r="AA45">
        <v>0</v>
      </c>
      <c r="AB45">
        <v>0</v>
      </c>
      <c r="AC45">
        <v>10</v>
      </c>
      <c r="AD45">
        <v>0</v>
      </c>
    </row>
    <row r="46" spans="1:30" x14ac:dyDescent="0.3">
      <c r="D46" s="71" t="s">
        <v>2090</v>
      </c>
      <c r="E46" s="70">
        <f t="shared" si="0"/>
        <v>25.999999999997669</v>
      </c>
      <c r="F46" s="70">
        <f t="shared" si="0"/>
        <v>213.00000000000452</v>
      </c>
      <c r="G46" s="70">
        <f t="shared" si="1"/>
        <v>10</v>
      </c>
      <c r="H46" s="70">
        <f t="shared" si="2"/>
        <v>9</v>
      </c>
      <c r="I46" t="s">
        <v>6349</v>
      </c>
      <c r="J46" t="s">
        <v>6350</v>
      </c>
      <c r="K46" t="s">
        <v>6351</v>
      </c>
      <c r="L46">
        <v>10</v>
      </c>
      <c r="M46">
        <v>9</v>
      </c>
      <c r="N46">
        <v>7</v>
      </c>
      <c r="O46">
        <v>0</v>
      </c>
      <c r="P46">
        <v>10</v>
      </c>
      <c r="Q46">
        <v>0</v>
      </c>
      <c r="R46">
        <v>0</v>
      </c>
      <c r="S46">
        <v>10</v>
      </c>
      <c r="T46">
        <v>10</v>
      </c>
      <c r="U46">
        <v>10</v>
      </c>
      <c r="V46">
        <v>0</v>
      </c>
      <c r="W46">
        <v>0</v>
      </c>
      <c r="X46">
        <v>0</v>
      </c>
      <c r="Y46">
        <v>10</v>
      </c>
      <c r="Z46">
        <v>10</v>
      </c>
      <c r="AA46">
        <v>0</v>
      </c>
      <c r="AB46">
        <v>0</v>
      </c>
      <c r="AC46">
        <v>10</v>
      </c>
      <c r="AD46">
        <v>0</v>
      </c>
    </row>
    <row r="47" spans="1:30" x14ac:dyDescent="0.3">
      <c r="A47" s="53">
        <v>45909.751557291667</v>
      </c>
      <c r="B47" s="23" t="s">
        <v>46</v>
      </c>
      <c r="C47">
        <v>266</v>
      </c>
      <c r="D47" s="73" t="s">
        <v>2087</v>
      </c>
      <c r="E47" s="70">
        <f t="shared" si="0"/>
        <v>612.9999999999967</v>
      </c>
      <c r="F47" s="70">
        <f t="shared" si="0"/>
        <v>189.99999999999773</v>
      </c>
      <c r="G47" s="70">
        <f t="shared" si="1"/>
        <v>11</v>
      </c>
      <c r="H47" s="70">
        <f t="shared" si="2"/>
        <v>8</v>
      </c>
      <c r="I47" t="s">
        <v>6352</v>
      </c>
      <c r="J47" t="s">
        <v>6353</v>
      </c>
      <c r="K47" t="s">
        <v>6354</v>
      </c>
      <c r="L47">
        <v>10</v>
      </c>
      <c r="M47">
        <v>10</v>
      </c>
      <c r="N47">
        <v>10</v>
      </c>
      <c r="O47">
        <v>0</v>
      </c>
      <c r="P47">
        <v>10</v>
      </c>
      <c r="Q47">
        <v>10</v>
      </c>
      <c r="R47">
        <v>0</v>
      </c>
      <c r="S47">
        <v>10</v>
      </c>
      <c r="T47">
        <v>10</v>
      </c>
      <c r="U47">
        <v>10</v>
      </c>
      <c r="V47">
        <v>0</v>
      </c>
      <c r="W47">
        <v>0</v>
      </c>
      <c r="X47">
        <v>0</v>
      </c>
      <c r="Y47">
        <v>10</v>
      </c>
      <c r="Z47">
        <v>10</v>
      </c>
      <c r="AA47">
        <v>0</v>
      </c>
      <c r="AB47">
        <v>0</v>
      </c>
      <c r="AC47">
        <v>10</v>
      </c>
      <c r="AD47">
        <v>0</v>
      </c>
    </row>
    <row r="48" spans="1:30" x14ac:dyDescent="0.3">
      <c r="D48" s="72" t="s">
        <v>2088</v>
      </c>
      <c r="E48" s="70">
        <f t="shared" si="0"/>
        <v>111.99999999999513</v>
      </c>
      <c r="F48" s="70">
        <f t="shared" si="0"/>
        <v>153.00000000000472</v>
      </c>
      <c r="G48" s="70">
        <f t="shared" si="1"/>
        <v>9</v>
      </c>
      <c r="H48" s="70">
        <f t="shared" si="2"/>
        <v>10</v>
      </c>
      <c r="I48" t="s">
        <v>6355</v>
      </c>
      <c r="J48" t="s">
        <v>6356</v>
      </c>
      <c r="K48" t="s">
        <v>6357</v>
      </c>
      <c r="L48">
        <v>10</v>
      </c>
      <c r="M48">
        <v>10</v>
      </c>
      <c r="N48">
        <v>10</v>
      </c>
      <c r="O48">
        <v>0</v>
      </c>
      <c r="P48">
        <v>10</v>
      </c>
      <c r="Q48">
        <v>10</v>
      </c>
      <c r="R48">
        <v>0</v>
      </c>
      <c r="S48">
        <v>10</v>
      </c>
      <c r="T48">
        <v>10</v>
      </c>
      <c r="U48">
        <v>10</v>
      </c>
      <c r="V48">
        <v>0</v>
      </c>
      <c r="W48">
        <v>0</v>
      </c>
      <c r="X48">
        <v>0</v>
      </c>
      <c r="Y48">
        <v>1</v>
      </c>
      <c r="Z48">
        <v>10</v>
      </c>
      <c r="AA48">
        <v>0</v>
      </c>
      <c r="AB48">
        <v>0</v>
      </c>
      <c r="AC48">
        <v>1</v>
      </c>
      <c r="AD48">
        <v>0</v>
      </c>
    </row>
    <row r="49" spans="1:30" x14ac:dyDescent="0.3">
      <c r="C49">
        <v>268</v>
      </c>
      <c r="D49" s="74" t="s">
        <v>2089</v>
      </c>
      <c r="E49" s="70">
        <f t="shared" si="0"/>
        <v>190.99999999999469</v>
      </c>
      <c r="F49" s="70">
        <f t="shared" si="0"/>
        <v>179.00000000000239</v>
      </c>
      <c r="G49" s="70">
        <f t="shared" si="1"/>
        <v>9</v>
      </c>
      <c r="H49" s="70">
        <f t="shared" si="2"/>
        <v>10</v>
      </c>
      <c r="I49" t="s">
        <v>6358</v>
      </c>
      <c r="J49" t="s">
        <v>6359</v>
      </c>
      <c r="K49" t="s">
        <v>6360</v>
      </c>
      <c r="L49">
        <v>10</v>
      </c>
      <c r="M49">
        <v>10</v>
      </c>
      <c r="N49">
        <v>10</v>
      </c>
      <c r="O49">
        <v>0</v>
      </c>
      <c r="P49">
        <v>10</v>
      </c>
      <c r="Q49">
        <v>10</v>
      </c>
      <c r="R49">
        <v>0</v>
      </c>
      <c r="S49">
        <v>10</v>
      </c>
      <c r="T49">
        <v>10</v>
      </c>
      <c r="U49">
        <v>10</v>
      </c>
      <c r="V49">
        <v>0</v>
      </c>
      <c r="W49">
        <v>0</v>
      </c>
      <c r="X49">
        <v>0</v>
      </c>
      <c r="Y49">
        <v>0</v>
      </c>
      <c r="Z49">
        <v>10</v>
      </c>
      <c r="AA49">
        <v>0</v>
      </c>
      <c r="AB49">
        <v>0</v>
      </c>
      <c r="AC49">
        <v>0</v>
      </c>
      <c r="AD49">
        <v>0</v>
      </c>
    </row>
    <row r="50" spans="1:30" x14ac:dyDescent="0.3">
      <c r="D50" s="71" t="s">
        <v>2090</v>
      </c>
      <c r="E50" s="70">
        <f t="shared" si="0"/>
        <v>72.000000000001663</v>
      </c>
      <c r="F50" s="70">
        <f t="shared" si="0"/>
        <v>208.00000000000054</v>
      </c>
      <c r="G50" s="70">
        <f t="shared" si="1"/>
        <v>11</v>
      </c>
      <c r="H50" s="70">
        <f t="shared" si="2"/>
        <v>8</v>
      </c>
      <c r="I50" t="s">
        <v>6361</v>
      </c>
      <c r="J50" t="s">
        <v>6362</v>
      </c>
      <c r="K50" t="s">
        <v>6363</v>
      </c>
      <c r="L50">
        <v>10</v>
      </c>
      <c r="M50">
        <v>10</v>
      </c>
      <c r="N50">
        <v>10</v>
      </c>
      <c r="O50">
        <v>0</v>
      </c>
      <c r="P50">
        <v>10</v>
      </c>
      <c r="Q50">
        <v>10</v>
      </c>
      <c r="R50">
        <v>0</v>
      </c>
      <c r="S50">
        <v>10</v>
      </c>
      <c r="T50">
        <v>10</v>
      </c>
      <c r="U50">
        <v>10</v>
      </c>
      <c r="V50">
        <v>0</v>
      </c>
      <c r="W50">
        <v>0</v>
      </c>
      <c r="X50">
        <v>0</v>
      </c>
      <c r="Y50">
        <v>10</v>
      </c>
      <c r="Z50">
        <v>10</v>
      </c>
      <c r="AA50">
        <v>0</v>
      </c>
      <c r="AB50">
        <v>0</v>
      </c>
      <c r="AC50">
        <v>10</v>
      </c>
      <c r="AD50">
        <v>0</v>
      </c>
    </row>
    <row r="51" spans="1:30" x14ac:dyDescent="0.3">
      <c r="A51" s="53">
        <v>45910.584917060187</v>
      </c>
      <c r="B51" s="23" t="s">
        <v>47</v>
      </c>
      <c r="C51">
        <v>280</v>
      </c>
      <c r="D51" s="73" t="s">
        <v>2087</v>
      </c>
      <c r="E51" s="70">
        <f t="shared" si="0"/>
        <v>341.00000000000853</v>
      </c>
      <c r="F51" s="70">
        <f t="shared" si="0"/>
        <v>129.99999999999795</v>
      </c>
      <c r="G51" s="70">
        <f t="shared" si="1"/>
        <v>7</v>
      </c>
      <c r="H51" s="70">
        <f t="shared" si="2"/>
        <v>12</v>
      </c>
      <c r="I51" t="s">
        <v>6364</v>
      </c>
      <c r="J51" t="s">
        <v>6365</v>
      </c>
      <c r="K51" t="s">
        <v>6366</v>
      </c>
      <c r="L51">
        <v>9</v>
      </c>
      <c r="M51">
        <v>8</v>
      </c>
      <c r="N51">
        <v>7</v>
      </c>
      <c r="O51">
        <v>0</v>
      </c>
      <c r="P51">
        <v>9</v>
      </c>
      <c r="Q51">
        <v>2</v>
      </c>
      <c r="R51">
        <v>0</v>
      </c>
      <c r="S51">
        <v>1</v>
      </c>
      <c r="T51">
        <v>1</v>
      </c>
      <c r="U51">
        <v>10</v>
      </c>
      <c r="V51">
        <v>0</v>
      </c>
      <c r="W51">
        <v>0</v>
      </c>
      <c r="X51">
        <v>0</v>
      </c>
      <c r="Y51">
        <v>6</v>
      </c>
      <c r="Z51">
        <v>8</v>
      </c>
      <c r="AA51">
        <v>0</v>
      </c>
      <c r="AB51">
        <v>0</v>
      </c>
      <c r="AC51">
        <v>3</v>
      </c>
      <c r="AD51">
        <v>0</v>
      </c>
    </row>
    <row r="52" spans="1:30" x14ac:dyDescent="0.3">
      <c r="D52" s="72" t="s">
        <v>2088</v>
      </c>
      <c r="E52" s="70">
        <f t="shared" si="0"/>
        <v>66.000000000000725</v>
      </c>
      <c r="F52" s="70">
        <f t="shared" si="0"/>
        <v>119.99999999999957</v>
      </c>
      <c r="G52" s="70">
        <f t="shared" si="1"/>
        <v>6</v>
      </c>
      <c r="H52" s="70">
        <f t="shared" si="2"/>
        <v>13</v>
      </c>
      <c r="I52" t="s">
        <v>6367</v>
      </c>
      <c r="J52" t="s">
        <v>6368</v>
      </c>
      <c r="K52" t="s">
        <v>6369</v>
      </c>
      <c r="L52">
        <v>9</v>
      </c>
      <c r="M52">
        <v>4</v>
      </c>
      <c r="N52">
        <v>3</v>
      </c>
      <c r="O52">
        <v>0</v>
      </c>
      <c r="P52">
        <v>9</v>
      </c>
      <c r="Q52">
        <v>7</v>
      </c>
      <c r="R52">
        <v>0</v>
      </c>
      <c r="S52">
        <v>7</v>
      </c>
      <c r="T52">
        <v>1</v>
      </c>
      <c r="U52">
        <v>10</v>
      </c>
      <c r="V52">
        <v>0</v>
      </c>
      <c r="W52">
        <v>0</v>
      </c>
      <c r="X52">
        <v>0</v>
      </c>
      <c r="Y52">
        <v>0</v>
      </c>
      <c r="Z52">
        <v>8</v>
      </c>
      <c r="AA52">
        <v>0</v>
      </c>
      <c r="AB52">
        <v>0</v>
      </c>
      <c r="AC52">
        <v>3</v>
      </c>
      <c r="AD52">
        <v>0</v>
      </c>
    </row>
    <row r="53" spans="1:30" x14ac:dyDescent="0.3">
      <c r="C53">
        <v>278</v>
      </c>
      <c r="D53" s="74" t="s">
        <v>2089</v>
      </c>
      <c r="E53" s="70">
        <f t="shared" si="0"/>
        <v>526.00000000000227</v>
      </c>
      <c r="F53" s="70">
        <f t="shared" si="0"/>
        <v>189.99999999999773</v>
      </c>
      <c r="G53" s="70">
        <f t="shared" si="1"/>
        <v>10</v>
      </c>
      <c r="H53" s="70">
        <f t="shared" si="2"/>
        <v>9</v>
      </c>
      <c r="I53" t="s">
        <v>6370</v>
      </c>
      <c r="J53" t="s">
        <v>6371</v>
      </c>
      <c r="K53" t="s">
        <v>6372</v>
      </c>
      <c r="L53">
        <v>10</v>
      </c>
      <c r="M53">
        <v>8</v>
      </c>
      <c r="N53">
        <v>10</v>
      </c>
      <c r="O53">
        <v>0</v>
      </c>
      <c r="P53">
        <v>9</v>
      </c>
      <c r="Q53">
        <v>8</v>
      </c>
      <c r="R53">
        <v>0</v>
      </c>
      <c r="S53">
        <v>7</v>
      </c>
      <c r="T53">
        <v>1</v>
      </c>
      <c r="U53">
        <v>10</v>
      </c>
      <c r="V53">
        <v>0</v>
      </c>
      <c r="W53">
        <v>0</v>
      </c>
      <c r="X53">
        <v>0</v>
      </c>
      <c r="Y53">
        <v>8</v>
      </c>
      <c r="Z53">
        <v>10</v>
      </c>
      <c r="AA53">
        <v>0</v>
      </c>
      <c r="AB53">
        <v>0</v>
      </c>
      <c r="AC53">
        <v>10</v>
      </c>
      <c r="AD53">
        <v>0</v>
      </c>
    </row>
    <row r="54" spans="1:30" x14ac:dyDescent="0.3">
      <c r="D54" s="71" t="s">
        <v>2090</v>
      </c>
      <c r="E54" s="70">
        <f t="shared" si="0"/>
        <v>97.999999999999332</v>
      </c>
      <c r="F54" s="70">
        <f t="shared" si="0"/>
        <v>166.00000000000358</v>
      </c>
      <c r="G54" s="70">
        <f t="shared" si="1"/>
        <v>9</v>
      </c>
      <c r="H54" s="70">
        <f t="shared" si="2"/>
        <v>10</v>
      </c>
      <c r="I54" t="s">
        <v>6373</v>
      </c>
      <c r="J54" t="s">
        <v>6374</v>
      </c>
      <c r="K54" t="s">
        <v>6375</v>
      </c>
      <c r="L54">
        <v>10</v>
      </c>
      <c r="M54">
        <v>8</v>
      </c>
      <c r="N54">
        <v>4</v>
      </c>
      <c r="O54">
        <v>0</v>
      </c>
      <c r="P54">
        <v>9</v>
      </c>
      <c r="Q54">
        <v>8</v>
      </c>
      <c r="R54">
        <v>0</v>
      </c>
      <c r="S54">
        <v>7</v>
      </c>
      <c r="T54">
        <v>1</v>
      </c>
      <c r="U54">
        <v>10</v>
      </c>
      <c r="V54">
        <v>0</v>
      </c>
      <c r="W54">
        <v>0</v>
      </c>
      <c r="X54">
        <v>0</v>
      </c>
      <c r="Y54">
        <v>8</v>
      </c>
      <c r="Z54">
        <v>10</v>
      </c>
      <c r="AA54">
        <v>0</v>
      </c>
      <c r="AB54">
        <v>0</v>
      </c>
      <c r="AC54">
        <v>10</v>
      </c>
      <c r="AD54">
        <v>0</v>
      </c>
    </row>
    <row r="55" spans="1:30" x14ac:dyDescent="0.3">
      <c r="A55" s="53">
        <v>45910.691854594908</v>
      </c>
      <c r="B55" s="23" t="s">
        <v>48</v>
      </c>
      <c r="C55">
        <v>290</v>
      </c>
      <c r="D55" s="73" t="s">
        <v>2087</v>
      </c>
      <c r="E55" s="70">
        <f t="shared" si="0"/>
        <v>207.00000000000358</v>
      </c>
      <c r="F55" s="70">
        <f t="shared" si="0"/>
        <v>146.9999999999942</v>
      </c>
      <c r="G55" s="70">
        <f t="shared" si="1"/>
        <v>8</v>
      </c>
      <c r="H55" s="70">
        <f t="shared" si="2"/>
        <v>11</v>
      </c>
      <c r="I55" t="s">
        <v>6382</v>
      </c>
      <c r="J55" t="s">
        <v>6383</v>
      </c>
      <c r="K55" t="s">
        <v>6384</v>
      </c>
      <c r="L55">
        <v>0</v>
      </c>
      <c r="M55">
        <v>10</v>
      </c>
      <c r="N55">
        <v>10</v>
      </c>
      <c r="O55">
        <v>0</v>
      </c>
      <c r="P55">
        <v>10</v>
      </c>
      <c r="Q55">
        <v>0</v>
      </c>
      <c r="R55">
        <v>0</v>
      </c>
      <c r="S55">
        <v>10</v>
      </c>
      <c r="T55">
        <v>0</v>
      </c>
      <c r="U55">
        <v>10</v>
      </c>
      <c r="V55">
        <v>0</v>
      </c>
      <c r="W55">
        <v>0</v>
      </c>
      <c r="X55">
        <v>0</v>
      </c>
      <c r="Y55">
        <v>10</v>
      </c>
      <c r="Z55">
        <v>10</v>
      </c>
      <c r="AA55">
        <v>0</v>
      </c>
      <c r="AB55">
        <v>0</v>
      </c>
      <c r="AC55">
        <v>10</v>
      </c>
      <c r="AD55">
        <v>0</v>
      </c>
    </row>
    <row r="56" spans="1:30" x14ac:dyDescent="0.3">
      <c r="D56" s="72" t="s">
        <v>2088</v>
      </c>
      <c r="E56" s="70">
        <f t="shared" si="0"/>
        <v>72.999999999998622</v>
      </c>
      <c r="F56" s="70">
        <f t="shared" si="0"/>
        <v>121.99999999999349</v>
      </c>
      <c r="G56" s="70">
        <f t="shared" si="1"/>
        <v>7</v>
      </c>
      <c r="H56" s="70">
        <f t="shared" si="2"/>
        <v>12</v>
      </c>
      <c r="I56" t="s">
        <v>6385</v>
      </c>
      <c r="J56" t="s">
        <v>6386</v>
      </c>
      <c r="K56" t="s">
        <v>6387</v>
      </c>
      <c r="L56">
        <v>0</v>
      </c>
      <c r="M56">
        <v>10</v>
      </c>
      <c r="N56">
        <v>0</v>
      </c>
      <c r="O56">
        <v>0</v>
      </c>
      <c r="P56">
        <v>10</v>
      </c>
      <c r="Q56">
        <v>0</v>
      </c>
      <c r="R56">
        <v>0</v>
      </c>
      <c r="S56">
        <v>10</v>
      </c>
      <c r="T56">
        <v>0</v>
      </c>
      <c r="U56">
        <v>10</v>
      </c>
      <c r="V56">
        <v>0</v>
      </c>
      <c r="W56">
        <v>0</v>
      </c>
      <c r="X56">
        <v>0</v>
      </c>
      <c r="Y56">
        <v>10</v>
      </c>
      <c r="Z56">
        <v>10</v>
      </c>
      <c r="AA56">
        <v>0</v>
      </c>
      <c r="AB56">
        <v>0</v>
      </c>
      <c r="AC56">
        <v>10</v>
      </c>
      <c r="AD56">
        <v>0</v>
      </c>
    </row>
    <row r="57" spans="1:30" x14ac:dyDescent="0.3">
      <c r="C57">
        <v>288</v>
      </c>
      <c r="D57" s="74" t="s">
        <v>2089</v>
      </c>
      <c r="E57" s="70">
        <f t="shared" si="0"/>
        <v>441.00000000000182</v>
      </c>
      <c r="F57" s="70">
        <f t="shared" si="0"/>
        <v>188.00000000000381</v>
      </c>
      <c r="G57" s="70">
        <f t="shared" si="1"/>
        <v>11</v>
      </c>
      <c r="H57" s="70">
        <f t="shared" si="2"/>
        <v>8</v>
      </c>
      <c r="I57" t="s">
        <v>6376</v>
      </c>
      <c r="J57" t="s">
        <v>6377</v>
      </c>
      <c r="K57" t="s">
        <v>6378</v>
      </c>
      <c r="L57">
        <v>10</v>
      </c>
      <c r="M57">
        <v>10</v>
      </c>
      <c r="N57">
        <v>10</v>
      </c>
      <c r="O57">
        <v>0</v>
      </c>
      <c r="P57">
        <v>10</v>
      </c>
      <c r="Q57">
        <v>10</v>
      </c>
      <c r="R57">
        <v>0</v>
      </c>
      <c r="S57">
        <v>10</v>
      </c>
      <c r="T57">
        <v>10</v>
      </c>
      <c r="U57">
        <v>10</v>
      </c>
      <c r="V57">
        <v>0</v>
      </c>
      <c r="W57">
        <v>0</v>
      </c>
      <c r="X57">
        <v>0</v>
      </c>
      <c r="Y57">
        <v>10</v>
      </c>
      <c r="Z57">
        <v>10</v>
      </c>
      <c r="AA57">
        <v>0</v>
      </c>
      <c r="AB57">
        <v>0</v>
      </c>
      <c r="AC57">
        <v>10</v>
      </c>
      <c r="AD57">
        <v>0</v>
      </c>
    </row>
    <row r="58" spans="1:30" x14ac:dyDescent="0.3">
      <c r="D58" s="71" t="s">
        <v>2090</v>
      </c>
      <c r="E58" s="70">
        <f t="shared" si="0"/>
        <v>29.000000000007731</v>
      </c>
      <c r="F58" s="70">
        <f t="shared" si="0"/>
        <v>187.9999999999942</v>
      </c>
      <c r="G58" s="70">
        <f t="shared" si="1"/>
        <v>11</v>
      </c>
      <c r="H58" s="70">
        <f t="shared" si="2"/>
        <v>8</v>
      </c>
      <c r="I58" t="s">
        <v>6379</v>
      </c>
      <c r="J58" t="s">
        <v>6380</v>
      </c>
      <c r="K58" t="s">
        <v>6381</v>
      </c>
      <c r="L58">
        <v>10</v>
      </c>
      <c r="M58">
        <v>10</v>
      </c>
      <c r="N58">
        <v>10</v>
      </c>
      <c r="O58">
        <v>0</v>
      </c>
      <c r="P58">
        <v>10</v>
      </c>
      <c r="Q58">
        <v>10</v>
      </c>
      <c r="R58">
        <v>0</v>
      </c>
      <c r="S58">
        <v>10</v>
      </c>
      <c r="T58">
        <v>10</v>
      </c>
      <c r="U58">
        <v>10</v>
      </c>
      <c r="V58">
        <v>0</v>
      </c>
      <c r="W58">
        <v>0</v>
      </c>
      <c r="X58">
        <v>0</v>
      </c>
      <c r="Y58">
        <v>10</v>
      </c>
      <c r="Z58">
        <v>10</v>
      </c>
      <c r="AA58">
        <v>0</v>
      </c>
      <c r="AB58">
        <v>0</v>
      </c>
      <c r="AC58">
        <v>10</v>
      </c>
      <c r="AD58">
        <v>0</v>
      </c>
    </row>
    <row r="59" spans="1:30" x14ac:dyDescent="0.3">
      <c r="A59" s="53">
        <v>45910.737771979169</v>
      </c>
      <c r="B59" s="23" t="s">
        <v>49</v>
      </c>
      <c r="C59">
        <v>297</v>
      </c>
      <c r="D59" s="73" t="s">
        <v>2087</v>
      </c>
      <c r="E59" s="70">
        <f t="shared" si="0"/>
        <v>377.00000000000455</v>
      </c>
      <c r="F59" s="70">
        <f t="shared" si="0"/>
        <v>145.00000000000028</v>
      </c>
      <c r="G59" s="70">
        <f t="shared" si="1"/>
        <v>9</v>
      </c>
      <c r="H59" s="70">
        <f t="shared" si="2"/>
        <v>10</v>
      </c>
      <c r="I59" t="s">
        <v>6394</v>
      </c>
      <c r="J59" t="s">
        <v>6395</v>
      </c>
      <c r="K59" t="s">
        <v>6396</v>
      </c>
      <c r="L59">
        <v>6</v>
      </c>
      <c r="M59">
        <v>6</v>
      </c>
      <c r="N59">
        <v>6</v>
      </c>
      <c r="O59">
        <v>0</v>
      </c>
      <c r="P59">
        <v>6</v>
      </c>
      <c r="Q59">
        <v>6</v>
      </c>
      <c r="R59">
        <v>0</v>
      </c>
      <c r="S59">
        <v>6</v>
      </c>
      <c r="T59">
        <v>6</v>
      </c>
      <c r="U59">
        <v>6</v>
      </c>
      <c r="V59">
        <v>0</v>
      </c>
      <c r="W59">
        <v>0</v>
      </c>
      <c r="X59">
        <v>0</v>
      </c>
      <c r="Y59">
        <v>4</v>
      </c>
      <c r="Z59">
        <v>6</v>
      </c>
      <c r="AA59">
        <v>0</v>
      </c>
      <c r="AB59">
        <v>0</v>
      </c>
      <c r="AC59">
        <v>4</v>
      </c>
      <c r="AD59">
        <v>0</v>
      </c>
    </row>
    <row r="60" spans="1:30" x14ac:dyDescent="0.3">
      <c r="D60" s="72" t="s">
        <v>2088</v>
      </c>
      <c r="E60" s="70">
        <f t="shared" si="0"/>
        <v>181.00000000000591</v>
      </c>
      <c r="F60" s="70">
        <f t="shared" si="0"/>
        <v>141.99999999999983</v>
      </c>
      <c r="G60" s="70">
        <f t="shared" si="1"/>
        <v>8</v>
      </c>
      <c r="H60" s="70">
        <f t="shared" si="2"/>
        <v>11</v>
      </c>
      <c r="I60" t="s">
        <v>6397</v>
      </c>
      <c r="J60" t="s">
        <v>6398</v>
      </c>
      <c r="K60" t="s">
        <v>6399</v>
      </c>
      <c r="L60">
        <v>6</v>
      </c>
      <c r="M60">
        <v>6</v>
      </c>
      <c r="N60">
        <v>6</v>
      </c>
      <c r="O60">
        <v>0</v>
      </c>
      <c r="P60">
        <v>6</v>
      </c>
      <c r="Q60">
        <v>6</v>
      </c>
      <c r="R60">
        <v>0</v>
      </c>
      <c r="S60">
        <v>6</v>
      </c>
      <c r="T60">
        <v>4</v>
      </c>
      <c r="U60">
        <v>6</v>
      </c>
      <c r="V60">
        <v>0</v>
      </c>
      <c r="W60">
        <v>0</v>
      </c>
      <c r="X60">
        <v>0</v>
      </c>
      <c r="Y60">
        <v>4</v>
      </c>
      <c r="Z60">
        <v>6</v>
      </c>
      <c r="AA60">
        <v>0</v>
      </c>
      <c r="AB60">
        <v>0</v>
      </c>
      <c r="AC60">
        <v>4</v>
      </c>
      <c r="AD60">
        <v>0</v>
      </c>
    </row>
    <row r="61" spans="1:30" x14ac:dyDescent="0.3">
      <c r="C61">
        <v>299</v>
      </c>
      <c r="D61" s="74" t="s">
        <v>2089</v>
      </c>
      <c r="E61" s="70">
        <f t="shared" si="0"/>
        <v>269.00000000000688</v>
      </c>
      <c r="F61" s="70">
        <f t="shared" si="0"/>
        <v>208.00000000000054</v>
      </c>
      <c r="G61" s="70">
        <f t="shared" si="1"/>
        <v>7</v>
      </c>
      <c r="H61" s="70">
        <f t="shared" si="2"/>
        <v>12</v>
      </c>
      <c r="I61" t="s">
        <v>6388</v>
      </c>
      <c r="J61" t="s">
        <v>6389</v>
      </c>
      <c r="K61" t="s">
        <v>6390</v>
      </c>
      <c r="L61">
        <v>6</v>
      </c>
      <c r="M61">
        <v>4</v>
      </c>
      <c r="N61">
        <v>6</v>
      </c>
      <c r="O61">
        <v>0</v>
      </c>
      <c r="P61">
        <v>6</v>
      </c>
      <c r="Q61">
        <v>6</v>
      </c>
      <c r="R61">
        <v>0</v>
      </c>
      <c r="S61">
        <v>6</v>
      </c>
      <c r="T61">
        <v>6</v>
      </c>
      <c r="U61">
        <v>4</v>
      </c>
      <c r="V61">
        <v>0</v>
      </c>
      <c r="W61">
        <v>0</v>
      </c>
      <c r="X61">
        <v>0</v>
      </c>
      <c r="Y61">
        <v>4</v>
      </c>
      <c r="Z61">
        <v>6</v>
      </c>
      <c r="AA61">
        <v>0</v>
      </c>
      <c r="AB61">
        <v>0</v>
      </c>
      <c r="AC61">
        <v>4</v>
      </c>
      <c r="AD61">
        <v>0</v>
      </c>
    </row>
    <row r="62" spans="1:30" x14ac:dyDescent="0.3">
      <c r="D62" s="71" t="s">
        <v>2090</v>
      </c>
      <c r="E62" s="70">
        <f t="shared" si="0"/>
        <v>91.999999999998394</v>
      </c>
      <c r="F62" s="70">
        <f t="shared" si="0"/>
        <v>151.00000000000122</v>
      </c>
      <c r="G62" s="70">
        <f t="shared" si="1"/>
        <v>9</v>
      </c>
      <c r="H62" s="70">
        <f t="shared" si="2"/>
        <v>10</v>
      </c>
      <c r="I62" t="s">
        <v>6391</v>
      </c>
      <c r="J62" t="s">
        <v>6392</v>
      </c>
      <c r="K62" t="s">
        <v>6393</v>
      </c>
      <c r="L62">
        <v>6</v>
      </c>
      <c r="M62">
        <v>6</v>
      </c>
      <c r="N62">
        <v>6</v>
      </c>
      <c r="O62">
        <v>0</v>
      </c>
      <c r="P62">
        <v>6</v>
      </c>
      <c r="Q62">
        <v>6</v>
      </c>
      <c r="R62">
        <v>0</v>
      </c>
      <c r="S62">
        <v>6</v>
      </c>
      <c r="T62">
        <v>6</v>
      </c>
      <c r="U62">
        <v>4</v>
      </c>
      <c r="V62">
        <v>0</v>
      </c>
      <c r="W62">
        <v>0</v>
      </c>
      <c r="X62">
        <v>0</v>
      </c>
      <c r="Y62">
        <v>6</v>
      </c>
      <c r="Z62">
        <v>6</v>
      </c>
      <c r="AA62">
        <v>0</v>
      </c>
      <c r="AB62">
        <v>0</v>
      </c>
      <c r="AC62">
        <v>4</v>
      </c>
      <c r="AD62">
        <v>0</v>
      </c>
    </row>
    <row r="63" spans="1:30" x14ac:dyDescent="0.3">
      <c r="A63" s="53">
        <v>45912.400994479161</v>
      </c>
      <c r="B63" s="23" t="s">
        <v>50</v>
      </c>
      <c r="C63">
        <v>309</v>
      </c>
      <c r="D63" s="73" t="s">
        <v>2087</v>
      </c>
      <c r="E63" s="70">
        <f t="shared" si="0"/>
        <v>81.00000000000307</v>
      </c>
      <c r="F63" s="70">
        <f t="shared" si="0"/>
        <v>139.99999999999631</v>
      </c>
      <c r="G63" s="70">
        <f t="shared" si="1"/>
        <v>8</v>
      </c>
      <c r="H63" s="70">
        <f t="shared" si="2"/>
        <v>11</v>
      </c>
      <c r="I63" t="s">
        <v>6400</v>
      </c>
      <c r="J63" t="s">
        <v>6401</v>
      </c>
      <c r="K63" t="s">
        <v>6402</v>
      </c>
      <c r="L63">
        <v>10</v>
      </c>
      <c r="M63">
        <v>10</v>
      </c>
      <c r="N63">
        <v>0</v>
      </c>
      <c r="O63">
        <v>0</v>
      </c>
      <c r="P63">
        <v>10</v>
      </c>
      <c r="Q63">
        <v>0</v>
      </c>
      <c r="R63">
        <v>0</v>
      </c>
      <c r="S63">
        <v>10</v>
      </c>
      <c r="T63">
        <v>10</v>
      </c>
      <c r="U63">
        <v>0</v>
      </c>
      <c r="V63">
        <v>0</v>
      </c>
      <c r="W63">
        <v>0</v>
      </c>
      <c r="X63">
        <v>0</v>
      </c>
      <c r="Y63">
        <v>10</v>
      </c>
      <c r="Z63">
        <v>10</v>
      </c>
      <c r="AA63">
        <v>0</v>
      </c>
      <c r="AB63">
        <v>0</v>
      </c>
      <c r="AC63">
        <v>10</v>
      </c>
      <c r="AD63">
        <v>0</v>
      </c>
    </row>
    <row r="64" spans="1:30" x14ac:dyDescent="0.3">
      <c r="D64" s="72" t="s">
        <v>2088</v>
      </c>
      <c r="E64" s="70">
        <f t="shared" si="0"/>
        <v>44.000000000000483</v>
      </c>
      <c r="F64" s="70">
        <f t="shared" si="0"/>
        <v>131.99999999999665</v>
      </c>
      <c r="G64" s="70">
        <f t="shared" si="1"/>
        <v>7</v>
      </c>
      <c r="H64" s="70">
        <f t="shared" si="2"/>
        <v>12</v>
      </c>
      <c r="I64" t="s">
        <v>6403</v>
      </c>
      <c r="J64" t="s">
        <v>6404</v>
      </c>
      <c r="K64" t="s">
        <v>6405</v>
      </c>
      <c r="L64">
        <v>0</v>
      </c>
      <c r="M64">
        <v>10</v>
      </c>
      <c r="N64">
        <v>0</v>
      </c>
      <c r="O64">
        <v>0</v>
      </c>
      <c r="P64">
        <v>10</v>
      </c>
      <c r="Q64">
        <v>0</v>
      </c>
      <c r="R64">
        <v>0</v>
      </c>
      <c r="S64">
        <v>10</v>
      </c>
      <c r="T64">
        <v>10</v>
      </c>
      <c r="U64">
        <v>0</v>
      </c>
      <c r="V64">
        <v>0</v>
      </c>
      <c r="W64">
        <v>0</v>
      </c>
      <c r="X64">
        <v>0</v>
      </c>
      <c r="Y64">
        <v>10</v>
      </c>
      <c r="Z64">
        <v>10</v>
      </c>
      <c r="AA64">
        <v>0</v>
      </c>
      <c r="AB64">
        <v>0</v>
      </c>
      <c r="AC64">
        <v>10</v>
      </c>
      <c r="AD64">
        <v>0</v>
      </c>
    </row>
    <row r="65" spans="1:30" x14ac:dyDescent="0.3">
      <c r="C65">
        <v>307</v>
      </c>
      <c r="D65" s="74" t="s">
        <v>2089</v>
      </c>
      <c r="E65" s="70">
        <f t="shared" si="0"/>
        <v>326.99999999999835</v>
      </c>
      <c r="F65" s="70">
        <f t="shared" si="0"/>
        <v>249.00000000000057</v>
      </c>
      <c r="G65" s="70">
        <f t="shared" si="1"/>
        <v>9</v>
      </c>
      <c r="H65" s="70">
        <f t="shared" si="2"/>
        <v>10</v>
      </c>
      <c r="I65" t="s">
        <v>6406</v>
      </c>
      <c r="J65" t="s">
        <v>6407</v>
      </c>
      <c r="K65" t="s">
        <v>6408</v>
      </c>
      <c r="L65">
        <v>10</v>
      </c>
      <c r="M65">
        <v>10</v>
      </c>
      <c r="N65">
        <v>10</v>
      </c>
      <c r="O65">
        <v>0</v>
      </c>
      <c r="P65">
        <v>10</v>
      </c>
      <c r="Q65">
        <v>10</v>
      </c>
      <c r="R65">
        <v>0</v>
      </c>
      <c r="S65">
        <v>10</v>
      </c>
      <c r="T65">
        <v>9</v>
      </c>
      <c r="U65">
        <v>10</v>
      </c>
      <c r="V65">
        <v>0</v>
      </c>
      <c r="W65">
        <v>0</v>
      </c>
      <c r="X65">
        <v>0</v>
      </c>
      <c r="Y65">
        <v>0</v>
      </c>
      <c r="Z65">
        <v>0</v>
      </c>
      <c r="AA65">
        <v>0</v>
      </c>
      <c r="AB65">
        <v>0</v>
      </c>
      <c r="AC65">
        <v>10</v>
      </c>
      <c r="AD65">
        <v>0</v>
      </c>
    </row>
    <row r="66" spans="1:30" x14ac:dyDescent="0.3">
      <c r="D66" s="71" t="s">
        <v>2090</v>
      </c>
      <c r="E66" s="70">
        <f t="shared" si="0"/>
        <v>85.999999999997456</v>
      </c>
      <c r="F66" s="70">
        <f t="shared" si="0"/>
        <v>164.00000000000006</v>
      </c>
      <c r="G66" s="70">
        <f t="shared" si="1"/>
        <v>9</v>
      </c>
      <c r="H66" s="70">
        <f t="shared" si="2"/>
        <v>10</v>
      </c>
      <c r="I66" t="s">
        <v>6409</v>
      </c>
      <c r="J66" t="s">
        <v>6410</v>
      </c>
      <c r="K66" t="s">
        <v>6411</v>
      </c>
      <c r="L66">
        <v>10</v>
      </c>
      <c r="M66">
        <v>10</v>
      </c>
      <c r="N66">
        <v>0</v>
      </c>
      <c r="O66">
        <v>0</v>
      </c>
      <c r="P66">
        <v>10</v>
      </c>
      <c r="Q66">
        <v>0</v>
      </c>
      <c r="R66">
        <v>0</v>
      </c>
      <c r="S66">
        <v>10</v>
      </c>
      <c r="T66">
        <v>9</v>
      </c>
      <c r="U66">
        <v>10</v>
      </c>
      <c r="V66">
        <v>0</v>
      </c>
      <c r="W66">
        <v>0</v>
      </c>
      <c r="X66">
        <v>0</v>
      </c>
      <c r="Y66">
        <v>10</v>
      </c>
      <c r="Z66">
        <v>10</v>
      </c>
      <c r="AA66">
        <v>0</v>
      </c>
      <c r="AB66">
        <v>0</v>
      </c>
      <c r="AC66">
        <v>10</v>
      </c>
      <c r="AD66">
        <v>0</v>
      </c>
    </row>
    <row r="67" spans="1:30" x14ac:dyDescent="0.3">
      <c r="A67" s="53">
        <v>45912.446164340276</v>
      </c>
      <c r="B67" s="23" t="s">
        <v>51</v>
      </c>
      <c r="C67">
        <v>316</v>
      </c>
      <c r="D67" s="73" t="s">
        <v>2087</v>
      </c>
      <c r="E67" s="70">
        <f t="shared" si="0"/>
        <v>471.00000000000171</v>
      </c>
      <c r="F67" s="70">
        <f t="shared" si="0"/>
        <v>205.00000000000006</v>
      </c>
      <c r="G67" s="70">
        <f t="shared" si="1"/>
        <v>11</v>
      </c>
      <c r="H67" s="70">
        <f t="shared" si="2"/>
        <v>8</v>
      </c>
      <c r="I67" t="s">
        <v>6412</v>
      </c>
      <c r="J67" t="s">
        <v>6413</v>
      </c>
      <c r="K67" t="s">
        <v>6414</v>
      </c>
      <c r="L67">
        <v>10</v>
      </c>
      <c r="M67">
        <v>10</v>
      </c>
      <c r="N67">
        <v>10</v>
      </c>
      <c r="O67">
        <v>0</v>
      </c>
      <c r="P67">
        <v>10</v>
      </c>
      <c r="Q67">
        <v>10</v>
      </c>
      <c r="R67">
        <v>0</v>
      </c>
      <c r="S67">
        <v>10</v>
      </c>
      <c r="T67">
        <v>10</v>
      </c>
      <c r="U67">
        <v>10</v>
      </c>
      <c r="V67">
        <v>0</v>
      </c>
      <c r="W67">
        <v>0</v>
      </c>
      <c r="X67">
        <v>0</v>
      </c>
      <c r="Y67">
        <v>10</v>
      </c>
      <c r="Z67">
        <v>10</v>
      </c>
      <c r="AA67">
        <v>0</v>
      </c>
      <c r="AB67">
        <v>0</v>
      </c>
      <c r="AC67">
        <v>10</v>
      </c>
      <c r="AD67">
        <v>0</v>
      </c>
    </row>
    <row r="68" spans="1:30" x14ac:dyDescent="0.3">
      <c r="D68" s="72" t="s">
        <v>2088</v>
      </c>
      <c r="E68" s="70">
        <f t="shared" ref="E68:F130" si="3">(J68-I68)*86400</f>
        <v>52.000000000000135</v>
      </c>
      <c r="F68" s="70">
        <f t="shared" si="3"/>
        <v>195.99999999999866</v>
      </c>
      <c r="G68" s="70">
        <f t="shared" ref="G68:G130" si="4">COUNTIF(L68:AD68,"&gt;5")</f>
        <v>11</v>
      </c>
      <c r="H68" s="70">
        <f t="shared" ref="H68:H130" si="5">COUNTIF(L68:AD68,"&lt;5")</f>
        <v>8</v>
      </c>
      <c r="I68" t="s">
        <v>6415</v>
      </c>
      <c r="J68" t="s">
        <v>6416</v>
      </c>
      <c r="K68" t="s">
        <v>6417</v>
      </c>
      <c r="L68">
        <v>10</v>
      </c>
      <c r="M68">
        <v>10</v>
      </c>
      <c r="N68">
        <v>10</v>
      </c>
      <c r="O68">
        <v>0</v>
      </c>
      <c r="P68">
        <v>10</v>
      </c>
      <c r="Q68">
        <v>10</v>
      </c>
      <c r="R68">
        <v>0</v>
      </c>
      <c r="S68">
        <v>10</v>
      </c>
      <c r="T68">
        <v>10</v>
      </c>
      <c r="U68">
        <v>10</v>
      </c>
      <c r="V68">
        <v>0</v>
      </c>
      <c r="W68">
        <v>0</v>
      </c>
      <c r="X68">
        <v>0</v>
      </c>
      <c r="Y68">
        <v>10</v>
      </c>
      <c r="Z68">
        <v>10</v>
      </c>
      <c r="AA68">
        <v>0</v>
      </c>
      <c r="AB68">
        <v>0</v>
      </c>
      <c r="AC68">
        <v>10</v>
      </c>
      <c r="AD68">
        <v>0</v>
      </c>
    </row>
    <row r="69" spans="1:30" x14ac:dyDescent="0.3">
      <c r="C69">
        <v>318</v>
      </c>
      <c r="D69" s="74" t="s">
        <v>2089</v>
      </c>
      <c r="E69" s="70">
        <f t="shared" si="3"/>
        <v>74.000000000000369</v>
      </c>
      <c r="F69" s="70">
        <f t="shared" si="3"/>
        <v>208.00000000000054</v>
      </c>
      <c r="G69" s="70">
        <f t="shared" si="4"/>
        <v>9</v>
      </c>
      <c r="H69" s="70">
        <f t="shared" si="5"/>
        <v>10</v>
      </c>
      <c r="I69" t="s">
        <v>6418</v>
      </c>
      <c r="J69" t="s">
        <v>6419</v>
      </c>
      <c r="K69" t="s">
        <v>6420</v>
      </c>
      <c r="L69">
        <v>10</v>
      </c>
      <c r="M69">
        <v>10</v>
      </c>
      <c r="N69">
        <v>10</v>
      </c>
      <c r="O69">
        <v>0</v>
      </c>
      <c r="P69">
        <v>10</v>
      </c>
      <c r="Q69">
        <v>10</v>
      </c>
      <c r="R69">
        <v>0</v>
      </c>
      <c r="S69">
        <v>10</v>
      </c>
      <c r="T69">
        <v>10</v>
      </c>
      <c r="U69">
        <v>0</v>
      </c>
      <c r="V69">
        <v>0</v>
      </c>
      <c r="W69">
        <v>0</v>
      </c>
      <c r="X69">
        <v>0</v>
      </c>
      <c r="Y69">
        <v>10</v>
      </c>
      <c r="Z69">
        <v>10</v>
      </c>
      <c r="AA69">
        <v>0</v>
      </c>
      <c r="AB69">
        <v>0</v>
      </c>
      <c r="AC69">
        <v>0</v>
      </c>
      <c r="AD69">
        <v>0</v>
      </c>
    </row>
    <row r="70" spans="1:30" x14ac:dyDescent="0.3">
      <c r="D70" s="71" t="s">
        <v>2090</v>
      </c>
      <c r="E70" s="70">
        <f t="shared" si="3"/>
        <v>92.000000000003183</v>
      </c>
      <c r="F70" s="70">
        <f t="shared" si="3"/>
        <v>263.99999999999812</v>
      </c>
      <c r="G70" s="70">
        <f t="shared" si="4"/>
        <v>10</v>
      </c>
      <c r="H70" s="70">
        <f t="shared" si="5"/>
        <v>9</v>
      </c>
      <c r="I70" t="s">
        <v>6421</v>
      </c>
      <c r="J70" t="s">
        <v>6422</v>
      </c>
      <c r="K70" t="s">
        <v>6423</v>
      </c>
      <c r="L70">
        <v>10</v>
      </c>
      <c r="M70">
        <v>10</v>
      </c>
      <c r="N70">
        <v>10</v>
      </c>
      <c r="O70">
        <v>0</v>
      </c>
      <c r="P70">
        <v>10</v>
      </c>
      <c r="Q70">
        <v>10</v>
      </c>
      <c r="R70">
        <v>0</v>
      </c>
      <c r="S70">
        <v>10</v>
      </c>
      <c r="T70">
        <v>10</v>
      </c>
      <c r="U70">
        <v>0</v>
      </c>
      <c r="V70">
        <v>0</v>
      </c>
      <c r="W70">
        <v>0</v>
      </c>
      <c r="X70">
        <v>0</v>
      </c>
      <c r="Y70">
        <v>10</v>
      </c>
      <c r="Z70">
        <v>10</v>
      </c>
      <c r="AA70">
        <v>0</v>
      </c>
      <c r="AB70">
        <v>0</v>
      </c>
      <c r="AC70">
        <v>10</v>
      </c>
      <c r="AD70">
        <v>0</v>
      </c>
    </row>
    <row r="71" spans="1:30" x14ac:dyDescent="0.3">
      <c r="A71" s="53">
        <v>45912.493647233801</v>
      </c>
      <c r="B71" s="23" t="s">
        <v>52</v>
      </c>
      <c r="C71">
        <v>328</v>
      </c>
      <c r="D71" s="73" t="s">
        <v>2087</v>
      </c>
      <c r="E71" s="70">
        <f t="shared" si="3"/>
        <v>217.99999999999892</v>
      </c>
      <c r="F71" s="70">
        <f t="shared" si="3"/>
        <v>172.00000000000449</v>
      </c>
      <c r="G71" s="70">
        <f t="shared" si="4"/>
        <v>10</v>
      </c>
      <c r="H71" s="70">
        <f t="shared" si="5"/>
        <v>9</v>
      </c>
      <c r="I71" t="s">
        <v>6424</v>
      </c>
      <c r="J71" t="s">
        <v>6425</v>
      </c>
      <c r="K71" t="s">
        <v>2126</v>
      </c>
      <c r="L71">
        <v>8</v>
      </c>
      <c r="M71">
        <v>8</v>
      </c>
      <c r="N71">
        <v>8</v>
      </c>
      <c r="O71">
        <v>0</v>
      </c>
      <c r="P71">
        <v>10</v>
      </c>
      <c r="Q71">
        <v>10</v>
      </c>
      <c r="R71">
        <v>0</v>
      </c>
      <c r="S71">
        <v>9</v>
      </c>
      <c r="T71">
        <v>10</v>
      </c>
      <c r="U71">
        <v>0</v>
      </c>
      <c r="V71">
        <v>0</v>
      </c>
      <c r="W71">
        <v>0</v>
      </c>
      <c r="X71">
        <v>0</v>
      </c>
      <c r="Y71">
        <v>9</v>
      </c>
      <c r="Z71">
        <v>10</v>
      </c>
      <c r="AA71">
        <v>0</v>
      </c>
      <c r="AB71">
        <v>0</v>
      </c>
      <c r="AC71">
        <v>8</v>
      </c>
      <c r="AD71">
        <v>0</v>
      </c>
    </row>
    <row r="72" spans="1:30" x14ac:dyDescent="0.3">
      <c r="D72" s="72" t="s">
        <v>2088</v>
      </c>
      <c r="E72" s="70">
        <f t="shared" si="3"/>
        <v>35.999999999996035</v>
      </c>
      <c r="F72" s="70">
        <f t="shared" si="3"/>
        <v>174.00000000000801</v>
      </c>
      <c r="G72" s="70">
        <f t="shared" si="4"/>
        <v>10</v>
      </c>
      <c r="H72" s="70">
        <f t="shared" si="5"/>
        <v>9</v>
      </c>
      <c r="I72" t="s">
        <v>6426</v>
      </c>
      <c r="J72" t="s">
        <v>6427</v>
      </c>
      <c r="K72" t="s">
        <v>6428</v>
      </c>
      <c r="L72">
        <v>8</v>
      </c>
      <c r="M72">
        <v>8</v>
      </c>
      <c r="N72">
        <v>8</v>
      </c>
      <c r="O72">
        <v>0</v>
      </c>
      <c r="P72">
        <v>10</v>
      </c>
      <c r="Q72">
        <v>10</v>
      </c>
      <c r="R72">
        <v>0</v>
      </c>
      <c r="S72">
        <v>9</v>
      </c>
      <c r="T72">
        <v>10</v>
      </c>
      <c r="U72">
        <v>0</v>
      </c>
      <c r="V72">
        <v>0</v>
      </c>
      <c r="W72">
        <v>0</v>
      </c>
      <c r="X72">
        <v>0</v>
      </c>
      <c r="Y72">
        <v>9</v>
      </c>
      <c r="Z72">
        <v>10</v>
      </c>
      <c r="AA72">
        <v>0</v>
      </c>
      <c r="AB72">
        <v>0</v>
      </c>
      <c r="AC72">
        <v>8</v>
      </c>
      <c r="AD72">
        <v>0</v>
      </c>
    </row>
    <row r="73" spans="1:30" x14ac:dyDescent="0.3">
      <c r="C73">
        <v>326</v>
      </c>
      <c r="D73" s="74" t="s">
        <v>2089</v>
      </c>
      <c r="E73" s="70">
        <f t="shared" si="3"/>
        <v>385.00000000000421</v>
      </c>
      <c r="F73" s="70">
        <f t="shared" si="3"/>
        <v>175.00000000000017</v>
      </c>
      <c r="G73" s="70">
        <f t="shared" si="4"/>
        <v>11</v>
      </c>
      <c r="H73" s="70">
        <f t="shared" si="5"/>
        <v>8</v>
      </c>
      <c r="I73" t="s">
        <v>6429</v>
      </c>
      <c r="J73" t="s">
        <v>6430</v>
      </c>
      <c r="K73" t="s">
        <v>6431</v>
      </c>
      <c r="L73">
        <v>9</v>
      </c>
      <c r="M73">
        <v>8</v>
      </c>
      <c r="N73">
        <v>8</v>
      </c>
      <c r="O73">
        <v>0</v>
      </c>
      <c r="P73">
        <v>8</v>
      </c>
      <c r="Q73">
        <v>9</v>
      </c>
      <c r="R73">
        <v>0</v>
      </c>
      <c r="S73">
        <v>9</v>
      </c>
      <c r="T73">
        <v>8</v>
      </c>
      <c r="U73">
        <v>10</v>
      </c>
      <c r="V73">
        <v>0</v>
      </c>
      <c r="W73">
        <v>0</v>
      </c>
      <c r="X73">
        <v>0</v>
      </c>
      <c r="Y73">
        <v>8</v>
      </c>
      <c r="Z73">
        <v>9</v>
      </c>
      <c r="AA73">
        <v>0</v>
      </c>
      <c r="AB73">
        <v>0</v>
      </c>
      <c r="AC73">
        <v>8</v>
      </c>
      <c r="AD73">
        <v>0</v>
      </c>
    </row>
    <row r="74" spans="1:30" x14ac:dyDescent="0.3">
      <c r="D74" s="71" t="s">
        <v>2090</v>
      </c>
      <c r="E74" s="70">
        <f t="shared" si="3"/>
        <v>21.000000000003283</v>
      </c>
      <c r="F74" s="70">
        <f t="shared" si="3"/>
        <v>220.99999999999937</v>
      </c>
      <c r="G74" s="70">
        <f t="shared" si="4"/>
        <v>11</v>
      </c>
      <c r="H74" s="70">
        <f t="shared" si="5"/>
        <v>8</v>
      </c>
      <c r="I74" t="s">
        <v>6432</v>
      </c>
      <c r="J74" t="s">
        <v>6433</v>
      </c>
      <c r="K74" t="s">
        <v>6434</v>
      </c>
      <c r="L74">
        <v>9</v>
      </c>
      <c r="M74">
        <v>8</v>
      </c>
      <c r="N74">
        <v>8</v>
      </c>
      <c r="O74">
        <v>0</v>
      </c>
      <c r="P74">
        <v>8</v>
      </c>
      <c r="Q74">
        <v>9</v>
      </c>
      <c r="R74">
        <v>0</v>
      </c>
      <c r="S74">
        <v>9</v>
      </c>
      <c r="T74">
        <v>8</v>
      </c>
      <c r="U74">
        <v>10</v>
      </c>
      <c r="V74">
        <v>0</v>
      </c>
      <c r="W74">
        <v>0</v>
      </c>
      <c r="X74">
        <v>0</v>
      </c>
      <c r="Y74">
        <v>8</v>
      </c>
      <c r="Z74">
        <v>9</v>
      </c>
      <c r="AA74">
        <v>0</v>
      </c>
      <c r="AB74">
        <v>0</v>
      </c>
      <c r="AC74">
        <v>8</v>
      </c>
      <c r="AD74">
        <v>0</v>
      </c>
    </row>
    <row r="75" spans="1:30" x14ac:dyDescent="0.3">
      <c r="A75" s="53">
        <v>45912.578483981481</v>
      </c>
      <c r="B75" s="23" t="s">
        <v>53</v>
      </c>
      <c r="C75">
        <v>336</v>
      </c>
      <c r="D75" s="73" t="s">
        <v>2087</v>
      </c>
      <c r="E75" s="70">
        <f t="shared" si="3"/>
        <v>936.99999999999943</v>
      </c>
      <c r="F75" s="70">
        <f t="shared" si="3"/>
        <v>201.00000000000264</v>
      </c>
      <c r="G75" s="70">
        <f t="shared" si="4"/>
        <v>11</v>
      </c>
      <c r="H75" s="70">
        <f t="shared" si="5"/>
        <v>8</v>
      </c>
      <c r="I75" t="s">
        <v>6435</v>
      </c>
      <c r="J75" t="s">
        <v>6436</v>
      </c>
      <c r="K75" t="s">
        <v>6437</v>
      </c>
      <c r="L75">
        <v>10</v>
      </c>
      <c r="M75">
        <v>10</v>
      </c>
      <c r="N75">
        <v>10</v>
      </c>
      <c r="O75">
        <v>0</v>
      </c>
      <c r="P75">
        <v>10</v>
      </c>
      <c r="Q75">
        <v>10</v>
      </c>
      <c r="R75">
        <v>0</v>
      </c>
      <c r="S75">
        <v>10</v>
      </c>
      <c r="T75">
        <v>10</v>
      </c>
      <c r="U75">
        <v>10</v>
      </c>
      <c r="V75">
        <v>0</v>
      </c>
      <c r="W75">
        <v>0</v>
      </c>
      <c r="X75">
        <v>0</v>
      </c>
      <c r="Y75">
        <v>10</v>
      </c>
      <c r="Z75">
        <v>10</v>
      </c>
      <c r="AA75">
        <v>0</v>
      </c>
      <c r="AB75">
        <v>0</v>
      </c>
      <c r="AC75">
        <v>10</v>
      </c>
      <c r="AD75">
        <v>0</v>
      </c>
    </row>
    <row r="76" spans="1:30" x14ac:dyDescent="0.3">
      <c r="D76" s="72" t="s">
        <v>2088</v>
      </c>
      <c r="E76" s="70">
        <f t="shared" si="3"/>
        <v>75.999999999999091</v>
      </c>
      <c r="F76" s="70">
        <f t="shared" si="3"/>
        <v>208.00000000000054</v>
      </c>
      <c r="G76" s="70">
        <f t="shared" si="4"/>
        <v>11</v>
      </c>
      <c r="H76" s="70">
        <f t="shared" si="5"/>
        <v>8</v>
      </c>
      <c r="I76" t="s">
        <v>6438</v>
      </c>
      <c r="J76" t="s">
        <v>6439</v>
      </c>
      <c r="K76" t="s">
        <v>6440</v>
      </c>
      <c r="L76">
        <v>10</v>
      </c>
      <c r="M76">
        <v>10</v>
      </c>
      <c r="N76">
        <v>10</v>
      </c>
      <c r="O76">
        <v>0</v>
      </c>
      <c r="P76">
        <v>10</v>
      </c>
      <c r="Q76">
        <v>10</v>
      </c>
      <c r="R76">
        <v>0</v>
      </c>
      <c r="S76">
        <v>10</v>
      </c>
      <c r="T76">
        <v>10</v>
      </c>
      <c r="U76">
        <v>10</v>
      </c>
      <c r="V76">
        <v>0</v>
      </c>
      <c r="W76">
        <v>0</v>
      </c>
      <c r="X76">
        <v>0</v>
      </c>
      <c r="Y76">
        <v>10</v>
      </c>
      <c r="Z76">
        <v>10</v>
      </c>
      <c r="AA76">
        <v>0</v>
      </c>
      <c r="AB76">
        <v>0</v>
      </c>
      <c r="AC76">
        <v>10</v>
      </c>
      <c r="AD76">
        <v>0</v>
      </c>
    </row>
    <row r="77" spans="1:30" x14ac:dyDescent="0.3">
      <c r="C77">
        <v>338</v>
      </c>
      <c r="D77" s="74" t="s">
        <v>2089</v>
      </c>
      <c r="E77" s="70">
        <f t="shared" si="3"/>
        <v>65.999999999991132</v>
      </c>
      <c r="F77" s="70">
        <f t="shared" si="3"/>
        <v>199.00000000000873</v>
      </c>
      <c r="G77" s="70">
        <f t="shared" si="4"/>
        <v>11</v>
      </c>
      <c r="H77" s="70">
        <f t="shared" si="5"/>
        <v>8</v>
      </c>
      <c r="I77" t="s">
        <v>6441</v>
      </c>
      <c r="J77" t="s">
        <v>6442</v>
      </c>
      <c r="K77" t="s">
        <v>6443</v>
      </c>
      <c r="L77">
        <v>10</v>
      </c>
      <c r="M77">
        <v>10</v>
      </c>
      <c r="N77">
        <v>10</v>
      </c>
      <c r="O77">
        <v>0</v>
      </c>
      <c r="P77">
        <v>10</v>
      </c>
      <c r="Q77">
        <v>10</v>
      </c>
      <c r="R77">
        <v>0</v>
      </c>
      <c r="S77">
        <v>10</v>
      </c>
      <c r="T77">
        <v>10</v>
      </c>
      <c r="U77">
        <v>10</v>
      </c>
      <c r="V77">
        <v>0</v>
      </c>
      <c r="W77">
        <v>0</v>
      </c>
      <c r="X77">
        <v>0</v>
      </c>
      <c r="Y77">
        <v>10</v>
      </c>
      <c r="Z77">
        <v>10</v>
      </c>
      <c r="AA77">
        <v>0</v>
      </c>
      <c r="AB77">
        <v>0</v>
      </c>
      <c r="AC77">
        <v>10</v>
      </c>
      <c r="AD77">
        <v>0</v>
      </c>
    </row>
    <row r="78" spans="1:30" x14ac:dyDescent="0.3">
      <c r="D78" s="71" t="s">
        <v>2090</v>
      </c>
      <c r="E78" s="70">
        <f t="shared" si="3"/>
        <v>24.000000000003752</v>
      </c>
      <c r="F78" s="70">
        <f t="shared" si="3"/>
        <v>202.99999999999656</v>
      </c>
      <c r="G78" s="70">
        <f t="shared" si="4"/>
        <v>11</v>
      </c>
      <c r="H78" s="70">
        <f t="shared" si="5"/>
        <v>8</v>
      </c>
      <c r="I78" t="s">
        <v>6444</v>
      </c>
      <c r="J78" t="s">
        <v>6445</v>
      </c>
      <c r="K78" t="s">
        <v>6446</v>
      </c>
      <c r="L78">
        <v>10</v>
      </c>
      <c r="M78">
        <v>10</v>
      </c>
      <c r="N78">
        <v>10</v>
      </c>
      <c r="O78">
        <v>0</v>
      </c>
      <c r="P78">
        <v>10</v>
      </c>
      <c r="Q78">
        <v>10</v>
      </c>
      <c r="R78">
        <v>0</v>
      </c>
      <c r="S78">
        <v>10</v>
      </c>
      <c r="T78">
        <v>10</v>
      </c>
      <c r="U78">
        <v>10</v>
      </c>
      <c r="V78">
        <v>0</v>
      </c>
      <c r="W78">
        <v>0</v>
      </c>
      <c r="X78">
        <v>0</v>
      </c>
      <c r="Y78">
        <v>10</v>
      </c>
      <c r="Z78">
        <v>10</v>
      </c>
      <c r="AA78">
        <v>0</v>
      </c>
      <c r="AB78">
        <v>0</v>
      </c>
      <c r="AC78">
        <v>10</v>
      </c>
      <c r="AD78">
        <v>0</v>
      </c>
    </row>
    <row r="79" spans="1:30" x14ac:dyDescent="0.3">
      <c r="A79" s="53">
        <v>45912.630338414354</v>
      </c>
      <c r="B79" s="23" t="s">
        <v>66</v>
      </c>
      <c r="C79">
        <v>347</v>
      </c>
      <c r="D79" s="73" t="s">
        <v>2087</v>
      </c>
      <c r="E79" s="70">
        <f t="shared" si="3"/>
        <v>176.00000000000193</v>
      </c>
      <c r="F79" s="70">
        <f t="shared" si="3"/>
        <v>179.99999999999937</v>
      </c>
      <c r="G79" s="70">
        <f t="shared" si="4"/>
        <v>11</v>
      </c>
      <c r="H79" s="70">
        <f t="shared" si="5"/>
        <v>8</v>
      </c>
      <c r="I79" t="s">
        <v>6447</v>
      </c>
      <c r="J79" t="s">
        <v>6448</v>
      </c>
      <c r="K79" t="s">
        <v>6449</v>
      </c>
      <c r="L79">
        <v>10</v>
      </c>
      <c r="M79">
        <v>10</v>
      </c>
      <c r="N79">
        <v>10</v>
      </c>
      <c r="O79">
        <v>0</v>
      </c>
      <c r="P79">
        <v>10</v>
      </c>
      <c r="Q79">
        <v>10</v>
      </c>
      <c r="R79">
        <v>0</v>
      </c>
      <c r="S79">
        <v>10</v>
      </c>
      <c r="T79">
        <v>10</v>
      </c>
      <c r="U79">
        <v>10</v>
      </c>
      <c r="V79">
        <v>0</v>
      </c>
      <c r="W79">
        <v>0</v>
      </c>
      <c r="X79">
        <v>0</v>
      </c>
      <c r="Y79">
        <v>10</v>
      </c>
      <c r="Z79">
        <v>10</v>
      </c>
      <c r="AA79">
        <v>0</v>
      </c>
      <c r="AB79">
        <v>0</v>
      </c>
      <c r="AC79">
        <v>10</v>
      </c>
      <c r="AD79">
        <v>0</v>
      </c>
    </row>
    <row r="80" spans="1:30" x14ac:dyDescent="0.3">
      <c r="D80" s="72" t="s">
        <v>2088</v>
      </c>
      <c r="E80" s="70">
        <f t="shared" si="3"/>
        <v>22.000000000000242</v>
      </c>
      <c r="F80" s="70">
        <f t="shared" si="3"/>
        <v>189.99999999999773</v>
      </c>
      <c r="G80" s="70">
        <f t="shared" si="4"/>
        <v>11</v>
      </c>
      <c r="H80" s="70">
        <f t="shared" si="5"/>
        <v>8</v>
      </c>
      <c r="I80" t="s">
        <v>6450</v>
      </c>
      <c r="J80" t="s">
        <v>6451</v>
      </c>
      <c r="K80" t="s">
        <v>6452</v>
      </c>
      <c r="L80">
        <v>10</v>
      </c>
      <c r="M80">
        <v>10</v>
      </c>
      <c r="N80">
        <v>10</v>
      </c>
      <c r="O80">
        <v>0</v>
      </c>
      <c r="P80">
        <v>10</v>
      </c>
      <c r="Q80">
        <v>10</v>
      </c>
      <c r="R80">
        <v>0</v>
      </c>
      <c r="S80">
        <v>10</v>
      </c>
      <c r="T80">
        <v>10</v>
      </c>
      <c r="U80">
        <v>10</v>
      </c>
      <c r="V80">
        <v>0</v>
      </c>
      <c r="W80">
        <v>0</v>
      </c>
      <c r="X80">
        <v>0</v>
      </c>
      <c r="Y80">
        <v>10</v>
      </c>
      <c r="Z80">
        <v>10</v>
      </c>
      <c r="AA80">
        <v>0</v>
      </c>
      <c r="AB80">
        <v>0</v>
      </c>
      <c r="AC80">
        <v>10</v>
      </c>
      <c r="AD80">
        <v>0</v>
      </c>
    </row>
    <row r="81" spans="1:30" x14ac:dyDescent="0.3">
      <c r="C81">
        <v>345</v>
      </c>
      <c r="D81" s="74" t="s">
        <v>2089</v>
      </c>
      <c r="E81" s="70">
        <f t="shared" si="3"/>
        <v>346.99999999999989</v>
      </c>
      <c r="F81" s="70">
        <f t="shared" si="3"/>
        <v>269.99999999999426</v>
      </c>
      <c r="G81" s="70">
        <f t="shared" si="4"/>
        <v>11</v>
      </c>
      <c r="H81" s="70">
        <f t="shared" si="5"/>
        <v>8</v>
      </c>
      <c r="I81" t="s">
        <v>6453</v>
      </c>
      <c r="J81" t="s">
        <v>6454</v>
      </c>
      <c r="K81" t="s">
        <v>6455</v>
      </c>
      <c r="L81">
        <v>10</v>
      </c>
      <c r="M81">
        <v>10</v>
      </c>
      <c r="N81">
        <v>10</v>
      </c>
      <c r="O81">
        <v>0</v>
      </c>
      <c r="P81">
        <v>10</v>
      </c>
      <c r="Q81">
        <v>10</v>
      </c>
      <c r="R81">
        <v>0</v>
      </c>
      <c r="S81">
        <v>10</v>
      </c>
      <c r="T81">
        <v>10</v>
      </c>
      <c r="U81">
        <v>10</v>
      </c>
      <c r="V81">
        <v>0</v>
      </c>
      <c r="W81">
        <v>0</v>
      </c>
      <c r="X81">
        <v>0</v>
      </c>
      <c r="Y81">
        <v>10</v>
      </c>
      <c r="Z81">
        <v>10</v>
      </c>
      <c r="AA81">
        <v>0</v>
      </c>
      <c r="AB81">
        <v>0</v>
      </c>
      <c r="AC81">
        <v>10</v>
      </c>
      <c r="AD81">
        <v>0</v>
      </c>
    </row>
    <row r="82" spans="1:30" x14ac:dyDescent="0.3">
      <c r="D82" s="71" t="s">
        <v>2090</v>
      </c>
      <c r="E82" s="70">
        <f t="shared" si="3"/>
        <v>22.000000000000242</v>
      </c>
      <c r="F82" s="70">
        <f t="shared" si="3"/>
        <v>291.00000000000711</v>
      </c>
      <c r="G82" s="70">
        <f t="shared" si="4"/>
        <v>11</v>
      </c>
      <c r="H82" s="70">
        <f t="shared" si="5"/>
        <v>8</v>
      </c>
      <c r="I82" t="s">
        <v>6456</v>
      </c>
      <c r="J82" t="s">
        <v>6457</v>
      </c>
      <c r="K82" t="s">
        <v>6458</v>
      </c>
      <c r="L82">
        <v>10</v>
      </c>
      <c r="M82">
        <v>10</v>
      </c>
      <c r="N82">
        <v>10</v>
      </c>
      <c r="O82">
        <v>0</v>
      </c>
      <c r="P82">
        <v>10</v>
      </c>
      <c r="Q82">
        <v>10</v>
      </c>
      <c r="R82">
        <v>0</v>
      </c>
      <c r="S82">
        <v>10</v>
      </c>
      <c r="T82">
        <v>10</v>
      </c>
      <c r="U82">
        <v>10</v>
      </c>
      <c r="V82">
        <v>0</v>
      </c>
      <c r="W82">
        <v>0</v>
      </c>
      <c r="X82">
        <v>0</v>
      </c>
      <c r="Y82">
        <v>10</v>
      </c>
      <c r="Z82">
        <v>10</v>
      </c>
      <c r="AA82">
        <v>0</v>
      </c>
      <c r="AB82">
        <v>0</v>
      </c>
      <c r="AC82">
        <v>10</v>
      </c>
      <c r="AD82">
        <v>0</v>
      </c>
    </row>
    <row r="83" spans="1:30" x14ac:dyDescent="0.3">
      <c r="A83" s="53">
        <v>45912.669901064815</v>
      </c>
      <c r="B83" s="23" t="s">
        <v>54</v>
      </c>
      <c r="C83">
        <v>354</v>
      </c>
      <c r="D83" s="73" t="s">
        <v>2087</v>
      </c>
      <c r="E83" s="70">
        <f t="shared" si="3"/>
        <v>375.99999999999801</v>
      </c>
      <c r="F83" s="70">
        <f t="shared" si="3"/>
        <v>185.00000000000335</v>
      </c>
      <c r="G83" s="70">
        <f t="shared" si="4"/>
        <v>11</v>
      </c>
      <c r="H83" s="70">
        <f t="shared" si="5"/>
        <v>8</v>
      </c>
      <c r="I83" t="s">
        <v>6459</v>
      </c>
      <c r="J83" t="s">
        <v>6460</v>
      </c>
      <c r="K83" t="s">
        <v>6461</v>
      </c>
      <c r="L83">
        <v>10</v>
      </c>
      <c r="M83">
        <v>10</v>
      </c>
      <c r="N83">
        <v>10</v>
      </c>
      <c r="O83">
        <v>0</v>
      </c>
      <c r="P83">
        <v>10</v>
      </c>
      <c r="Q83">
        <v>10</v>
      </c>
      <c r="R83">
        <v>0</v>
      </c>
      <c r="S83">
        <v>10</v>
      </c>
      <c r="T83">
        <v>10</v>
      </c>
      <c r="U83">
        <v>10</v>
      </c>
      <c r="V83">
        <v>0</v>
      </c>
      <c r="W83">
        <v>0</v>
      </c>
      <c r="X83">
        <v>0</v>
      </c>
      <c r="Y83">
        <v>10</v>
      </c>
      <c r="Z83">
        <v>10</v>
      </c>
      <c r="AA83">
        <v>0</v>
      </c>
      <c r="AB83">
        <v>0</v>
      </c>
      <c r="AC83">
        <v>10</v>
      </c>
      <c r="AD83">
        <v>0</v>
      </c>
    </row>
    <row r="84" spans="1:30" x14ac:dyDescent="0.3">
      <c r="D84" s="72" t="s">
        <v>2088</v>
      </c>
      <c r="E84" s="70">
        <f t="shared" si="3"/>
        <v>88.000000000000966</v>
      </c>
      <c r="F84" s="70">
        <f t="shared" si="3"/>
        <v>149.99999999999466</v>
      </c>
      <c r="G84" s="70">
        <f t="shared" si="4"/>
        <v>9</v>
      </c>
      <c r="H84" s="70">
        <f t="shared" si="5"/>
        <v>10</v>
      </c>
      <c r="I84" t="s">
        <v>6462</v>
      </c>
      <c r="J84" t="s">
        <v>6463</v>
      </c>
      <c r="K84" t="s">
        <v>6464</v>
      </c>
      <c r="L84">
        <v>10</v>
      </c>
      <c r="M84">
        <v>10</v>
      </c>
      <c r="N84">
        <v>10</v>
      </c>
      <c r="O84">
        <v>0</v>
      </c>
      <c r="P84">
        <v>10</v>
      </c>
      <c r="Q84">
        <v>10</v>
      </c>
      <c r="R84">
        <v>0</v>
      </c>
      <c r="S84">
        <v>10</v>
      </c>
      <c r="T84">
        <v>4</v>
      </c>
      <c r="U84">
        <v>10</v>
      </c>
      <c r="V84">
        <v>0</v>
      </c>
      <c r="W84">
        <v>0</v>
      </c>
      <c r="X84">
        <v>0</v>
      </c>
      <c r="Y84">
        <v>10</v>
      </c>
      <c r="Z84">
        <v>10</v>
      </c>
      <c r="AA84">
        <v>0</v>
      </c>
      <c r="AB84">
        <v>0</v>
      </c>
      <c r="AC84">
        <v>4</v>
      </c>
      <c r="AD84">
        <v>0</v>
      </c>
    </row>
    <row r="85" spans="1:30" x14ac:dyDescent="0.3">
      <c r="C85">
        <v>356</v>
      </c>
      <c r="D85" s="74" t="s">
        <v>2089</v>
      </c>
      <c r="E85" s="70">
        <f t="shared" si="3"/>
        <v>112.99999999999208</v>
      </c>
      <c r="F85" s="70">
        <f t="shared" si="3"/>
        <v>147.00000000000381</v>
      </c>
      <c r="G85" s="70">
        <f t="shared" si="4"/>
        <v>9</v>
      </c>
      <c r="H85" s="70">
        <f t="shared" si="5"/>
        <v>9</v>
      </c>
      <c r="I85" t="s">
        <v>6465</v>
      </c>
      <c r="J85" t="s">
        <v>6466</v>
      </c>
      <c r="K85" t="s">
        <v>6467</v>
      </c>
      <c r="L85">
        <v>10</v>
      </c>
      <c r="M85">
        <v>10</v>
      </c>
      <c r="N85">
        <v>10</v>
      </c>
      <c r="O85">
        <v>0</v>
      </c>
      <c r="P85">
        <v>10</v>
      </c>
      <c r="Q85">
        <v>10</v>
      </c>
      <c r="R85">
        <v>0</v>
      </c>
      <c r="S85">
        <v>10</v>
      </c>
      <c r="T85">
        <v>5</v>
      </c>
      <c r="U85">
        <v>4</v>
      </c>
      <c r="V85">
        <v>0</v>
      </c>
      <c r="W85">
        <v>0</v>
      </c>
      <c r="X85">
        <v>0</v>
      </c>
      <c r="Y85">
        <v>10</v>
      </c>
      <c r="Z85">
        <v>10</v>
      </c>
      <c r="AA85">
        <v>0</v>
      </c>
      <c r="AB85">
        <v>0</v>
      </c>
      <c r="AC85">
        <v>10</v>
      </c>
      <c r="AD85">
        <v>0</v>
      </c>
    </row>
    <row r="86" spans="1:30" x14ac:dyDescent="0.3">
      <c r="D86" s="71" t="s">
        <v>2090</v>
      </c>
      <c r="E86" s="70">
        <f t="shared" si="3"/>
        <v>73.99999999999558</v>
      </c>
      <c r="F86" s="70">
        <f t="shared" si="3"/>
        <v>153.00000000000472</v>
      </c>
      <c r="G86" s="70">
        <f t="shared" si="4"/>
        <v>9</v>
      </c>
      <c r="H86" s="70">
        <f t="shared" si="5"/>
        <v>9</v>
      </c>
      <c r="I86" t="s">
        <v>6468</v>
      </c>
      <c r="J86" t="s">
        <v>6469</v>
      </c>
      <c r="K86" t="s">
        <v>6470</v>
      </c>
      <c r="L86">
        <v>10</v>
      </c>
      <c r="M86">
        <v>10</v>
      </c>
      <c r="N86">
        <v>10</v>
      </c>
      <c r="O86">
        <v>0</v>
      </c>
      <c r="P86">
        <v>10</v>
      </c>
      <c r="Q86">
        <v>10</v>
      </c>
      <c r="R86">
        <v>0</v>
      </c>
      <c r="S86">
        <v>10</v>
      </c>
      <c r="T86">
        <v>5</v>
      </c>
      <c r="U86">
        <v>4</v>
      </c>
      <c r="V86">
        <v>0</v>
      </c>
      <c r="W86">
        <v>0</v>
      </c>
      <c r="X86">
        <v>0</v>
      </c>
      <c r="Y86">
        <v>10</v>
      </c>
      <c r="Z86">
        <v>10</v>
      </c>
      <c r="AA86">
        <v>0</v>
      </c>
      <c r="AB86">
        <v>0</v>
      </c>
      <c r="AC86">
        <v>10</v>
      </c>
      <c r="AD86">
        <v>0</v>
      </c>
    </row>
    <row r="87" spans="1:30" x14ac:dyDescent="0.3">
      <c r="A87" s="53">
        <v>45912.719724236114</v>
      </c>
      <c r="B87" s="23" t="s">
        <v>55</v>
      </c>
      <c r="C87">
        <v>365</v>
      </c>
      <c r="D87" s="73" t="s">
        <v>2087</v>
      </c>
      <c r="E87" s="70">
        <f t="shared" si="3"/>
        <v>45.000000000007034</v>
      </c>
      <c r="F87" s="70">
        <f t="shared" si="3"/>
        <v>164.00000000000006</v>
      </c>
      <c r="G87" s="70">
        <f t="shared" si="4"/>
        <v>8</v>
      </c>
      <c r="H87" s="70">
        <f t="shared" si="5"/>
        <v>11</v>
      </c>
      <c r="I87" t="s">
        <v>6471</v>
      </c>
      <c r="J87" t="s">
        <v>6472</v>
      </c>
      <c r="K87" t="s">
        <v>6473</v>
      </c>
      <c r="L87">
        <v>0</v>
      </c>
      <c r="M87">
        <v>0</v>
      </c>
      <c r="N87">
        <v>9</v>
      </c>
      <c r="O87">
        <v>0</v>
      </c>
      <c r="P87">
        <v>0</v>
      </c>
      <c r="Q87">
        <v>10</v>
      </c>
      <c r="R87">
        <v>0</v>
      </c>
      <c r="S87">
        <v>10</v>
      </c>
      <c r="T87">
        <v>10</v>
      </c>
      <c r="U87">
        <v>10</v>
      </c>
      <c r="V87">
        <v>0</v>
      </c>
      <c r="W87">
        <v>0</v>
      </c>
      <c r="X87">
        <v>0</v>
      </c>
      <c r="Y87">
        <v>10</v>
      </c>
      <c r="Z87">
        <v>10</v>
      </c>
      <c r="AA87">
        <v>0</v>
      </c>
      <c r="AB87">
        <v>0</v>
      </c>
      <c r="AC87">
        <v>10</v>
      </c>
      <c r="AD87">
        <v>0</v>
      </c>
    </row>
    <row r="88" spans="1:30" x14ac:dyDescent="0.3">
      <c r="D88" s="72" t="s">
        <v>2088</v>
      </c>
      <c r="E88" s="70">
        <f t="shared" si="3"/>
        <v>18.999999999999773</v>
      </c>
      <c r="F88" s="70">
        <f t="shared" si="3"/>
        <v>141.00000000000284</v>
      </c>
      <c r="G88" s="70">
        <f t="shared" si="4"/>
        <v>8</v>
      </c>
      <c r="H88" s="70">
        <f t="shared" si="5"/>
        <v>11</v>
      </c>
      <c r="I88" t="s">
        <v>6474</v>
      </c>
      <c r="J88" t="s">
        <v>6475</v>
      </c>
      <c r="K88" t="s">
        <v>6476</v>
      </c>
      <c r="L88">
        <v>0</v>
      </c>
      <c r="M88">
        <v>0</v>
      </c>
      <c r="N88">
        <v>9</v>
      </c>
      <c r="O88">
        <v>0</v>
      </c>
      <c r="P88">
        <v>0</v>
      </c>
      <c r="Q88">
        <v>10</v>
      </c>
      <c r="R88">
        <v>0</v>
      </c>
      <c r="S88">
        <v>10</v>
      </c>
      <c r="T88">
        <v>10</v>
      </c>
      <c r="U88">
        <v>10</v>
      </c>
      <c r="V88">
        <v>0</v>
      </c>
      <c r="W88">
        <v>0</v>
      </c>
      <c r="X88">
        <v>0</v>
      </c>
      <c r="Y88">
        <v>10</v>
      </c>
      <c r="Z88">
        <v>10</v>
      </c>
      <c r="AA88">
        <v>0</v>
      </c>
      <c r="AB88">
        <v>0</v>
      </c>
      <c r="AC88">
        <v>10</v>
      </c>
      <c r="AD88">
        <v>0</v>
      </c>
    </row>
    <row r="89" spans="1:30" x14ac:dyDescent="0.3">
      <c r="C89">
        <v>363</v>
      </c>
      <c r="D89" s="74" t="s">
        <v>2089</v>
      </c>
      <c r="E89" s="70">
        <f t="shared" si="3"/>
        <v>113.00000000000168</v>
      </c>
      <c r="F89" s="70">
        <f t="shared" si="3"/>
        <v>224.99999999999682</v>
      </c>
      <c r="G89" s="70">
        <f t="shared" si="4"/>
        <v>7</v>
      </c>
      <c r="H89" s="70">
        <f t="shared" si="5"/>
        <v>12</v>
      </c>
      <c r="I89" t="s">
        <v>6477</v>
      </c>
      <c r="J89" t="s">
        <v>6478</v>
      </c>
      <c r="K89" t="s">
        <v>6479</v>
      </c>
      <c r="L89">
        <v>0</v>
      </c>
      <c r="M89">
        <v>8</v>
      </c>
      <c r="N89">
        <v>1</v>
      </c>
      <c r="O89">
        <v>0</v>
      </c>
      <c r="P89">
        <v>2</v>
      </c>
      <c r="Q89">
        <v>1</v>
      </c>
      <c r="R89">
        <v>0</v>
      </c>
      <c r="S89">
        <v>8</v>
      </c>
      <c r="T89">
        <v>8</v>
      </c>
      <c r="U89">
        <v>10</v>
      </c>
      <c r="V89">
        <v>0</v>
      </c>
      <c r="W89">
        <v>0</v>
      </c>
      <c r="X89">
        <v>0</v>
      </c>
      <c r="Y89">
        <v>10</v>
      </c>
      <c r="Z89">
        <v>10</v>
      </c>
      <c r="AA89">
        <v>0</v>
      </c>
      <c r="AB89">
        <v>0</v>
      </c>
      <c r="AC89">
        <v>7</v>
      </c>
      <c r="AD89">
        <v>0</v>
      </c>
    </row>
    <row r="90" spans="1:30" x14ac:dyDescent="0.3">
      <c r="D90" s="71" t="s">
        <v>2090</v>
      </c>
      <c r="E90" s="70">
        <f t="shared" si="3"/>
        <v>45.000000000007034</v>
      </c>
      <c r="F90" s="70">
        <f t="shared" si="3"/>
        <v>184.99999999999375</v>
      </c>
      <c r="G90" s="70">
        <f t="shared" si="4"/>
        <v>9</v>
      </c>
      <c r="H90" s="70">
        <f t="shared" si="5"/>
        <v>10</v>
      </c>
      <c r="I90" t="s">
        <v>6480</v>
      </c>
      <c r="J90" t="s">
        <v>6481</v>
      </c>
      <c r="K90" t="s">
        <v>6482</v>
      </c>
      <c r="L90">
        <v>0</v>
      </c>
      <c r="M90">
        <v>8</v>
      </c>
      <c r="N90">
        <v>10</v>
      </c>
      <c r="O90">
        <v>0</v>
      </c>
      <c r="P90">
        <v>6</v>
      </c>
      <c r="Q90">
        <v>1</v>
      </c>
      <c r="R90">
        <v>0</v>
      </c>
      <c r="S90">
        <v>8</v>
      </c>
      <c r="T90">
        <v>8</v>
      </c>
      <c r="U90">
        <v>10</v>
      </c>
      <c r="V90">
        <v>0</v>
      </c>
      <c r="W90">
        <v>0</v>
      </c>
      <c r="X90">
        <v>0</v>
      </c>
      <c r="Y90">
        <v>10</v>
      </c>
      <c r="Z90">
        <v>10</v>
      </c>
      <c r="AA90">
        <v>0</v>
      </c>
      <c r="AB90">
        <v>0</v>
      </c>
      <c r="AC90">
        <v>7</v>
      </c>
      <c r="AD90">
        <v>0</v>
      </c>
    </row>
    <row r="91" spans="1:30" x14ac:dyDescent="0.3">
      <c r="A91" s="53">
        <v>45915.492289108792</v>
      </c>
      <c r="B91" s="23" t="s">
        <v>56</v>
      </c>
      <c r="C91">
        <v>378</v>
      </c>
      <c r="D91" s="73" t="s">
        <v>2087</v>
      </c>
      <c r="E91" s="70">
        <f t="shared" ref="E91:F95" si="6">(J91-I91)*86400</f>
        <v>473.0000000000004</v>
      </c>
      <c r="F91" s="70">
        <f t="shared" si="6"/>
        <v>156.0000000000004</v>
      </c>
      <c r="G91" s="70">
        <f t="shared" si="4"/>
        <v>9</v>
      </c>
      <c r="H91" s="70">
        <f t="shared" si="5"/>
        <v>10</v>
      </c>
      <c r="I91" t="s">
        <v>6483</v>
      </c>
      <c r="J91" t="s">
        <v>6484</v>
      </c>
      <c r="K91" t="s">
        <v>6485</v>
      </c>
      <c r="L91">
        <v>10</v>
      </c>
      <c r="M91">
        <v>10</v>
      </c>
      <c r="N91">
        <v>10</v>
      </c>
      <c r="O91">
        <v>0</v>
      </c>
      <c r="P91">
        <v>10</v>
      </c>
      <c r="Q91">
        <v>10</v>
      </c>
      <c r="R91">
        <v>0</v>
      </c>
      <c r="S91">
        <v>10</v>
      </c>
      <c r="T91">
        <v>0</v>
      </c>
      <c r="U91">
        <v>10</v>
      </c>
      <c r="V91">
        <v>0</v>
      </c>
      <c r="W91">
        <v>0</v>
      </c>
      <c r="X91">
        <v>0</v>
      </c>
      <c r="Y91">
        <v>10</v>
      </c>
      <c r="Z91">
        <v>0</v>
      </c>
      <c r="AA91">
        <v>0</v>
      </c>
      <c r="AB91">
        <v>0</v>
      </c>
      <c r="AC91">
        <v>10</v>
      </c>
      <c r="AD91">
        <v>0</v>
      </c>
    </row>
    <row r="92" spans="1:30" x14ac:dyDescent="0.3">
      <c r="D92" s="72" t="s">
        <v>2088</v>
      </c>
      <c r="E92" s="70">
        <f t="shared" si="6"/>
        <v>56.999999999999318</v>
      </c>
      <c r="F92" s="70">
        <f t="shared" si="6"/>
        <v>138.99999999999935</v>
      </c>
      <c r="G92" s="70">
        <f t="shared" si="4"/>
        <v>8</v>
      </c>
      <c r="H92" s="70">
        <f t="shared" si="5"/>
        <v>11</v>
      </c>
      <c r="I92" t="s">
        <v>6486</v>
      </c>
      <c r="J92" t="s">
        <v>6487</v>
      </c>
      <c r="K92" t="s">
        <v>6488</v>
      </c>
      <c r="L92">
        <v>10</v>
      </c>
      <c r="M92">
        <v>10</v>
      </c>
      <c r="N92">
        <v>10</v>
      </c>
      <c r="O92">
        <v>0</v>
      </c>
      <c r="P92">
        <v>10</v>
      </c>
      <c r="Q92">
        <v>10</v>
      </c>
      <c r="R92">
        <v>0</v>
      </c>
      <c r="S92">
        <v>10</v>
      </c>
      <c r="T92">
        <v>0</v>
      </c>
      <c r="U92">
        <v>10</v>
      </c>
      <c r="V92">
        <v>0</v>
      </c>
      <c r="W92">
        <v>0</v>
      </c>
      <c r="X92">
        <v>0</v>
      </c>
      <c r="Y92">
        <v>0</v>
      </c>
      <c r="Z92">
        <v>0</v>
      </c>
      <c r="AA92">
        <v>0</v>
      </c>
      <c r="AB92">
        <v>0</v>
      </c>
      <c r="AC92">
        <v>10</v>
      </c>
      <c r="AD92">
        <v>0</v>
      </c>
    </row>
    <row r="93" spans="1:30" x14ac:dyDescent="0.3">
      <c r="C93">
        <v>380</v>
      </c>
      <c r="D93" s="74" t="s">
        <v>2089</v>
      </c>
      <c r="E93" s="70">
        <f t="shared" si="6"/>
        <v>61.000000000006338</v>
      </c>
      <c r="F93" s="70">
        <f t="shared" si="6"/>
        <v>195.99999999999866</v>
      </c>
      <c r="G93" s="70">
        <f t="shared" si="4"/>
        <v>11</v>
      </c>
      <c r="H93" s="70">
        <f t="shared" si="5"/>
        <v>8</v>
      </c>
      <c r="I93" t="s">
        <v>6424</v>
      </c>
      <c r="J93" t="s">
        <v>6489</v>
      </c>
      <c r="K93" t="s">
        <v>6490</v>
      </c>
      <c r="L93">
        <v>10</v>
      </c>
      <c r="M93">
        <v>10</v>
      </c>
      <c r="N93">
        <v>10</v>
      </c>
      <c r="O93">
        <v>0</v>
      </c>
      <c r="P93">
        <v>10</v>
      </c>
      <c r="Q93">
        <v>10</v>
      </c>
      <c r="R93">
        <v>0</v>
      </c>
      <c r="S93">
        <v>10</v>
      </c>
      <c r="T93">
        <v>10</v>
      </c>
      <c r="U93">
        <v>10</v>
      </c>
      <c r="V93">
        <v>0</v>
      </c>
      <c r="W93">
        <v>0</v>
      </c>
      <c r="X93">
        <v>0</v>
      </c>
      <c r="Y93">
        <v>10</v>
      </c>
      <c r="Z93">
        <v>10</v>
      </c>
      <c r="AA93">
        <v>0</v>
      </c>
      <c r="AB93">
        <v>0</v>
      </c>
      <c r="AC93">
        <v>10</v>
      </c>
      <c r="AD93">
        <v>0</v>
      </c>
    </row>
    <row r="94" spans="1:30" x14ac:dyDescent="0.3">
      <c r="D94" s="71" t="s">
        <v>2090</v>
      </c>
      <c r="E94" s="70">
        <f t="shared" si="6"/>
        <v>77.999999999993008</v>
      </c>
      <c r="F94" s="70">
        <f t="shared" si="6"/>
        <v>216.000000000005</v>
      </c>
      <c r="G94" s="70">
        <f t="shared" si="4"/>
        <v>11</v>
      </c>
      <c r="H94" s="70">
        <f t="shared" si="5"/>
        <v>8</v>
      </c>
      <c r="I94" t="s">
        <v>6491</v>
      </c>
      <c r="J94" t="s">
        <v>6492</v>
      </c>
      <c r="K94" t="s">
        <v>6493</v>
      </c>
      <c r="L94">
        <v>10</v>
      </c>
      <c r="M94">
        <v>10</v>
      </c>
      <c r="N94">
        <v>10</v>
      </c>
      <c r="O94">
        <v>0</v>
      </c>
      <c r="P94">
        <v>10</v>
      </c>
      <c r="Q94">
        <v>10</v>
      </c>
      <c r="R94">
        <v>0</v>
      </c>
      <c r="S94">
        <v>10</v>
      </c>
      <c r="T94">
        <v>10</v>
      </c>
      <c r="U94">
        <v>10</v>
      </c>
      <c r="V94">
        <v>0</v>
      </c>
      <c r="W94">
        <v>0</v>
      </c>
      <c r="X94">
        <v>0</v>
      </c>
      <c r="Y94">
        <v>10</v>
      </c>
      <c r="Z94">
        <v>10</v>
      </c>
      <c r="AA94">
        <v>0</v>
      </c>
      <c r="AB94">
        <v>0</v>
      </c>
      <c r="AC94">
        <v>10</v>
      </c>
      <c r="AD94">
        <v>0</v>
      </c>
    </row>
    <row r="95" spans="1:30" x14ac:dyDescent="0.3">
      <c r="A95" s="53">
        <v>45915.572406168983</v>
      </c>
      <c r="B95" s="23" t="s">
        <v>57</v>
      </c>
      <c r="C95">
        <v>389</v>
      </c>
      <c r="D95" s="73" t="s">
        <v>2087</v>
      </c>
      <c r="E95" s="70">
        <f t="shared" si="6"/>
        <v>217.99999999999892</v>
      </c>
      <c r="F95" s="70">
        <f t="shared" si="6"/>
        <v>104.99999999999723</v>
      </c>
      <c r="G95" s="70">
        <f t="shared" si="4"/>
        <v>6</v>
      </c>
      <c r="H95" s="70">
        <f t="shared" si="5"/>
        <v>13</v>
      </c>
      <c r="I95" t="s">
        <v>6494</v>
      </c>
      <c r="J95" t="s">
        <v>6495</v>
      </c>
      <c r="K95" t="s">
        <v>6496</v>
      </c>
      <c r="L95">
        <v>9</v>
      </c>
      <c r="M95">
        <v>2</v>
      </c>
      <c r="N95">
        <v>1</v>
      </c>
      <c r="O95">
        <v>0</v>
      </c>
      <c r="P95">
        <v>9</v>
      </c>
      <c r="Q95">
        <v>2</v>
      </c>
      <c r="R95">
        <v>0</v>
      </c>
      <c r="S95">
        <v>10</v>
      </c>
      <c r="T95">
        <v>1</v>
      </c>
      <c r="U95">
        <v>10</v>
      </c>
      <c r="V95">
        <v>0</v>
      </c>
      <c r="W95">
        <v>0</v>
      </c>
      <c r="X95">
        <v>0</v>
      </c>
      <c r="Y95">
        <v>10</v>
      </c>
      <c r="Z95">
        <v>1</v>
      </c>
      <c r="AA95">
        <v>0</v>
      </c>
      <c r="AB95">
        <v>0</v>
      </c>
      <c r="AC95">
        <v>10</v>
      </c>
      <c r="AD95">
        <v>0</v>
      </c>
    </row>
    <row r="96" spans="1:30" x14ac:dyDescent="0.3">
      <c r="D96" s="72" t="s">
        <v>2088</v>
      </c>
      <c r="E96" s="70">
        <f t="shared" si="3"/>
        <v>35.999999999996035</v>
      </c>
      <c r="F96" s="70">
        <f t="shared" si="3"/>
        <v>115.00000000000519</v>
      </c>
      <c r="G96" s="70">
        <f t="shared" si="4"/>
        <v>6</v>
      </c>
      <c r="H96" s="70">
        <f t="shared" si="5"/>
        <v>13</v>
      </c>
      <c r="I96" t="s">
        <v>6497</v>
      </c>
      <c r="J96" t="s">
        <v>6498</v>
      </c>
      <c r="K96" t="s">
        <v>6499</v>
      </c>
      <c r="L96">
        <v>9</v>
      </c>
      <c r="M96">
        <v>2</v>
      </c>
      <c r="N96">
        <v>1</v>
      </c>
      <c r="O96">
        <v>0</v>
      </c>
      <c r="P96">
        <v>9</v>
      </c>
      <c r="Q96">
        <v>2</v>
      </c>
      <c r="R96">
        <v>0</v>
      </c>
      <c r="S96">
        <v>10</v>
      </c>
      <c r="T96">
        <v>1</v>
      </c>
      <c r="U96">
        <v>10</v>
      </c>
      <c r="V96">
        <v>0</v>
      </c>
      <c r="W96">
        <v>0</v>
      </c>
      <c r="X96">
        <v>0</v>
      </c>
      <c r="Y96">
        <v>10</v>
      </c>
      <c r="Z96">
        <v>1</v>
      </c>
      <c r="AA96">
        <v>0</v>
      </c>
      <c r="AB96">
        <v>0</v>
      </c>
      <c r="AC96">
        <v>10</v>
      </c>
      <c r="AD96">
        <v>0</v>
      </c>
    </row>
    <row r="97" spans="1:30" x14ac:dyDescent="0.3">
      <c r="C97">
        <v>387</v>
      </c>
      <c r="D97" s="74" t="s">
        <v>2089</v>
      </c>
      <c r="E97" s="70">
        <f t="shared" si="3"/>
        <v>443.00000000000529</v>
      </c>
      <c r="F97" s="70">
        <f t="shared" si="3"/>
        <v>162.99999999999352</v>
      </c>
      <c r="G97" s="70">
        <f t="shared" si="4"/>
        <v>9</v>
      </c>
      <c r="H97" s="70">
        <f t="shared" si="5"/>
        <v>10</v>
      </c>
      <c r="I97" t="s">
        <v>6500</v>
      </c>
      <c r="J97" t="s">
        <v>6501</v>
      </c>
      <c r="K97" t="s">
        <v>6502</v>
      </c>
      <c r="L97">
        <v>10</v>
      </c>
      <c r="M97">
        <v>9</v>
      </c>
      <c r="N97">
        <v>2</v>
      </c>
      <c r="O97">
        <v>0</v>
      </c>
      <c r="P97">
        <v>2</v>
      </c>
      <c r="Q97">
        <v>9</v>
      </c>
      <c r="R97">
        <v>0</v>
      </c>
      <c r="S97">
        <v>9</v>
      </c>
      <c r="T97">
        <v>8</v>
      </c>
      <c r="U97">
        <v>8</v>
      </c>
      <c r="V97">
        <v>0</v>
      </c>
      <c r="W97">
        <v>0</v>
      </c>
      <c r="X97">
        <v>0</v>
      </c>
      <c r="Y97">
        <v>8</v>
      </c>
      <c r="Z97">
        <v>9</v>
      </c>
      <c r="AA97">
        <v>0</v>
      </c>
      <c r="AB97">
        <v>0</v>
      </c>
      <c r="AC97">
        <v>9</v>
      </c>
      <c r="AD97">
        <v>0</v>
      </c>
    </row>
    <row r="98" spans="1:30" x14ac:dyDescent="0.3">
      <c r="D98" s="71" t="s">
        <v>2090</v>
      </c>
      <c r="E98" s="70">
        <f t="shared" si="3"/>
        <v>53.999999999998849</v>
      </c>
      <c r="F98" s="70">
        <f t="shared" si="3"/>
        <v>162.99999999999352</v>
      </c>
      <c r="G98" s="70">
        <f t="shared" si="4"/>
        <v>9</v>
      </c>
      <c r="H98" s="70">
        <f t="shared" si="5"/>
        <v>10</v>
      </c>
      <c r="I98" t="s">
        <v>6503</v>
      </c>
      <c r="J98" t="s">
        <v>6504</v>
      </c>
      <c r="K98" t="s">
        <v>6505</v>
      </c>
      <c r="L98">
        <v>10</v>
      </c>
      <c r="M98">
        <v>9</v>
      </c>
      <c r="N98">
        <v>2</v>
      </c>
      <c r="O98">
        <v>0</v>
      </c>
      <c r="P98">
        <v>2</v>
      </c>
      <c r="Q98">
        <v>9</v>
      </c>
      <c r="R98">
        <v>0</v>
      </c>
      <c r="S98">
        <v>9</v>
      </c>
      <c r="T98">
        <v>8</v>
      </c>
      <c r="U98">
        <v>8</v>
      </c>
      <c r="V98">
        <v>0</v>
      </c>
      <c r="W98">
        <v>0</v>
      </c>
      <c r="X98">
        <v>0</v>
      </c>
      <c r="Y98">
        <v>8</v>
      </c>
      <c r="Z98">
        <v>9</v>
      </c>
      <c r="AA98">
        <v>0</v>
      </c>
      <c r="AB98">
        <v>0</v>
      </c>
      <c r="AC98">
        <v>9</v>
      </c>
      <c r="AD98">
        <v>0</v>
      </c>
    </row>
    <row r="99" spans="1:30" x14ac:dyDescent="0.3">
      <c r="A99" s="53">
        <v>45916.480977569445</v>
      </c>
      <c r="B99" s="23" t="s">
        <v>58</v>
      </c>
      <c r="C99">
        <v>8</v>
      </c>
      <c r="D99" s="73" t="s">
        <v>2087</v>
      </c>
      <c r="E99" s="70">
        <f t="shared" si="3"/>
        <v>400.99999999999875</v>
      </c>
      <c r="F99" s="70">
        <f t="shared" si="3"/>
        <v>148.99999999999773</v>
      </c>
      <c r="G99" s="70">
        <f t="shared" si="4"/>
        <v>8</v>
      </c>
      <c r="H99" s="70">
        <f t="shared" si="5"/>
        <v>11</v>
      </c>
      <c r="I99" t="s">
        <v>6506</v>
      </c>
      <c r="J99" t="s">
        <v>6507</v>
      </c>
      <c r="K99" t="s">
        <v>6508</v>
      </c>
      <c r="L99">
        <v>10</v>
      </c>
      <c r="M99">
        <v>10</v>
      </c>
      <c r="N99">
        <v>10</v>
      </c>
      <c r="O99">
        <v>0</v>
      </c>
      <c r="P99">
        <v>10</v>
      </c>
      <c r="Q99">
        <v>10</v>
      </c>
      <c r="R99">
        <v>0</v>
      </c>
      <c r="S99">
        <v>0</v>
      </c>
      <c r="T99">
        <v>0</v>
      </c>
      <c r="U99">
        <v>10</v>
      </c>
      <c r="V99">
        <v>0</v>
      </c>
      <c r="W99">
        <v>0</v>
      </c>
      <c r="X99">
        <v>0</v>
      </c>
      <c r="Y99">
        <v>6</v>
      </c>
      <c r="Z99">
        <v>10</v>
      </c>
      <c r="AA99">
        <v>0</v>
      </c>
      <c r="AB99">
        <v>0</v>
      </c>
      <c r="AC99">
        <v>0</v>
      </c>
      <c r="AD99">
        <v>0</v>
      </c>
    </row>
    <row r="100" spans="1:30" x14ac:dyDescent="0.3">
      <c r="D100" s="72" t="s">
        <v>2088</v>
      </c>
      <c r="E100" s="70">
        <f t="shared" si="3"/>
        <v>53.00000000000189</v>
      </c>
      <c r="F100" s="70">
        <f t="shared" si="3"/>
        <v>91.000000000001435</v>
      </c>
      <c r="G100" s="70">
        <f t="shared" si="4"/>
        <v>3</v>
      </c>
      <c r="H100" s="70">
        <f t="shared" si="5"/>
        <v>16</v>
      </c>
      <c r="I100" t="s">
        <v>6509</v>
      </c>
      <c r="J100" t="s">
        <v>6510</v>
      </c>
      <c r="K100" t="s">
        <v>6511</v>
      </c>
      <c r="L100">
        <v>0</v>
      </c>
      <c r="M100">
        <v>0</v>
      </c>
      <c r="N100">
        <v>0</v>
      </c>
      <c r="O100">
        <v>0</v>
      </c>
      <c r="P100">
        <v>10</v>
      </c>
      <c r="Q100">
        <v>10</v>
      </c>
      <c r="R100">
        <v>0</v>
      </c>
      <c r="S100">
        <v>0</v>
      </c>
      <c r="T100">
        <v>0</v>
      </c>
      <c r="U100">
        <v>10</v>
      </c>
      <c r="V100">
        <v>0</v>
      </c>
      <c r="W100">
        <v>0</v>
      </c>
      <c r="X100">
        <v>0</v>
      </c>
      <c r="Y100">
        <v>0</v>
      </c>
      <c r="Z100">
        <v>0</v>
      </c>
      <c r="AA100">
        <v>0</v>
      </c>
      <c r="AB100">
        <v>0</v>
      </c>
      <c r="AC100">
        <v>0</v>
      </c>
      <c r="AD100">
        <v>0</v>
      </c>
    </row>
    <row r="101" spans="1:30" x14ac:dyDescent="0.3">
      <c r="C101">
        <v>10</v>
      </c>
      <c r="D101" s="74" t="s">
        <v>2089</v>
      </c>
      <c r="E101" s="70">
        <f t="shared" si="3"/>
        <v>119.00000000000261</v>
      </c>
      <c r="F101" s="70">
        <f t="shared" si="3"/>
        <v>134.99999999999713</v>
      </c>
      <c r="G101" s="70">
        <f t="shared" si="4"/>
        <v>6</v>
      </c>
      <c r="H101" s="70">
        <f t="shared" si="5"/>
        <v>13</v>
      </c>
      <c r="I101" t="s">
        <v>6512</v>
      </c>
      <c r="J101" t="s">
        <v>6513</v>
      </c>
      <c r="K101" t="s">
        <v>6514</v>
      </c>
      <c r="L101">
        <v>10</v>
      </c>
      <c r="M101">
        <v>0</v>
      </c>
      <c r="N101">
        <v>0</v>
      </c>
      <c r="O101">
        <v>0</v>
      </c>
      <c r="P101">
        <v>10</v>
      </c>
      <c r="Q101">
        <v>10</v>
      </c>
      <c r="R101">
        <v>0</v>
      </c>
      <c r="S101">
        <v>10</v>
      </c>
      <c r="T101">
        <v>0</v>
      </c>
      <c r="U101">
        <v>10</v>
      </c>
      <c r="V101">
        <v>0</v>
      </c>
      <c r="W101">
        <v>0</v>
      </c>
      <c r="X101">
        <v>0</v>
      </c>
      <c r="Y101">
        <v>0</v>
      </c>
      <c r="Z101">
        <v>10</v>
      </c>
      <c r="AA101">
        <v>0</v>
      </c>
      <c r="AB101">
        <v>0</v>
      </c>
      <c r="AC101">
        <v>0</v>
      </c>
      <c r="AD101">
        <v>0</v>
      </c>
    </row>
    <row r="102" spans="1:30" x14ac:dyDescent="0.3">
      <c r="D102" s="71" t="s">
        <v>2090</v>
      </c>
      <c r="E102" s="70">
        <f t="shared" si="3"/>
        <v>40.000000000003055</v>
      </c>
      <c r="F102" s="70">
        <f t="shared" si="3"/>
        <v>124.99999999999875</v>
      </c>
      <c r="G102" s="70">
        <f t="shared" si="4"/>
        <v>6</v>
      </c>
      <c r="H102" s="70">
        <f t="shared" si="5"/>
        <v>13</v>
      </c>
      <c r="I102" t="s">
        <v>6515</v>
      </c>
      <c r="J102" t="s">
        <v>6516</v>
      </c>
      <c r="K102" t="s">
        <v>6517</v>
      </c>
      <c r="L102">
        <v>10</v>
      </c>
      <c r="M102">
        <v>0</v>
      </c>
      <c r="N102">
        <v>0</v>
      </c>
      <c r="O102">
        <v>0</v>
      </c>
      <c r="P102">
        <v>10</v>
      </c>
      <c r="Q102">
        <v>10</v>
      </c>
      <c r="R102">
        <v>0</v>
      </c>
      <c r="S102">
        <v>10</v>
      </c>
      <c r="T102">
        <v>0</v>
      </c>
      <c r="U102">
        <v>10</v>
      </c>
      <c r="V102">
        <v>0</v>
      </c>
      <c r="W102">
        <v>0</v>
      </c>
      <c r="X102">
        <v>0</v>
      </c>
      <c r="Y102">
        <v>0</v>
      </c>
      <c r="Z102">
        <v>10</v>
      </c>
      <c r="AA102">
        <v>0</v>
      </c>
      <c r="AB102">
        <v>0</v>
      </c>
      <c r="AC102">
        <v>0</v>
      </c>
      <c r="AD102">
        <v>0</v>
      </c>
    </row>
    <row r="103" spans="1:30" x14ac:dyDescent="0.3">
      <c r="A103" s="53">
        <v>45916.565919652778</v>
      </c>
      <c r="B103" s="23" t="s">
        <v>59</v>
      </c>
      <c r="C103">
        <v>19</v>
      </c>
      <c r="D103" s="73" t="s">
        <v>2087</v>
      </c>
      <c r="E103" s="70">
        <f t="shared" si="3"/>
        <v>165.99999999999397</v>
      </c>
      <c r="F103" s="70">
        <f t="shared" si="3"/>
        <v>174.00000000000801</v>
      </c>
      <c r="G103" s="70">
        <f t="shared" si="4"/>
        <v>9</v>
      </c>
      <c r="H103" s="70">
        <f t="shared" si="5"/>
        <v>10</v>
      </c>
      <c r="I103" t="s">
        <v>6518</v>
      </c>
      <c r="J103" t="s">
        <v>6519</v>
      </c>
      <c r="K103" t="s">
        <v>6520</v>
      </c>
      <c r="L103">
        <v>10</v>
      </c>
      <c r="M103">
        <v>10</v>
      </c>
      <c r="N103">
        <v>10</v>
      </c>
      <c r="O103">
        <v>0</v>
      </c>
      <c r="P103">
        <v>10</v>
      </c>
      <c r="Q103">
        <v>10</v>
      </c>
      <c r="R103">
        <v>0</v>
      </c>
      <c r="S103">
        <v>10</v>
      </c>
      <c r="T103">
        <v>10</v>
      </c>
      <c r="U103">
        <v>0</v>
      </c>
      <c r="V103">
        <v>0</v>
      </c>
      <c r="W103">
        <v>0</v>
      </c>
      <c r="X103">
        <v>0</v>
      </c>
      <c r="Y103">
        <v>10</v>
      </c>
      <c r="Z103">
        <v>0</v>
      </c>
      <c r="AA103">
        <v>0</v>
      </c>
      <c r="AB103">
        <v>0</v>
      </c>
      <c r="AC103">
        <v>10</v>
      </c>
      <c r="AD103">
        <v>0</v>
      </c>
    </row>
    <row r="104" spans="1:30" x14ac:dyDescent="0.3">
      <c r="D104" s="72" t="s">
        <v>2088</v>
      </c>
      <c r="E104" s="70">
        <f t="shared" si="3"/>
        <v>109.99999999999162</v>
      </c>
      <c r="F104" s="70">
        <f t="shared" si="3"/>
        <v>162.00000000000614</v>
      </c>
      <c r="G104" s="70">
        <f t="shared" si="4"/>
        <v>7</v>
      </c>
      <c r="H104" s="70">
        <f t="shared" si="5"/>
        <v>12</v>
      </c>
      <c r="I104" t="s">
        <v>6521</v>
      </c>
      <c r="J104" t="s">
        <v>6522</v>
      </c>
      <c r="K104" t="s">
        <v>6523</v>
      </c>
      <c r="L104">
        <v>10</v>
      </c>
      <c r="M104">
        <v>10</v>
      </c>
      <c r="N104">
        <v>10</v>
      </c>
      <c r="O104">
        <v>0</v>
      </c>
      <c r="P104">
        <v>0</v>
      </c>
      <c r="Q104">
        <v>0</v>
      </c>
      <c r="R104">
        <v>0</v>
      </c>
      <c r="S104">
        <v>10</v>
      </c>
      <c r="T104">
        <v>10</v>
      </c>
      <c r="U104">
        <v>0</v>
      </c>
      <c r="V104">
        <v>0</v>
      </c>
      <c r="W104">
        <v>0</v>
      </c>
      <c r="X104">
        <v>0</v>
      </c>
      <c r="Y104">
        <v>10</v>
      </c>
      <c r="Z104">
        <v>0</v>
      </c>
      <c r="AA104">
        <v>0</v>
      </c>
      <c r="AB104">
        <v>0</v>
      </c>
      <c r="AC104">
        <v>10</v>
      </c>
      <c r="AD104">
        <v>0</v>
      </c>
    </row>
    <row r="105" spans="1:30" x14ac:dyDescent="0.3">
      <c r="C105">
        <v>17</v>
      </c>
      <c r="D105" s="74" t="s">
        <v>2089</v>
      </c>
      <c r="E105" s="70">
        <f t="shared" si="3"/>
        <v>356.00000000000131</v>
      </c>
      <c r="F105" s="70">
        <f t="shared" si="3"/>
        <v>192.00000000000125</v>
      </c>
      <c r="G105" s="70">
        <f t="shared" si="4"/>
        <v>10</v>
      </c>
      <c r="H105" s="70">
        <f t="shared" si="5"/>
        <v>9</v>
      </c>
      <c r="I105" t="s">
        <v>6524</v>
      </c>
      <c r="J105" t="s">
        <v>6525</v>
      </c>
      <c r="K105" t="s">
        <v>6526</v>
      </c>
      <c r="L105">
        <v>10</v>
      </c>
      <c r="M105">
        <v>10</v>
      </c>
      <c r="N105">
        <v>10</v>
      </c>
      <c r="O105">
        <v>0</v>
      </c>
      <c r="P105">
        <v>10</v>
      </c>
      <c r="Q105">
        <v>10</v>
      </c>
      <c r="R105">
        <v>0</v>
      </c>
      <c r="S105">
        <v>10</v>
      </c>
      <c r="T105">
        <v>10</v>
      </c>
      <c r="U105">
        <v>10</v>
      </c>
      <c r="V105">
        <v>0</v>
      </c>
      <c r="W105">
        <v>0</v>
      </c>
      <c r="X105">
        <v>0</v>
      </c>
      <c r="Y105">
        <v>10</v>
      </c>
      <c r="Z105">
        <v>0</v>
      </c>
      <c r="AA105">
        <v>0</v>
      </c>
      <c r="AB105">
        <v>0</v>
      </c>
      <c r="AC105">
        <v>10</v>
      </c>
      <c r="AD105">
        <v>0</v>
      </c>
    </row>
    <row r="106" spans="1:30" x14ac:dyDescent="0.3">
      <c r="D106" s="71" t="s">
        <v>2090</v>
      </c>
      <c r="E106" s="70">
        <f t="shared" si="3"/>
        <v>22.000000000000242</v>
      </c>
      <c r="F106" s="70">
        <f t="shared" si="3"/>
        <v>228.00000000000688</v>
      </c>
      <c r="G106" s="70">
        <f t="shared" si="4"/>
        <v>10</v>
      </c>
      <c r="H106" s="70">
        <f t="shared" si="5"/>
        <v>9</v>
      </c>
      <c r="I106" t="s">
        <v>6527</v>
      </c>
      <c r="J106" t="s">
        <v>6528</v>
      </c>
      <c r="K106" t="s">
        <v>6529</v>
      </c>
      <c r="L106">
        <v>10</v>
      </c>
      <c r="M106">
        <v>10</v>
      </c>
      <c r="N106">
        <v>10</v>
      </c>
      <c r="O106">
        <v>0</v>
      </c>
      <c r="P106">
        <v>10</v>
      </c>
      <c r="Q106">
        <v>10</v>
      </c>
      <c r="R106">
        <v>0</v>
      </c>
      <c r="S106">
        <v>10</v>
      </c>
      <c r="T106">
        <v>10</v>
      </c>
      <c r="U106">
        <v>10</v>
      </c>
      <c r="V106">
        <v>0</v>
      </c>
      <c r="W106">
        <v>0</v>
      </c>
      <c r="X106">
        <v>0</v>
      </c>
      <c r="Y106">
        <v>10</v>
      </c>
      <c r="Z106">
        <v>0</v>
      </c>
      <c r="AA106">
        <v>0</v>
      </c>
      <c r="AB106">
        <v>0</v>
      </c>
      <c r="AC106">
        <v>10</v>
      </c>
      <c r="AD106">
        <v>0</v>
      </c>
    </row>
    <row r="107" spans="1:30" x14ac:dyDescent="0.3">
      <c r="A107" s="53">
        <v>45916.622170173607</v>
      </c>
      <c r="B107" s="23" t="s">
        <v>60</v>
      </c>
      <c r="C107">
        <v>26</v>
      </c>
      <c r="D107" s="73" t="s">
        <v>2087</v>
      </c>
      <c r="E107" s="70">
        <f t="shared" si="3"/>
        <v>141.99999999999983</v>
      </c>
      <c r="F107" s="70">
        <f t="shared" si="3"/>
        <v>223.0000000000029</v>
      </c>
      <c r="G107" s="70">
        <f t="shared" si="4"/>
        <v>8</v>
      </c>
      <c r="H107" s="70">
        <f t="shared" si="5"/>
        <v>11</v>
      </c>
      <c r="I107" t="s">
        <v>6530</v>
      </c>
      <c r="J107" t="s">
        <v>6531</v>
      </c>
      <c r="K107" t="s">
        <v>6532</v>
      </c>
      <c r="L107">
        <v>0</v>
      </c>
      <c r="M107">
        <v>10</v>
      </c>
      <c r="N107">
        <v>0</v>
      </c>
      <c r="O107">
        <v>0</v>
      </c>
      <c r="P107">
        <v>10</v>
      </c>
      <c r="Q107">
        <v>10</v>
      </c>
      <c r="R107">
        <v>0</v>
      </c>
      <c r="S107">
        <v>10</v>
      </c>
      <c r="T107">
        <v>0</v>
      </c>
      <c r="U107">
        <v>10</v>
      </c>
      <c r="V107">
        <v>0</v>
      </c>
      <c r="W107">
        <v>0</v>
      </c>
      <c r="X107">
        <v>0</v>
      </c>
      <c r="Y107">
        <v>10</v>
      </c>
      <c r="Z107">
        <v>10</v>
      </c>
      <c r="AA107">
        <v>0</v>
      </c>
      <c r="AB107">
        <v>0</v>
      </c>
      <c r="AC107">
        <v>10</v>
      </c>
      <c r="AD107">
        <v>0</v>
      </c>
    </row>
    <row r="108" spans="1:30" x14ac:dyDescent="0.3">
      <c r="D108" s="72" t="s">
        <v>2088</v>
      </c>
      <c r="E108" s="70">
        <f t="shared" si="3"/>
        <v>81.00000000000307</v>
      </c>
      <c r="F108" s="70">
        <f t="shared" si="3"/>
        <v>164.00000000000006</v>
      </c>
      <c r="G108" s="70">
        <f t="shared" si="4"/>
        <v>9</v>
      </c>
      <c r="H108" s="70">
        <f t="shared" si="5"/>
        <v>10</v>
      </c>
      <c r="I108" t="s">
        <v>6533</v>
      </c>
      <c r="J108" t="s">
        <v>6534</v>
      </c>
      <c r="K108" t="s">
        <v>6535</v>
      </c>
      <c r="L108">
        <v>0</v>
      </c>
      <c r="M108">
        <v>0</v>
      </c>
      <c r="N108">
        <v>10</v>
      </c>
      <c r="O108">
        <v>0</v>
      </c>
      <c r="P108">
        <v>10</v>
      </c>
      <c r="Q108">
        <v>10</v>
      </c>
      <c r="R108">
        <v>0</v>
      </c>
      <c r="S108">
        <v>10</v>
      </c>
      <c r="T108">
        <v>9</v>
      </c>
      <c r="U108">
        <v>10</v>
      </c>
      <c r="V108">
        <v>0</v>
      </c>
      <c r="W108">
        <v>0</v>
      </c>
      <c r="X108">
        <v>0</v>
      </c>
      <c r="Y108">
        <v>10</v>
      </c>
      <c r="Z108">
        <v>10</v>
      </c>
      <c r="AA108">
        <v>0</v>
      </c>
      <c r="AB108">
        <v>0</v>
      </c>
      <c r="AC108">
        <v>10</v>
      </c>
      <c r="AD108">
        <v>0</v>
      </c>
    </row>
    <row r="109" spans="1:30" x14ac:dyDescent="0.3">
      <c r="C109">
        <v>28</v>
      </c>
      <c r="D109" s="74" t="s">
        <v>2089</v>
      </c>
      <c r="E109" s="70">
        <f t="shared" si="3"/>
        <v>93.000000000004945</v>
      </c>
      <c r="F109" s="70">
        <f t="shared" si="3"/>
        <v>176.00000000000193</v>
      </c>
      <c r="G109" s="70">
        <f t="shared" si="4"/>
        <v>8</v>
      </c>
      <c r="H109" s="70">
        <f t="shared" si="5"/>
        <v>11</v>
      </c>
      <c r="I109" t="s">
        <v>6536</v>
      </c>
      <c r="J109" t="s">
        <v>6537</v>
      </c>
      <c r="K109" t="s">
        <v>6538</v>
      </c>
      <c r="L109">
        <v>0</v>
      </c>
      <c r="M109">
        <v>10</v>
      </c>
      <c r="N109">
        <v>0</v>
      </c>
      <c r="O109">
        <v>0</v>
      </c>
      <c r="P109">
        <v>9</v>
      </c>
      <c r="Q109">
        <v>9</v>
      </c>
      <c r="R109">
        <v>0</v>
      </c>
      <c r="S109">
        <v>10</v>
      </c>
      <c r="T109">
        <v>10</v>
      </c>
      <c r="U109">
        <v>10</v>
      </c>
      <c r="V109">
        <v>0</v>
      </c>
      <c r="W109">
        <v>0</v>
      </c>
      <c r="X109">
        <v>0</v>
      </c>
      <c r="Y109">
        <v>0</v>
      </c>
      <c r="Z109">
        <v>10</v>
      </c>
      <c r="AA109">
        <v>0</v>
      </c>
      <c r="AB109">
        <v>0</v>
      </c>
      <c r="AC109">
        <v>10</v>
      </c>
      <c r="AD109">
        <v>0</v>
      </c>
    </row>
    <row r="110" spans="1:30" x14ac:dyDescent="0.3">
      <c r="D110" s="71" t="s">
        <v>2090</v>
      </c>
      <c r="E110" s="70">
        <f t="shared" si="3"/>
        <v>28.00000000000118</v>
      </c>
      <c r="F110" s="70">
        <f t="shared" si="3"/>
        <v>194.9999999999921</v>
      </c>
      <c r="G110" s="70">
        <f t="shared" si="4"/>
        <v>9</v>
      </c>
      <c r="H110" s="70">
        <f t="shared" si="5"/>
        <v>10</v>
      </c>
      <c r="I110" t="s">
        <v>6539</v>
      </c>
      <c r="J110" t="s">
        <v>6540</v>
      </c>
      <c r="K110" t="s">
        <v>6541</v>
      </c>
      <c r="L110">
        <v>0</v>
      </c>
      <c r="M110">
        <v>10</v>
      </c>
      <c r="N110">
        <v>0</v>
      </c>
      <c r="O110">
        <v>0</v>
      </c>
      <c r="P110">
        <v>9</v>
      </c>
      <c r="Q110">
        <v>9</v>
      </c>
      <c r="R110">
        <v>0</v>
      </c>
      <c r="S110">
        <v>10</v>
      </c>
      <c r="T110">
        <v>10</v>
      </c>
      <c r="U110">
        <v>10</v>
      </c>
      <c r="V110">
        <v>0</v>
      </c>
      <c r="W110">
        <v>0</v>
      </c>
      <c r="X110">
        <v>0</v>
      </c>
      <c r="Y110">
        <v>9</v>
      </c>
      <c r="Z110">
        <v>10</v>
      </c>
      <c r="AA110">
        <v>0</v>
      </c>
      <c r="AB110">
        <v>0</v>
      </c>
      <c r="AC110">
        <v>10</v>
      </c>
      <c r="AD110">
        <v>0</v>
      </c>
    </row>
    <row r="111" spans="1:30" x14ac:dyDescent="0.3">
      <c r="A111" s="53">
        <v>45916.736991331018</v>
      </c>
      <c r="B111" s="23" t="s">
        <v>61</v>
      </c>
      <c r="C111">
        <v>38</v>
      </c>
      <c r="D111" s="73" t="s">
        <v>2087</v>
      </c>
      <c r="E111" s="70">
        <f t="shared" si="3"/>
        <v>78.000000000002601</v>
      </c>
      <c r="F111" s="70">
        <f t="shared" si="3"/>
        <v>154.99999999999864</v>
      </c>
      <c r="G111" s="70">
        <f t="shared" si="4"/>
        <v>9</v>
      </c>
      <c r="H111" s="70">
        <f t="shared" si="5"/>
        <v>10</v>
      </c>
      <c r="I111" t="s">
        <v>6542</v>
      </c>
      <c r="J111" t="s">
        <v>6543</v>
      </c>
      <c r="K111" t="s">
        <v>6544</v>
      </c>
      <c r="L111">
        <v>10</v>
      </c>
      <c r="M111">
        <v>10</v>
      </c>
      <c r="N111">
        <v>10</v>
      </c>
      <c r="O111">
        <v>0</v>
      </c>
      <c r="P111">
        <v>10</v>
      </c>
      <c r="Q111">
        <v>10</v>
      </c>
      <c r="R111">
        <v>0</v>
      </c>
      <c r="S111">
        <v>10</v>
      </c>
      <c r="T111">
        <v>10</v>
      </c>
      <c r="U111">
        <v>0</v>
      </c>
      <c r="V111">
        <v>0</v>
      </c>
      <c r="W111">
        <v>0</v>
      </c>
      <c r="X111">
        <v>0</v>
      </c>
      <c r="Y111">
        <v>10</v>
      </c>
      <c r="Z111">
        <v>0</v>
      </c>
      <c r="AA111">
        <v>0</v>
      </c>
      <c r="AB111">
        <v>0</v>
      </c>
      <c r="AC111">
        <v>10</v>
      </c>
      <c r="AD111">
        <v>0</v>
      </c>
    </row>
    <row r="112" spans="1:30" x14ac:dyDescent="0.3">
      <c r="D112" s="72" t="s">
        <v>2088</v>
      </c>
      <c r="E112" s="70">
        <f t="shared" si="3"/>
        <v>49.000000000004462</v>
      </c>
      <c r="F112" s="70">
        <f t="shared" si="3"/>
        <v>155.99999999999562</v>
      </c>
      <c r="G112" s="70">
        <f t="shared" si="4"/>
        <v>9</v>
      </c>
      <c r="H112" s="70">
        <f t="shared" si="5"/>
        <v>10</v>
      </c>
      <c r="I112" t="s">
        <v>6545</v>
      </c>
      <c r="J112" t="s">
        <v>6546</v>
      </c>
      <c r="K112" t="s">
        <v>6547</v>
      </c>
      <c r="L112">
        <v>10</v>
      </c>
      <c r="M112">
        <v>10</v>
      </c>
      <c r="N112">
        <v>10</v>
      </c>
      <c r="O112">
        <v>0</v>
      </c>
      <c r="P112">
        <v>10</v>
      </c>
      <c r="Q112">
        <v>10</v>
      </c>
      <c r="R112">
        <v>0</v>
      </c>
      <c r="S112">
        <v>10</v>
      </c>
      <c r="T112">
        <v>10</v>
      </c>
      <c r="U112">
        <v>0</v>
      </c>
      <c r="V112">
        <v>0</v>
      </c>
      <c r="W112">
        <v>0</v>
      </c>
      <c r="X112">
        <v>0</v>
      </c>
      <c r="Y112">
        <v>10</v>
      </c>
      <c r="Z112">
        <v>0</v>
      </c>
      <c r="AA112">
        <v>0</v>
      </c>
      <c r="AB112">
        <v>0</v>
      </c>
      <c r="AC112">
        <v>10</v>
      </c>
      <c r="AD112">
        <v>0</v>
      </c>
    </row>
    <row r="113" spans="1:30" x14ac:dyDescent="0.3">
      <c r="C113">
        <v>36</v>
      </c>
      <c r="D113" s="74" t="s">
        <v>2089</v>
      </c>
      <c r="E113" s="70">
        <f t="shared" si="3"/>
        <v>429.99999999999687</v>
      </c>
      <c r="F113" s="70">
        <f t="shared" si="3"/>
        <v>173.99999999999841</v>
      </c>
      <c r="G113" s="70">
        <f t="shared" si="4"/>
        <v>9</v>
      </c>
      <c r="H113" s="70">
        <f t="shared" si="5"/>
        <v>10</v>
      </c>
      <c r="I113" t="s">
        <v>6548</v>
      </c>
      <c r="J113" t="s">
        <v>6549</v>
      </c>
      <c r="K113" t="s">
        <v>6550</v>
      </c>
      <c r="L113">
        <v>10</v>
      </c>
      <c r="M113">
        <v>10</v>
      </c>
      <c r="N113">
        <v>10</v>
      </c>
      <c r="O113">
        <v>0</v>
      </c>
      <c r="P113">
        <v>10</v>
      </c>
      <c r="Q113">
        <v>10</v>
      </c>
      <c r="R113">
        <v>0</v>
      </c>
      <c r="S113">
        <v>10</v>
      </c>
      <c r="T113">
        <v>10</v>
      </c>
      <c r="U113">
        <v>0</v>
      </c>
      <c r="V113">
        <v>0</v>
      </c>
      <c r="W113">
        <v>0</v>
      </c>
      <c r="X113">
        <v>0</v>
      </c>
      <c r="Y113">
        <v>10</v>
      </c>
      <c r="Z113">
        <v>0</v>
      </c>
      <c r="AA113">
        <v>0</v>
      </c>
      <c r="AB113">
        <v>0</v>
      </c>
      <c r="AC113">
        <v>10</v>
      </c>
      <c r="AD113">
        <v>0</v>
      </c>
    </row>
    <row r="114" spans="1:30" x14ac:dyDescent="0.3">
      <c r="D114" s="71" t="s">
        <v>2090</v>
      </c>
      <c r="E114" s="70">
        <f t="shared" si="3"/>
        <v>41.999999999996973</v>
      </c>
      <c r="F114" s="70">
        <f t="shared" si="3"/>
        <v>242.9999999999996</v>
      </c>
      <c r="G114" s="70">
        <f t="shared" si="4"/>
        <v>11</v>
      </c>
      <c r="H114" s="70">
        <f t="shared" si="5"/>
        <v>8</v>
      </c>
      <c r="I114" t="s">
        <v>6551</v>
      </c>
      <c r="J114" t="s">
        <v>6552</v>
      </c>
      <c r="K114" t="s">
        <v>6553</v>
      </c>
      <c r="L114">
        <v>10</v>
      </c>
      <c r="M114">
        <v>10</v>
      </c>
      <c r="N114">
        <v>10</v>
      </c>
      <c r="O114">
        <v>0</v>
      </c>
      <c r="P114">
        <v>10</v>
      </c>
      <c r="Q114">
        <v>10</v>
      </c>
      <c r="R114">
        <v>0</v>
      </c>
      <c r="S114">
        <v>10</v>
      </c>
      <c r="T114">
        <v>10</v>
      </c>
      <c r="U114">
        <v>10</v>
      </c>
      <c r="V114">
        <v>0</v>
      </c>
      <c r="W114">
        <v>0</v>
      </c>
      <c r="X114">
        <v>0</v>
      </c>
      <c r="Y114">
        <v>10</v>
      </c>
      <c r="Z114">
        <v>10</v>
      </c>
      <c r="AA114">
        <v>0</v>
      </c>
      <c r="AB114">
        <v>0</v>
      </c>
      <c r="AC114">
        <v>10</v>
      </c>
      <c r="AD114">
        <v>0</v>
      </c>
    </row>
    <row r="115" spans="1:30" x14ac:dyDescent="0.3">
      <c r="A115" s="53">
        <v>45916.796940046297</v>
      </c>
      <c r="B115" s="23" t="s">
        <v>62</v>
      </c>
      <c r="C115">
        <v>45</v>
      </c>
      <c r="D115" s="73" t="s">
        <v>2087</v>
      </c>
      <c r="E115" s="70">
        <f t="shared" si="3"/>
        <v>403.00000000000227</v>
      </c>
      <c r="F115" s="70">
        <f t="shared" si="3"/>
        <v>155.99999999999562</v>
      </c>
      <c r="G115" s="70">
        <f t="shared" si="4"/>
        <v>9</v>
      </c>
      <c r="H115" s="70">
        <f t="shared" si="5"/>
        <v>10</v>
      </c>
      <c r="I115" t="s">
        <v>6554</v>
      </c>
      <c r="J115" t="s">
        <v>6555</v>
      </c>
      <c r="K115" t="s">
        <v>6556</v>
      </c>
      <c r="L115">
        <v>9</v>
      </c>
      <c r="M115">
        <v>10</v>
      </c>
      <c r="N115">
        <v>10</v>
      </c>
      <c r="O115">
        <v>0</v>
      </c>
      <c r="P115">
        <v>8</v>
      </c>
      <c r="Q115">
        <v>8</v>
      </c>
      <c r="R115">
        <v>0</v>
      </c>
      <c r="S115">
        <v>10</v>
      </c>
      <c r="T115">
        <v>10</v>
      </c>
      <c r="U115">
        <v>3</v>
      </c>
      <c r="V115">
        <v>0</v>
      </c>
      <c r="W115">
        <v>0</v>
      </c>
      <c r="X115">
        <v>0</v>
      </c>
      <c r="Y115">
        <v>10</v>
      </c>
      <c r="Z115">
        <v>3</v>
      </c>
      <c r="AA115">
        <v>0</v>
      </c>
      <c r="AB115">
        <v>0</v>
      </c>
      <c r="AC115">
        <v>10</v>
      </c>
      <c r="AD115">
        <v>0</v>
      </c>
    </row>
    <row r="116" spans="1:30" x14ac:dyDescent="0.3">
      <c r="D116" s="72" t="s">
        <v>2088</v>
      </c>
      <c r="E116" s="70">
        <f t="shared" si="3"/>
        <v>90.000000000004476</v>
      </c>
      <c r="F116" s="70">
        <f t="shared" si="3"/>
        <v>141.99999999999983</v>
      </c>
      <c r="G116" s="70">
        <f t="shared" si="4"/>
        <v>8</v>
      </c>
      <c r="H116" s="70">
        <f t="shared" si="5"/>
        <v>11</v>
      </c>
      <c r="I116" t="s">
        <v>6557</v>
      </c>
      <c r="J116" t="s">
        <v>6558</v>
      </c>
      <c r="K116" t="s">
        <v>6559</v>
      </c>
      <c r="L116">
        <v>9</v>
      </c>
      <c r="M116">
        <v>10</v>
      </c>
      <c r="N116">
        <v>10</v>
      </c>
      <c r="O116">
        <v>0</v>
      </c>
      <c r="P116">
        <v>8</v>
      </c>
      <c r="Q116">
        <v>8</v>
      </c>
      <c r="R116">
        <v>0</v>
      </c>
      <c r="S116">
        <v>10</v>
      </c>
      <c r="T116">
        <v>10</v>
      </c>
      <c r="U116">
        <v>3</v>
      </c>
      <c r="V116">
        <v>0</v>
      </c>
      <c r="W116">
        <v>0</v>
      </c>
      <c r="X116">
        <v>0</v>
      </c>
      <c r="Y116">
        <v>10</v>
      </c>
      <c r="Z116">
        <v>3</v>
      </c>
      <c r="AA116">
        <v>0</v>
      </c>
      <c r="AB116">
        <v>0</v>
      </c>
      <c r="AC116">
        <v>0</v>
      </c>
      <c r="AD116">
        <v>0</v>
      </c>
    </row>
    <row r="117" spans="1:30" x14ac:dyDescent="0.3">
      <c r="C117">
        <v>47</v>
      </c>
      <c r="D117" s="74" t="s">
        <v>2089</v>
      </c>
      <c r="E117" s="70">
        <f t="shared" si="3"/>
        <v>160.00000000000261</v>
      </c>
      <c r="F117" s="70">
        <f t="shared" si="3"/>
        <v>135.00000000000193</v>
      </c>
      <c r="G117" s="70">
        <f t="shared" si="4"/>
        <v>8</v>
      </c>
      <c r="H117" s="70">
        <f t="shared" si="5"/>
        <v>11</v>
      </c>
      <c r="I117" t="s">
        <v>6560</v>
      </c>
      <c r="J117" t="s">
        <v>6561</v>
      </c>
      <c r="K117" t="s">
        <v>6562</v>
      </c>
      <c r="L117">
        <v>9</v>
      </c>
      <c r="M117">
        <v>9</v>
      </c>
      <c r="N117">
        <v>9</v>
      </c>
      <c r="O117">
        <v>0</v>
      </c>
      <c r="P117">
        <v>10</v>
      </c>
      <c r="Q117">
        <v>10</v>
      </c>
      <c r="R117">
        <v>0</v>
      </c>
      <c r="S117">
        <v>10</v>
      </c>
      <c r="T117">
        <v>10</v>
      </c>
      <c r="U117">
        <v>0</v>
      </c>
      <c r="V117">
        <v>0</v>
      </c>
      <c r="W117">
        <v>0</v>
      </c>
      <c r="X117">
        <v>0</v>
      </c>
      <c r="Y117">
        <v>10</v>
      </c>
      <c r="Z117">
        <v>0</v>
      </c>
      <c r="AA117">
        <v>0</v>
      </c>
      <c r="AB117">
        <v>0</v>
      </c>
      <c r="AC117">
        <v>0</v>
      </c>
      <c r="AD117">
        <v>0</v>
      </c>
    </row>
    <row r="118" spans="1:30" x14ac:dyDescent="0.3">
      <c r="D118" s="71" t="s">
        <v>2090</v>
      </c>
      <c r="E118" s="70">
        <f t="shared" si="3"/>
        <v>56.999999999999318</v>
      </c>
      <c r="F118" s="70">
        <f t="shared" si="3"/>
        <v>145.99999999999724</v>
      </c>
      <c r="G118" s="70">
        <f t="shared" si="4"/>
        <v>8</v>
      </c>
      <c r="H118" s="70">
        <f t="shared" si="5"/>
        <v>11</v>
      </c>
      <c r="I118" t="s">
        <v>6563</v>
      </c>
      <c r="J118" t="s">
        <v>6564</v>
      </c>
      <c r="K118" t="s">
        <v>6565</v>
      </c>
      <c r="L118">
        <v>9</v>
      </c>
      <c r="M118">
        <v>9</v>
      </c>
      <c r="N118">
        <v>9</v>
      </c>
      <c r="O118">
        <v>0</v>
      </c>
      <c r="P118">
        <v>10</v>
      </c>
      <c r="Q118">
        <v>10</v>
      </c>
      <c r="R118">
        <v>0</v>
      </c>
      <c r="S118">
        <v>10</v>
      </c>
      <c r="T118">
        <v>10</v>
      </c>
      <c r="U118">
        <v>0</v>
      </c>
      <c r="V118">
        <v>0</v>
      </c>
      <c r="W118">
        <v>0</v>
      </c>
      <c r="X118">
        <v>0</v>
      </c>
      <c r="Y118">
        <v>10</v>
      </c>
      <c r="Z118">
        <v>0</v>
      </c>
      <c r="AA118">
        <v>0</v>
      </c>
      <c r="AB118">
        <v>0</v>
      </c>
      <c r="AC118">
        <v>0</v>
      </c>
      <c r="AD118">
        <v>0</v>
      </c>
    </row>
    <row r="119" spans="1:30" x14ac:dyDescent="0.3">
      <c r="A119" s="53">
        <v>45917.607987812502</v>
      </c>
      <c r="B119" s="23" t="s">
        <v>63</v>
      </c>
      <c r="C119">
        <v>7</v>
      </c>
      <c r="D119" s="73" t="s">
        <v>2087</v>
      </c>
      <c r="E119" s="70">
        <f t="shared" si="3"/>
        <v>145.00000000000028</v>
      </c>
      <c r="F119" s="70">
        <f t="shared" si="3"/>
        <v>114.00000000000823</v>
      </c>
      <c r="G119" s="70">
        <f t="shared" si="4"/>
        <v>7</v>
      </c>
      <c r="H119" s="70">
        <f t="shared" si="5"/>
        <v>12</v>
      </c>
      <c r="I119" t="s">
        <v>6566</v>
      </c>
      <c r="J119" t="s">
        <v>6567</v>
      </c>
      <c r="K119" t="s">
        <v>6568</v>
      </c>
      <c r="L119">
        <v>10</v>
      </c>
      <c r="M119">
        <v>1</v>
      </c>
      <c r="N119">
        <v>1</v>
      </c>
      <c r="O119">
        <v>0</v>
      </c>
      <c r="P119">
        <v>9</v>
      </c>
      <c r="Q119">
        <v>9</v>
      </c>
      <c r="R119">
        <v>0</v>
      </c>
      <c r="S119">
        <v>8</v>
      </c>
      <c r="T119">
        <v>2</v>
      </c>
      <c r="U119">
        <v>9</v>
      </c>
      <c r="V119">
        <v>0</v>
      </c>
      <c r="W119">
        <v>0</v>
      </c>
      <c r="X119">
        <v>0</v>
      </c>
      <c r="Y119">
        <v>8</v>
      </c>
      <c r="Z119">
        <v>9</v>
      </c>
      <c r="AA119">
        <v>0</v>
      </c>
      <c r="AB119">
        <v>0</v>
      </c>
      <c r="AC119">
        <v>0</v>
      </c>
      <c r="AD119">
        <v>0</v>
      </c>
    </row>
    <row r="120" spans="1:30" x14ac:dyDescent="0.3">
      <c r="C120">
        <v>8</v>
      </c>
      <c r="D120" s="72" t="s">
        <v>2088</v>
      </c>
      <c r="E120" s="70">
        <f t="shared" si="3"/>
        <v>56.999999999999318</v>
      </c>
      <c r="F120" s="70">
        <f t="shared" si="3"/>
        <v>122.00000000000308</v>
      </c>
      <c r="G120" s="70">
        <f t="shared" si="4"/>
        <v>6</v>
      </c>
      <c r="H120" s="70">
        <f t="shared" si="5"/>
        <v>13</v>
      </c>
      <c r="I120" t="s">
        <v>6569</v>
      </c>
      <c r="J120" t="s">
        <v>6570</v>
      </c>
      <c r="K120" t="s">
        <v>6571</v>
      </c>
      <c r="L120">
        <v>10</v>
      </c>
      <c r="M120">
        <v>1</v>
      </c>
      <c r="N120">
        <v>1</v>
      </c>
      <c r="O120">
        <v>0</v>
      </c>
      <c r="P120">
        <v>9</v>
      </c>
      <c r="Q120">
        <v>9</v>
      </c>
      <c r="R120">
        <v>0</v>
      </c>
      <c r="S120">
        <v>8</v>
      </c>
      <c r="T120">
        <v>2</v>
      </c>
      <c r="U120">
        <v>9</v>
      </c>
      <c r="V120">
        <v>0</v>
      </c>
      <c r="W120">
        <v>0</v>
      </c>
      <c r="X120">
        <v>0</v>
      </c>
      <c r="Y120">
        <v>0</v>
      </c>
      <c r="Z120">
        <v>9</v>
      </c>
      <c r="AA120">
        <v>0</v>
      </c>
      <c r="AB120">
        <v>0</v>
      </c>
      <c r="AC120">
        <v>0</v>
      </c>
      <c r="AD120">
        <v>0</v>
      </c>
    </row>
    <row r="121" spans="1:30" x14ac:dyDescent="0.3">
      <c r="C121">
        <v>5</v>
      </c>
      <c r="D121" s="74" t="s">
        <v>2089</v>
      </c>
      <c r="E121" s="70">
        <f t="shared" si="3"/>
        <v>500.0000000000046</v>
      </c>
      <c r="F121" s="70">
        <f t="shared" si="3"/>
        <v>195.99999999999866</v>
      </c>
      <c r="G121" s="70">
        <f t="shared" si="4"/>
        <v>7</v>
      </c>
      <c r="H121" s="70">
        <f t="shared" si="5"/>
        <v>12</v>
      </c>
      <c r="I121" t="s">
        <v>6572</v>
      </c>
      <c r="J121" t="s">
        <v>6573</v>
      </c>
      <c r="K121" t="s">
        <v>6574</v>
      </c>
      <c r="L121">
        <v>8</v>
      </c>
      <c r="M121">
        <v>9</v>
      </c>
      <c r="N121">
        <v>9</v>
      </c>
      <c r="O121">
        <v>0</v>
      </c>
      <c r="P121">
        <v>10</v>
      </c>
      <c r="Q121">
        <v>9</v>
      </c>
      <c r="R121">
        <v>0</v>
      </c>
      <c r="S121">
        <v>2</v>
      </c>
      <c r="T121">
        <v>2</v>
      </c>
      <c r="U121">
        <v>8</v>
      </c>
      <c r="V121">
        <v>0</v>
      </c>
      <c r="W121">
        <v>0</v>
      </c>
      <c r="X121">
        <v>0</v>
      </c>
      <c r="Y121">
        <v>1</v>
      </c>
      <c r="Z121">
        <v>9</v>
      </c>
      <c r="AA121">
        <v>0</v>
      </c>
      <c r="AB121">
        <v>0</v>
      </c>
      <c r="AC121">
        <v>0</v>
      </c>
      <c r="AD121">
        <v>0</v>
      </c>
    </row>
    <row r="122" spans="1:30" x14ac:dyDescent="0.3">
      <c r="C122">
        <v>6</v>
      </c>
      <c r="D122" s="71" t="s">
        <v>2090</v>
      </c>
      <c r="E122" s="70">
        <f t="shared" si="3"/>
        <v>63.999999999997215</v>
      </c>
      <c r="F122" s="70">
        <f t="shared" si="3"/>
        <v>177.00000000000847</v>
      </c>
      <c r="G122" s="70">
        <f t="shared" si="4"/>
        <v>10</v>
      </c>
      <c r="H122" s="70">
        <f t="shared" si="5"/>
        <v>9</v>
      </c>
      <c r="I122" t="s">
        <v>6575</v>
      </c>
      <c r="J122" t="s">
        <v>6576</v>
      </c>
      <c r="K122" t="s">
        <v>6577</v>
      </c>
      <c r="L122">
        <v>8</v>
      </c>
      <c r="M122">
        <v>9</v>
      </c>
      <c r="N122">
        <v>9</v>
      </c>
      <c r="O122">
        <v>0</v>
      </c>
      <c r="P122">
        <v>10</v>
      </c>
      <c r="Q122">
        <v>9</v>
      </c>
      <c r="R122">
        <v>0</v>
      </c>
      <c r="S122">
        <v>10</v>
      </c>
      <c r="T122">
        <v>2</v>
      </c>
      <c r="U122">
        <v>8</v>
      </c>
      <c r="V122">
        <v>0</v>
      </c>
      <c r="W122">
        <v>0</v>
      </c>
      <c r="X122">
        <v>0</v>
      </c>
      <c r="Y122">
        <v>8</v>
      </c>
      <c r="Z122">
        <v>9</v>
      </c>
      <c r="AA122">
        <v>0</v>
      </c>
      <c r="AB122">
        <v>0</v>
      </c>
      <c r="AC122">
        <v>9</v>
      </c>
      <c r="AD122">
        <v>0</v>
      </c>
    </row>
    <row r="123" spans="1:30" x14ac:dyDescent="0.3">
      <c r="A123" s="53">
        <v>45917.730855567133</v>
      </c>
      <c r="B123" s="23" t="s">
        <v>65</v>
      </c>
      <c r="C123">
        <v>17</v>
      </c>
      <c r="D123" s="73" t="s">
        <v>2087</v>
      </c>
      <c r="E123" s="70">
        <f t="shared" si="3"/>
        <v>378.00000000000153</v>
      </c>
      <c r="F123" s="70">
        <f t="shared" si="3"/>
        <v>190.99999999999469</v>
      </c>
      <c r="G123" s="70">
        <f t="shared" si="4"/>
        <v>11</v>
      </c>
      <c r="H123" s="70">
        <f t="shared" si="5"/>
        <v>8</v>
      </c>
      <c r="I123" t="s">
        <v>6578</v>
      </c>
      <c r="J123" t="s">
        <v>6579</v>
      </c>
      <c r="K123" t="s">
        <v>6580</v>
      </c>
      <c r="L123">
        <v>10</v>
      </c>
      <c r="M123">
        <v>10</v>
      </c>
      <c r="N123">
        <v>10</v>
      </c>
      <c r="O123">
        <v>0</v>
      </c>
      <c r="P123">
        <v>10</v>
      </c>
      <c r="Q123">
        <v>10</v>
      </c>
      <c r="R123">
        <v>0</v>
      </c>
      <c r="S123">
        <v>10</v>
      </c>
      <c r="T123">
        <v>10</v>
      </c>
      <c r="U123">
        <v>10</v>
      </c>
      <c r="V123">
        <v>0</v>
      </c>
      <c r="W123">
        <v>0</v>
      </c>
      <c r="X123">
        <v>0</v>
      </c>
      <c r="Y123">
        <v>10</v>
      </c>
      <c r="Z123">
        <v>10</v>
      </c>
      <c r="AA123">
        <v>0</v>
      </c>
      <c r="AB123">
        <v>0</v>
      </c>
      <c r="AC123">
        <v>10</v>
      </c>
      <c r="AD123">
        <v>0</v>
      </c>
    </row>
    <row r="124" spans="1:30" x14ac:dyDescent="0.3">
      <c r="C124">
        <v>18</v>
      </c>
      <c r="D124" s="72" t="s">
        <v>2088</v>
      </c>
      <c r="E124" s="70">
        <f t="shared" si="3"/>
        <v>31.000000000001648</v>
      </c>
      <c r="F124" s="70">
        <f t="shared" si="3"/>
        <v>191.99999999999164</v>
      </c>
      <c r="G124" s="70">
        <f t="shared" si="4"/>
        <v>11</v>
      </c>
      <c r="H124" s="70">
        <f t="shared" si="5"/>
        <v>8</v>
      </c>
      <c r="I124" t="s">
        <v>6581</v>
      </c>
      <c r="J124" t="s">
        <v>6582</v>
      </c>
      <c r="K124" t="s">
        <v>6583</v>
      </c>
      <c r="L124">
        <v>10</v>
      </c>
      <c r="M124">
        <v>10</v>
      </c>
      <c r="N124">
        <v>10</v>
      </c>
      <c r="O124">
        <v>0</v>
      </c>
      <c r="P124">
        <v>10</v>
      </c>
      <c r="Q124">
        <v>10</v>
      </c>
      <c r="R124">
        <v>0</v>
      </c>
      <c r="S124">
        <v>10</v>
      </c>
      <c r="T124">
        <v>10</v>
      </c>
      <c r="U124">
        <v>10</v>
      </c>
      <c r="V124">
        <v>0</v>
      </c>
      <c r="W124">
        <v>0</v>
      </c>
      <c r="X124">
        <v>0</v>
      </c>
      <c r="Y124">
        <v>10</v>
      </c>
      <c r="Z124">
        <v>10</v>
      </c>
      <c r="AA124">
        <v>0</v>
      </c>
      <c r="AB124">
        <v>0</v>
      </c>
      <c r="AC124">
        <v>10</v>
      </c>
      <c r="AD124">
        <v>0</v>
      </c>
    </row>
    <row r="125" spans="1:30" x14ac:dyDescent="0.3">
      <c r="C125">
        <v>19</v>
      </c>
      <c r="D125" s="74" t="s">
        <v>2089</v>
      </c>
      <c r="E125" s="70">
        <f t="shared" si="3"/>
        <v>51.000000000007972</v>
      </c>
      <c r="F125" s="70">
        <f t="shared" si="3"/>
        <v>196.99999999999562</v>
      </c>
      <c r="G125" s="70">
        <f t="shared" si="4"/>
        <v>11</v>
      </c>
      <c r="H125" s="70">
        <f t="shared" si="5"/>
        <v>8</v>
      </c>
      <c r="I125" t="s">
        <v>6584</v>
      </c>
      <c r="J125" t="s">
        <v>6585</v>
      </c>
      <c r="K125" t="s">
        <v>6586</v>
      </c>
      <c r="L125">
        <v>10</v>
      </c>
      <c r="M125">
        <v>10</v>
      </c>
      <c r="N125">
        <v>10</v>
      </c>
      <c r="O125">
        <v>0</v>
      </c>
      <c r="P125">
        <v>10</v>
      </c>
      <c r="Q125">
        <v>10</v>
      </c>
      <c r="R125">
        <v>0</v>
      </c>
      <c r="S125">
        <v>10</v>
      </c>
      <c r="T125">
        <v>10</v>
      </c>
      <c r="U125">
        <v>10</v>
      </c>
      <c r="V125">
        <v>0</v>
      </c>
      <c r="W125">
        <v>0</v>
      </c>
      <c r="X125">
        <v>0</v>
      </c>
      <c r="Y125">
        <v>10</v>
      </c>
      <c r="Z125">
        <v>10</v>
      </c>
      <c r="AA125">
        <v>0</v>
      </c>
      <c r="AB125">
        <v>0</v>
      </c>
      <c r="AC125">
        <v>10</v>
      </c>
      <c r="AD125">
        <v>0</v>
      </c>
    </row>
    <row r="126" spans="1:30" x14ac:dyDescent="0.3">
      <c r="C126">
        <v>20</v>
      </c>
      <c r="D126" s="71" t="s">
        <v>2090</v>
      </c>
      <c r="E126" s="70">
        <f t="shared" si="3"/>
        <v>36.999999999992994</v>
      </c>
      <c r="F126" s="70">
        <f t="shared" si="3"/>
        <v>195.00000000000171</v>
      </c>
      <c r="G126" s="70">
        <f t="shared" si="4"/>
        <v>11</v>
      </c>
      <c r="H126" s="70">
        <f t="shared" si="5"/>
        <v>8</v>
      </c>
      <c r="I126" t="s">
        <v>6587</v>
      </c>
      <c r="J126" t="s">
        <v>6588</v>
      </c>
      <c r="K126" t="s">
        <v>6589</v>
      </c>
      <c r="L126">
        <v>10</v>
      </c>
      <c r="M126">
        <v>10</v>
      </c>
      <c r="N126">
        <v>10</v>
      </c>
      <c r="O126">
        <v>0</v>
      </c>
      <c r="P126">
        <v>10</v>
      </c>
      <c r="Q126">
        <v>10</v>
      </c>
      <c r="R126">
        <v>0</v>
      </c>
      <c r="S126">
        <v>10</v>
      </c>
      <c r="T126">
        <v>10</v>
      </c>
      <c r="U126">
        <v>10</v>
      </c>
      <c r="V126">
        <v>0</v>
      </c>
      <c r="W126">
        <v>0</v>
      </c>
      <c r="X126">
        <v>0</v>
      </c>
      <c r="Y126">
        <v>10</v>
      </c>
      <c r="Z126">
        <v>10</v>
      </c>
      <c r="AA126">
        <v>0</v>
      </c>
      <c r="AB126">
        <v>0</v>
      </c>
      <c r="AC126">
        <v>10</v>
      </c>
      <c r="AD126">
        <v>0</v>
      </c>
    </row>
    <row r="127" spans="1:30" x14ac:dyDescent="0.3">
      <c r="A127" s="53">
        <v>45918.561457800926</v>
      </c>
      <c r="B127" s="23" t="s">
        <v>64</v>
      </c>
      <c r="C127">
        <v>29</v>
      </c>
      <c r="D127" s="73" t="s">
        <v>2087</v>
      </c>
      <c r="E127" s="70">
        <f t="shared" si="3"/>
        <v>81.00000000000307</v>
      </c>
      <c r="F127" s="70">
        <f t="shared" si="3"/>
        <v>189.99999999999773</v>
      </c>
      <c r="G127" s="70">
        <f t="shared" si="4"/>
        <v>11</v>
      </c>
      <c r="H127" s="70">
        <f t="shared" si="5"/>
        <v>8</v>
      </c>
      <c r="I127" t="s">
        <v>6590</v>
      </c>
      <c r="J127" t="s">
        <v>6591</v>
      </c>
      <c r="K127" t="s">
        <v>6592</v>
      </c>
      <c r="L127">
        <v>10</v>
      </c>
      <c r="M127">
        <v>10</v>
      </c>
      <c r="N127">
        <v>10</v>
      </c>
      <c r="O127">
        <v>0</v>
      </c>
      <c r="P127">
        <v>10</v>
      </c>
      <c r="Q127">
        <v>10</v>
      </c>
      <c r="R127">
        <v>0</v>
      </c>
      <c r="S127">
        <v>10</v>
      </c>
      <c r="T127">
        <v>10</v>
      </c>
      <c r="U127">
        <v>10</v>
      </c>
      <c r="V127">
        <v>0</v>
      </c>
      <c r="W127">
        <v>0</v>
      </c>
      <c r="X127">
        <v>0</v>
      </c>
      <c r="Y127">
        <v>10</v>
      </c>
      <c r="Z127">
        <v>10</v>
      </c>
      <c r="AA127">
        <v>0</v>
      </c>
      <c r="AB127">
        <v>0</v>
      </c>
      <c r="AC127">
        <v>10</v>
      </c>
      <c r="AD127">
        <v>0</v>
      </c>
    </row>
    <row r="128" spans="1:30" x14ac:dyDescent="0.3">
      <c r="C128">
        <v>30</v>
      </c>
      <c r="D128" s="72" t="s">
        <v>2088</v>
      </c>
      <c r="E128" s="70">
        <f t="shared" si="3"/>
        <v>95.999999999995822</v>
      </c>
      <c r="F128" s="70">
        <f t="shared" si="3"/>
        <v>155.00000000000824</v>
      </c>
      <c r="G128" s="70">
        <f t="shared" si="4"/>
        <v>9</v>
      </c>
      <c r="H128" s="70">
        <f t="shared" si="5"/>
        <v>10</v>
      </c>
      <c r="I128" t="s">
        <v>6593</v>
      </c>
      <c r="J128" t="s">
        <v>6594</v>
      </c>
      <c r="K128" t="s">
        <v>6595</v>
      </c>
      <c r="L128">
        <v>10</v>
      </c>
      <c r="M128">
        <v>10</v>
      </c>
      <c r="N128">
        <v>10</v>
      </c>
      <c r="O128">
        <v>0</v>
      </c>
      <c r="P128">
        <v>10</v>
      </c>
      <c r="Q128">
        <v>10</v>
      </c>
      <c r="R128">
        <v>0</v>
      </c>
      <c r="S128">
        <v>10</v>
      </c>
      <c r="T128">
        <v>10</v>
      </c>
      <c r="U128">
        <v>10</v>
      </c>
      <c r="V128">
        <v>0</v>
      </c>
      <c r="W128">
        <v>0</v>
      </c>
      <c r="X128">
        <v>0</v>
      </c>
      <c r="Y128">
        <v>0</v>
      </c>
      <c r="Z128">
        <v>10</v>
      </c>
      <c r="AA128">
        <v>0</v>
      </c>
      <c r="AB128">
        <v>0</v>
      </c>
      <c r="AC128">
        <v>0</v>
      </c>
      <c r="AD128">
        <v>0</v>
      </c>
    </row>
    <row r="129" spans="3:30" x14ac:dyDescent="0.3">
      <c r="C129">
        <v>27</v>
      </c>
      <c r="D129" s="74" t="s">
        <v>2089</v>
      </c>
      <c r="E129" s="70">
        <f t="shared" si="3"/>
        <v>419.99999999999852</v>
      </c>
      <c r="F129" s="70">
        <f t="shared" si="3"/>
        <v>195.00000000000171</v>
      </c>
      <c r="G129" s="70">
        <f t="shared" si="4"/>
        <v>11</v>
      </c>
      <c r="H129" s="70">
        <f t="shared" si="5"/>
        <v>8</v>
      </c>
      <c r="I129" t="s">
        <v>6596</v>
      </c>
      <c r="J129" t="s">
        <v>6597</v>
      </c>
      <c r="K129" t="s">
        <v>6598</v>
      </c>
      <c r="L129">
        <v>10</v>
      </c>
      <c r="M129">
        <v>10</v>
      </c>
      <c r="N129">
        <v>10</v>
      </c>
      <c r="O129">
        <v>0</v>
      </c>
      <c r="P129">
        <v>10</v>
      </c>
      <c r="Q129">
        <v>10</v>
      </c>
      <c r="R129">
        <v>0</v>
      </c>
      <c r="S129">
        <v>10</v>
      </c>
      <c r="T129">
        <v>9</v>
      </c>
      <c r="U129">
        <v>10</v>
      </c>
      <c r="V129">
        <v>0</v>
      </c>
      <c r="W129">
        <v>0</v>
      </c>
      <c r="X129">
        <v>0</v>
      </c>
      <c r="Y129">
        <v>10</v>
      </c>
      <c r="Z129">
        <v>10</v>
      </c>
      <c r="AA129">
        <v>0</v>
      </c>
      <c r="AB129">
        <v>0</v>
      </c>
      <c r="AC129">
        <v>10</v>
      </c>
      <c r="AD129">
        <v>0</v>
      </c>
    </row>
    <row r="130" spans="3:30" x14ac:dyDescent="0.3">
      <c r="C130">
        <v>28</v>
      </c>
      <c r="D130" s="71" t="s">
        <v>2090</v>
      </c>
      <c r="E130" s="70">
        <f t="shared" si="3"/>
        <v>26.999999999994628</v>
      </c>
      <c r="F130" s="70">
        <f t="shared" si="3"/>
        <v>191.00000000000426</v>
      </c>
      <c r="G130" s="70">
        <f t="shared" si="4"/>
        <v>11</v>
      </c>
      <c r="H130" s="70">
        <f t="shared" si="5"/>
        <v>8</v>
      </c>
      <c r="I130" t="s">
        <v>6599</v>
      </c>
      <c r="J130" t="s">
        <v>6600</v>
      </c>
      <c r="K130" t="s">
        <v>6601</v>
      </c>
      <c r="L130">
        <v>10</v>
      </c>
      <c r="M130">
        <v>10</v>
      </c>
      <c r="N130">
        <v>10</v>
      </c>
      <c r="O130">
        <v>0</v>
      </c>
      <c r="P130">
        <v>10</v>
      </c>
      <c r="Q130">
        <v>10</v>
      </c>
      <c r="R130">
        <v>0</v>
      </c>
      <c r="S130">
        <v>10</v>
      </c>
      <c r="T130">
        <v>9</v>
      </c>
      <c r="U130">
        <v>10</v>
      </c>
      <c r="V130">
        <v>0</v>
      </c>
      <c r="W130">
        <v>0</v>
      </c>
      <c r="X130">
        <v>0</v>
      </c>
      <c r="Y130">
        <v>10</v>
      </c>
      <c r="Z130">
        <v>10</v>
      </c>
      <c r="AA130">
        <v>0</v>
      </c>
      <c r="AB130">
        <v>0</v>
      </c>
      <c r="AC130">
        <v>10</v>
      </c>
      <c r="AD130">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39A83-D150-43C1-9E98-E7CE7F6FB891}">
  <dimension ref="A1:Y129"/>
  <sheetViews>
    <sheetView topLeftCell="A6" workbookViewId="0">
      <selection activeCell="G46" sqref="G46:G48"/>
    </sheetView>
  </sheetViews>
  <sheetFormatPr defaultRowHeight="14.4" x14ac:dyDescent="0.3"/>
  <cols>
    <col min="1" max="1" width="16.44140625" customWidth="1"/>
  </cols>
  <sheetData>
    <row r="1" spans="1:4" ht="28.2" thickBot="1" x14ac:dyDescent="0.35">
      <c r="A1" s="54" t="s">
        <v>0</v>
      </c>
      <c r="B1" s="19" t="s">
        <v>1</v>
      </c>
    </row>
    <row r="2" spans="1:4" x14ac:dyDescent="0.3">
      <c r="A2" s="49">
        <v>45881.446388668977</v>
      </c>
      <c r="B2" s="50">
        <v>1</v>
      </c>
      <c r="C2" s="70" t="s">
        <v>54</v>
      </c>
      <c r="D2" s="73" t="s">
        <v>2087</v>
      </c>
    </row>
    <row r="3" spans="1:4" x14ac:dyDescent="0.3">
      <c r="C3" s="70" t="s">
        <v>55</v>
      </c>
      <c r="D3" s="72" t="s">
        <v>2088</v>
      </c>
    </row>
    <row r="4" spans="1:4" x14ac:dyDescent="0.3">
      <c r="C4" s="70"/>
      <c r="D4" s="74" t="s">
        <v>2089</v>
      </c>
    </row>
    <row r="5" spans="1:4" x14ac:dyDescent="0.3">
      <c r="C5" s="70"/>
      <c r="D5" s="71" t="s">
        <v>2090</v>
      </c>
    </row>
    <row r="6" spans="1:4" x14ac:dyDescent="0.3">
      <c r="A6" s="51">
        <v>45881.617943437501</v>
      </c>
      <c r="B6" s="52">
        <v>2</v>
      </c>
      <c r="C6" s="70" t="s">
        <v>738</v>
      </c>
      <c r="D6" s="73" t="s">
        <v>2087</v>
      </c>
    </row>
    <row r="7" spans="1:4" x14ac:dyDescent="0.3">
      <c r="C7" s="70" t="s">
        <v>781</v>
      </c>
      <c r="D7" s="72" t="s">
        <v>2088</v>
      </c>
    </row>
    <row r="8" spans="1:4" x14ac:dyDescent="0.3">
      <c r="C8" s="70"/>
      <c r="D8" s="74" t="s">
        <v>2089</v>
      </c>
    </row>
    <row r="9" spans="1:4" x14ac:dyDescent="0.3">
      <c r="C9" s="70"/>
      <c r="D9" s="71" t="s">
        <v>2090</v>
      </c>
    </row>
    <row r="10" spans="1:4" x14ac:dyDescent="0.3">
      <c r="A10" s="51">
        <v>45887.610196423615</v>
      </c>
      <c r="B10" s="52">
        <v>3</v>
      </c>
      <c r="C10" s="70" t="s">
        <v>807</v>
      </c>
      <c r="D10" s="73" t="s">
        <v>2087</v>
      </c>
    </row>
    <row r="11" spans="1:4" x14ac:dyDescent="0.3">
      <c r="C11" s="70" t="s">
        <v>846</v>
      </c>
      <c r="D11" s="72" t="s">
        <v>2088</v>
      </c>
    </row>
    <row r="12" spans="1:4" x14ac:dyDescent="0.3">
      <c r="C12" s="70"/>
      <c r="D12" s="74" t="s">
        <v>2089</v>
      </c>
    </row>
    <row r="13" spans="1:4" x14ac:dyDescent="0.3">
      <c r="C13" s="70"/>
      <c r="D13" s="71" t="s">
        <v>2090</v>
      </c>
    </row>
    <row r="14" spans="1:4" x14ac:dyDescent="0.3">
      <c r="A14" s="51">
        <v>45887.647473391204</v>
      </c>
      <c r="B14" s="52">
        <v>4</v>
      </c>
      <c r="C14" s="70" t="s">
        <v>1057</v>
      </c>
      <c r="D14" s="73" t="s">
        <v>2087</v>
      </c>
    </row>
    <row r="15" spans="1:4" x14ac:dyDescent="0.3">
      <c r="C15" s="70" t="s">
        <v>1097</v>
      </c>
      <c r="D15" s="72" t="s">
        <v>2088</v>
      </c>
    </row>
    <row r="16" spans="1:4" x14ac:dyDescent="0.3">
      <c r="C16" s="70"/>
      <c r="D16" s="74" t="s">
        <v>2089</v>
      </c>
    </row>
    <row r="17" spans="1:25" x14ac:dyDescent="0.3">
      <c r="C17" s="70"/>
      <c r="D17" s="71" t="s">
        <v>2090</v>
      </c>
    </row>
    <row r="18" spans="1:25" x14ac:dyDescent="0.3">
      <c r="A18" s="51">
        <v>45889.499309328705</v>
      </c>
      <c r="B18" s="52">
        <v>5</v>
      </c>
      <c r="C18" s="70" t="s">
        <v>1122</v>
      </c>
      <c r="D18" s="73" t="s">
        <v>2087</v>
      </c>
    </row>
    <row r="19" spans="1:25" x14ac:dyDescent="0.3">
      <c r="C19" s="70" t="s">
        <v>1174</v>
      </c>
      <c r="D19" s="72" t="s">
        <v>2088</v>
      </c>
    </row>
    <row r="20" spans="1:25" x14ac:dyDescent="0.3">
      <c r="C20" s="70"/>
      <c r="D20" s="74" t="s">
        <v>2089</v>
      </c>
    </row>
    <row r="21" spans="1:25" x14ac:dyDescent="0.3">
      <c r="C21" s="70"/>
      <c r="D21" s="71" t="s">
        <v>2090</v>
      </c>
    </row>
    <row r="22" spans="1:25" x14ac:dyDescent="0.3">
      <c r="A22" s="53">
        <v>45909.444653206017</v>
      </c>
      <c r="B22" s="23" t="s">
        <v>38</v>
      </c>
      <c r="C22" s="70" t="s">
        <v>1331</v>
      </c>
      <c r="D22" s="73" t="s">
        <v>2087</v>
      </c>
      <c r="E22" t="s">
        <v>1331</v>
      </c>
      <c r="F22" t="s">
        <v>3164</v>
      </c>
      <c r="G22" t="s">
        <v>2094</v>
      </c>
      <c r="H22" t="s">
        <v>2095</v>
      </c>
      <c r="I22" t="s">
        <v>2096</v>
      </c>
      <c r="J22" t="s">
        <v>2097</v>
      </c>
      <c r="K22" t="s">
        <v>2098</v>
      </c>
      <c r="L22" t="s">
        <v>2099</v>
      </c>
      <c r="M22" t="s">
        <v>2100</v>
      </c>
      <c r="N22" t="s">
        <v>2101</v>
      </c>
      <c r="O22" t="s">
        <v>2102</v>
      </c>
      <c r="P22" t="s">
        <v>2103</v>
      </c>
      <c r="Q22" t="s">
        <v>2104</v>
      </c>
      <c r="R22" t="s">
        <v>2105</v>
      </c>
      <c r="S22" t="s">
        <v>2106</v>
      </c>
      <c r="T22" t="s">
        <v>2107</v>
      </c>
      <c r="U22" t="s">
        <v>2108</v>
      </c>
      <c r="V22" t="s">
        <v>2109</v>
      </c>
      <c r="W22" t="s">
        <v>2110</v>
      </c>
      <c r="X22" t="s">
        <v>2111</v>
      </c>
      <c r="Y22" t="s">
        <v>2112</v>
      </c>
    </row>
    <row r="23" spans="1:25" x14ac:dyDescent="0.3">
      <c r="C23" s="70" t="s">
        <v>1366</v>
      </c>
      <c r="D23" s="72" t="s">
        <v>2088</v>
      </c>
    </row>
    <row r="24" spans="1:25" x14ac:dyDescent="0.3">
      <c r="C24" s="70"/>
      <c r="D24" s="74" t="s">
        <v>2089</v>
      </c>
    </row>
    <row r="25" spans="1:25" x14ac:dyDescent="0.3">
      <c r="C25" s="70"/>
      <c r="D25" s="71" t="s">
        <v>2090</v>
      </c>
    </row>
    <row r="26" spans="1:25" x14ac:dyDescent="0.3">
      <c r="A26" s="53">
        <v>45909.490350810185</v>
      </c>
      <c r="B26" s="23" t="s">
        <v>40</v>
      </c>
      <c r="C26" s="70" t="s">
        <v>1678</v>
      </c>
      <c r="D26" s="73" t="s">
        <v>2087</v>
      </c>
      <c r="E26" s="63" t="s">
        <v>1678</v>
      </c>
      <c r="F26" s="63" t="s">
        <v>3164</v>
      </c>
      <c r="G26" s="63" t="s">
        <v>2105</v>
      </c>
      <c r="H26" s="63" t="s">
        <v>2111</v>
      </c>
      <c r="I26" s="63" t="s">
        <v>2107</v>
      </c>
      <c r="J26" s="63" t="s">
        <v>3165</v>
      </c>
      <c r="K26" s="63" t="s">
        <v>3166</v>
      </c>
      <c r="L26" s="63" t="s">
        <v>3167</v>
      </c>
      <c r="M26" s="63" t="s">
        <v>3168</v>
      </c>
      <c r="N26" s="63" t="s">
        <v>2112</v>
      </c>
    </row>
    <row r="27" spans="1:25" x14ac:dyDescent="0.3">
      <c r="C27" s="70" t="s">
        <v>1716</v>
      </c>
      <c r="D27" s="72" t="s">
        <v>2088</v>
      </c>
    </row>
    <row r="28" spans="1:25" x14ac:dyDescent="0.3">
      <c r="C28" s="70"/>
      <c r="D28" s="74" t="s">
        <v>2089</v>
      </c>
    </row>
    <row r="29" spans="1:25" x14ac:dyDescent="0.3">
      <c r="C29" s="70"/>
      <c r="D29" s="71" t="s">
        <v>2090</v>
      </c>
    </row>
    <row r="30" spans="1:25" x14ac:dyDescent="0.3">
      <c r="A30" s="53">
        <v>45909.571112488426</v>
      </c>
      <c r="B30" s="23" t="s">
        <v>41</v>
      </c>
      <c r="C30" s="70" t="s">
        <v>1749</v>
      </c>
      <c r="D30" s="73" t="s">
        <v>2087</v>
      </c>
      <c r="E30" s="147" t="s">
        <v>1749</v>
      </c>
      <c r="F30" s="147" t="s">
        <v>3164</v>
      </c>
      <c r="G30" s="147" t="s">
        <v>3165</v>
      </c>
      <c r="H30" s="147" t="s">
        <v>2105</v>
      </c>
      <c r="I30" s="147" t="s">
        <v>3166</v>
      </c>
      <c r="J30" s="147" t="s">
        <v>3167</v>
      </c>
      <c r="K30" s="147" t="s">
        <v>3168</v>
      </c>
      <c r="L30" s="147" t="s">
        <v>2107</v>
      </c>
      <c r="M30" s="147" t="s">
        <v>2111</v>
      </c>
      <c r="N30" s="147" t="s">
        <v>2112</v>
      </c>
    </row>
    <row r="31" spans="1:25" x14ac:dyDescent="0.3">
      <c r="C31" s="70" t="s">
        <v>1801</v>
      </c>
      <c r="D31" s="72" t="s">
        <v>2088</v>
      </c>
      <c r="E31" s="172"/>
      <c r="F31" s="172"/>
      <c r="G31" s="172"/>
      <c r="H31" s="172"/>
      <c r="I31" s="172"/>
      <c r="J31" s="172"/>
      <c r="K31" s="172"/>
      <c r="L31" s="172"/>
      <c r="M31" s="172"/>
      <c r="N31" s="172"/>
    </row>
    <row r="32" spans="1:25" x14ac:dyDescent="0.3">
      <c r="C32" s="70">
        <v>232</v>
      </c>
      <c r="D32" s="74" t="s">
        <v>2089</v>
      </c>
      <c r="E32" s="147" t="s">
        <v>1828</v>
      </c>
      <c r="F32" s="147" t="s">
        <v>3164</v>
      </c>
      <c r="G32" s="147" t="s">
        <v>3165</v>
      </c>
      <c r="H32" s="147" t="s">
        <v>2105</v>
      </c>
      <c r="I32" s="147" t="s">
        <v>3167</v>
      </c>
      <c r="J32" s="147" t="s">
        <v>3166</v>
      </c>
      <c r="K32" s="147" t="s">
        <v>3168</v>
      </c>
      <c r="L32" s="147" t="s">
        <v>2107</v>
      </c>
      <c r="M32" s="147" t="s">
        <v>2111</v>
      </c>
      <c r="N32" s="147" t="s">
        <v>2112</v>
      </c>
    </row>
    <row r="33" spans="1:25" x14ac:dyDescent="0.3">
      <c r="C33" s="70">
        <v>233</v>
      </c>
      <c r="D33" s="71" t="s">
        <v>2090</v>
      </c>
    </row>
    <row r="34" spans="1:25" x14ac:dyDescent="0.3">
      <c r="A34" s="53">
        <v>45909.613403391202</v>
      </c>
      <c r="B34" s="23" t="s">
        <v>42</v>
      </c>
      <c r="C34" s="70" t="s">
        <v>2008</v>
      </c>
      <c r="D34" s="73" t="s">
        <v>2087</v>
      </c>
      <c r="E34" s="63" t="s">
        <v>2008</v>
      </c>
      <c r="F34" s="63" t="s">
        <v>3164</v>
      </c>
      <c r="G34" s="63" t="s">
        <v>3165</v>
      </c>
      <c r="H34" s="63" t="s">
        <v>2105</v>
      </c>
      <c r="I34" s="63" t="s">
        <v>3168</v>
      </c>
      <c r="J34" s="63" t="s">
        <v>2107</v>
      </c>
      <c r="K34" s="63" t="s">
        <v>3167</v>
      </c>
      <c r="L34" s="63" t="s">
        <v>3166</v>
      </c>
      <c r="M34" s="63" t="s">
        <v>2111</v>
      </c>
      <c r="N34" s="63" t="s">
        <v>2112</v>
      </c>
    </row>
    <row r="35" spans="1:25" x14ac:dyDescent="0.3">
      <c r="C35" s="70" t="s">
        <v>2046</v>
      </c>
      <c r="D35" s="72" t="s">
        <v>2088</v>
      </c>
    </row>
    <row r="36" spans="1:25" x14ac:dyDescent="0.3">
      <c r="C36" s="70"/>
      <c r="D36" s="74" t="s">
        <v>2089</v>
      </c>
    </row>
    <row r="37" spans="1:25" x14ac:dyDescent="0.3">
      <c r="C37" s="70"/>
      <c r="D37" s="71" t="s">
        <v>2090</v>
      </c>
    </row>
    <row r="38" spans="1:25" x14ac:dyDescent="0.3">
      <c r="A38" s="53">
        <v>45909.662530416666</v>
      </c>
      <c r="B38" s="23" t="s">
        <v>44</v>
      </c>
      <c r="C38" s="70" t="s">
        <v>2157</v>
      </c>
      <c r="D38" s="73" t="s">
        <v>2087</v>
      </c>
      <c r="E38" s="63" t="s">
        <v>2157</v>
      </c>
      <c r="F38" s="63" t="s">
        <v>3164</v>
      </c>
      <c r="G38" s="63" t="s">
        <v>2094</v>
      </c>
      <c r="H38" s="63" t="s">
        <v>2095</v>
      </c>
      <c r="I38" s="63" t="s">
        <v>2096</v>
      </c>
      <c r="J38" s="63" t="s">
        <v>2097</v>
      </c>
      <c r="K38" s="63" t="s">
        <v>2098</v>
      </c>
      <c r="L38" s="63" t="s">
        <v>2099</v>
      </c>
      <c r="M38" s="63" t="s">
        <v>2100</v>
      </c>
      <c r="N38" s="63" t="s">
        <v>2101</v>
      </c>
      <c r="O38" s="63" t="s">
        <v>2102</v>
      </c>
      <c r="P38" s="63" t="s">
        <v>2103</v>
      </c>
      <c r="Q38" s="63" t="s">
        <v>2104</v>
      </c>
      <c r="R38" s="63" t="s">
        <v>2105</v>
      </c>
      <c r="S38" s="63" t="s">
        <v>2106</v>
      </c>
      <c r="T38" s="63" t="s">
        <v>2107</v>
      </c>
      <c r="U38" s="63" t="s">
        <v>2108</v>
      </c>
      <c r="V38" s="63" t="s">
        <v>2109</v>
      </c>
      <c r="W38" s="63" t="s">
        <v>2110</v>
      </c>
      <c r="X38" s="63" t="s">
        <v>2111</v>
      </c>
      <c r="Y38" s="63" t="s">
        <v>2112</v>
      </c>
    </row>
    <row r="39" spans="1:25" x14ac:dyDescent="0.3">
      <c r="C39" s="70"/>
      <c r="D39" s="72" t="s">
        <v>2088</v>
      </c>
    </row>
    <row r="40" spans="1:25" x14ac:dyDescent="0.3">
      <c r="D40" s="74" t="s">
        <v>2089</v>
      </c>
    </row>
    <row r="41" spans="1:25" x14ac:dyDescent="0.3">
      <c r="D41" s="71" t="s">
        <v>2090</v>
      </c>
    </row>
    <row r="42" spans="1:25" x14ac:dyDescent="0.3">
      <c r="A42" s="53">
        <v>45909.707308969912</v>
      </c>
      <c r="B42" s="23" t="s">
        <v>45</v>
      </c>
      <c r="D42" s="73" t="s">
        <v>2087</v>
      </c>
    </row>
    <row r="43" spans="1:25" x14ac:dyDescent="0.3">
      <c r="D43" s="72" t="s">
        <v>2088</v>
      </c>
    </row>
    <row r="44" spans="1:25" x14ac:dyDescent="0.3">
      <c r="D44" s="74" t="s">
        <v>2089</v>
      </c>
    </row>
    <row r="45" spans="1:25" x14ac:dyDescent="0.3">
      <c r="D45" s="71" t="s">
        <v>2090</v>
      </c>
    </row>
    <row r="46" spans="1:25" x14ac:dyDescent="0.3">
      <c r="A46" s="53">
        <v>45909.751557291667</v>
      </c>
      <c r="B46" s="23" t="s">
        <v>46</v>
      </c>
      <c r="C46">
        <v>266</v>
      </c>
      <c r="D46" s="73" t="s">
        <v>2087</v>
      </c>
      <c r="E46" s="147" t="s">
        <v>2511</v>
      </c>
      <c r="F46" s="147" t="s">
        <v>3164</v>
      </c>
      <c r="G46" s="147" t="s">
        <v>3167</v>
      </c>
      <c r="H46" s="147" t="s">
        <v>3166</v>
      </c>
      <c r="I46" s="147" t="s">
        <v>2111</v>
      </c>
      <c r="J46" s="147" t="s">
        <v>2105</v>
      </c>
      <c r="K46" s="147" t="s">
        <v>3168</v>
      </c>
      <c r="L46" s="147" t="s">
        <v>2107</v>
      </c>
      <c r="M46" s="147" t="s">
        <v>3165</v>
      </c>
      <c r="N46" s="147" t="s">
        <v>2112</v>
      </c>
    </row>
    <row r="47" spans="1:25" x14ac:dyDescent="0.3">
      <c r="C47">
        <v>267</v>
      </c>
      <c r="D47" s="72" t="s">
        <v>2088</v>
      </c>
    </row>
    <row r="48" spans="1:25" x14ac:dyDescent="0.3">
      <c r="C48">
        <v>268</v>
      </c>
      <c r="D48" s="74" t="s">
        <v>2089</v>
      </c>
      <c r="E48" s="147" t="s">
        <v>2604</v>
      </c>
      <c r="F48" s="147" t="s">
        <v>3164</v>
      </c>
      <c r="G48" s="147" t="s">
        <v>3167</v>
      </c>
      <c r="H48" s="147" t="s">
        <v>2105</v>
      </c>
      <c r="I48" s="147" t="s">
        <v>3166</v>
      </c>
      <c r="J48" s="147" t="s">
        <v>3168</v>
      </c>
      <c r="K48" s="147" t="s">
        <v>2107</v>
      </c>
      <c r="L48" s="147" t="s">
        <v>2111</v>
      </c>
      <c r="M48" s="147" t="s">
        <v>3165</v>
      </c>
      <c r="N48" s="147" t="s">
        <v>2112</v>
      </c>
    </row>
    <row r="49" spans="1:4" x14ac:dyDescent="0.3">
      <c r="C49">
        <v>269</v>
      </c>
      <c r="D49" s="71" t="s">
        <v>2090</v>
      </c>
    </row>
    <row r="50" spans="1:4" x14ac:dyDescent="0.3">
      <c r="A50" s="53">
        <v>45910.584917060187</v>
      </c>
      <c r="B50" s="23" t="s">
        <v>47</v>
      </c>
      <c r="D50" s="73" t="s">
        <v>2087</v>
      </c>
    </row>
    <row r="51" spans="1:4" x14ac:dyDescent="0.3">
      <c r="D51" s="72" t="s">
        <v>2088</v>
      </c>
    </row>
    <row r="52" spans="1:4" x14ac:dyDescent="0.3">
      <c r="D52" s="74" t="s">
        <v>2089</v>
      </c>
    </row>
    <row r="53" spans="1:4" x14ac:dyDescent="0.3">
      <c r="D53" s="71" t="s">
        <v>2090</v>
      </c>
    </row>
    <row r="54" spans="1:4" x14ac:dyDescent="0.3">
      <c r="A54" s="53">
        <v>45910.691854594908</v>
      </c>
      <c r="B54" s="23" t="s">
        <v>48</v>
      </c>
      <c r="D54" s="73" t="s">
        <v>2087</v>
      </c>
    </row>
    <row r="55" spans="1:4" x14ac:dyDescent="0.3">
      <c r="D55" s="72" t="s">
        <v>2088</v>
      </c>
    </row>
    <row r="56" spans="1:4" x14ac:dyDescent="0.3">
      <c r="D56" s="74" t="s">
        <v>2089</v>
      </c>
    </row>
    <row r="57" spans="1:4" x14ac:dyDescent="0.3">
      <c r="D57" s="71" t="s">
        <v>2090</v>
      </c>
    </row>
    <row r="58" spans="1:4" x14ac:dyDescent="0.3">
      <c r="A58" s="53">
        <v>45910.737771979169</v>
      </c>
      <c r="B58" s="23" t="s">
        <v>49</v>
      </c>
      <c r="D58" s="73" t="s">
        <v>2087</v>
      </c>
    </row>
    <row r="59" spans="1:4" x14ac:dyDescent="0.3">
      <c r="D59" s="72" t="s">
        <v>2088</v>
      </c>
    </row>
    <row r="60" spans="1:4" x14ac:dyDescent="0.3">
      <c r="D60" s="74" t="s">
        <v>2089</v>
      </c>
    </row>
    <row r="61" spans="1:4" x14ac:dyDescent="0.3">
      <c r="D61" s="71" t="s">
        <v>2090</v>
      </c>
    </row>
    <row r="62" spans="1:4" x14ac:dyDescent="0.3">
      <c r="A62" s="53">
        <v>45912.400994479161</v>
      </c>
      <c r="B62" s="23" t="s">
        <v>50</v>
      </c>
      <c r="D62" s="73" t="s">
        <v>2087</v>
      </c>
    </row>
    <row r="63" spans="1:4" x14ac:dyDescent="0.3">
      <c r="D63" s="72" t="s">
        <v>2088</v>
      </c>
    </row>
    <row r="64" spans="1:4" x14ac:dyDescent="0.3">
      <c r="D64" s="74" t="s">
        <v>2089</v>
      </c>
    </row>
    <row r="65" spans="1:4" x14ac:dyDescent="0.3">
      <c r="D65" s="71" t="s">
        <v>2090</v>
      </c>
    </row>
    <row r="66" spans="1:4" x14ac:dyDescent="0.3">
      <c r="A66" s="53">
        <v>45912.446164340276</v>
      </c>
      <c r="B66" s="23" t="s">
        <v>51</v>
      </c>
      <c r="D66" s="73" t="s">
        <v>2087</v>
      </c>
    </row>
    <row r="67" spans="1:4" x14ac:dyDescent="0.3">
      <c r="D67" s="72" t="s">
        <v>2088</v>
      </c>
    </row>
    <row r="68" spans="1:4" x14ac:dyDescent="0.3">
      <c r="D68" s="74" t="s">
        <v>2089</v>
      </c>
    </row>
    <row r="69" spans="1:4" x14ac:dyDescent="0.3">
      <c r="D69" s="71" t="s">
        <v>2090</v>
      </c>
    </row>
    <row r="70" spans="1:4" x14ac:dyDescent="0.3">
      <c r="A70" s="53">
        <v>45912.493647233801</v>
      </c>
      <c r="B70" s="23" t="s">
        <v>52</v>
      </c>
      <c r="D70" s="73" t="s">
        <v>2087</v>
      </c>
    </row>
    <row r="71" spans="1:4" x14ac:dyDescent="0.3">
      <c r="D71" s="72" t="s">
        <v>2088</v>
      </c>
    </row>
    <row r="72" spans="1:4" x14ac:dyDescent="0.3">
      <c r="D72" s="74" t="s">
        <v>2089</v>
      </c>
    </row>
    <row r="73" spans="1:4" x14ac:dyDescent="0.3">
      <c r="D73" s="71" t="s">
        <v>2090</v>
      </c>
    </row>
    <row r="74" spans="1:4" x14ac:dyDescent="0.3">
      <c r="A74" s="53">
        <v>45912.578483981481</v>
      </c>
      <c r="B74" s="23" t="s">
        <v>53</v>
      </c>
      <c r="D74" s="73" t="s">
        <v>2087</v>
      </c>
    </row>
    <row r="75" spans="1:4" x14ac:dyDescent="0.3">
      <c r="D75" s="72" t="s">
        <v>2088</v>
      </c>
    </row>
    <row r="76" spans="1:4" x14ac:dyDescent="0.3">
      <c r="D76" s="74" t="s">
        <v>2089</v>
      </c>
    </row>
    <row r="77" spans="1:4" x14ac:dyDescent="0.3">
      <c r="D77" s="71" t="s">
        <v>2090</v>
      </c>
    </row>
    <row r="78" spans="1:4" x14ac:dyDescent="0.3">
      <c r="A78" s="53">
        <v>45912.630338414354</v>
      </c>
      <c r="B78" s="23" t="s">
        <v>66</v>
      </c>
      <c r="D78" s="73" t="s">
        <v>2087</v>
      </c>
    </row>
    <row r="79" spans="1:4" x14ac:dyDescent="0.3">
      <c r="D79" s="72" t="s">
        <v>2088</v>
      </c>
    </row>
    <row r="80" spans="1:4" x14ac:dyDescent="0.3">
      <c r="D80" s="74" t="s">
        <v>2089</v>
      </c>
    </row>
    <row r="81" spans="1:4" x14ac:dyDescent="0.3">
      <c r="D81" s="71" t="s">
        <v>2090</v>
      </c>
    </row>
    <row r="82" spans="1:4" x14ac:dyDescent="0.3">
      <c r="A82" s="53">
        <v>45912.669901064815</v>
      </c>
      <c r="B82" s="23" t="s">
        <v>54</v>
      </c>
      <c r="D82" s="73" t="s">
        <v>2087</v>
      </c>
    </row>
    <row r="83" spans="1:4" x14ac:dyDescent="0.3">
      <c r="D83" s="72" t="s">
        <v>2088</v>
      </c>
    </row>
    <row r="84" spans="1:4" x14ac:dyDescent="0.3">
      <c r="D84" s="74" t="s">
        <v>2089</v>
      </c>
    </row>
    <row r="85" spans="1:4" x14ac:dyDescent="0.3">
      <c r="D85" s="71" t="s">
        <v>2090</v>
      </c>
    </row>
    <row r="86" spans="1:4" x14ac:dyDescent="0.3">
      <c r="A86" s="53">
        <v>45912.719724236114</v>
      </c>
      <c r="B86" s="23" t="s">
        <v>55</v>
      </c>
      <c r="D86" s="73" t="s">
        <v>2087</v>
      </c>
    </row>
    <row r="87" spans="1:4" x14ac:dyDescent="0.3">
      <c r="D87" s="72" t="s">
        <v>2088</v>
      </c>
    </row>
    <row r="88" spans="1:4" x14ac:dyDescent="0.3">
      <c r="D88" s="74" t="s">
        <v>2089</v>
      </c>
    </row>
    <row r="89" spans="1:4" x14ac:dyDescent="0.3">
      <c r="D89" s="71" t="s">
        <v>2090</v>
      </c>
    </row>
    <row r="90" spans="1:4" x14ac:dyDescent="0.3">
      <c r="A90" s="53">
        <v>45915.492289108792</v>
      </c>
      <c r="B90" s="23" t="s">
        <v>56</v>
      </c>
      <c r="D90" s="73" t="s">
        <v>2087</v>
      </c>
    </row>
    <row r="91" spans="1:4" x14ac:dyDescent="0.3">
      <c r="D91" s="72" t="s">
        <v>2088</v>
      </c>
    </row>
    <row r="92" spans="1:4" x14ac:dyDescent="0.3">
      <c r="D92" s="74" t="s">
        <v>2089</v>
      </c>
    </row>
    <row r="93" spans="1:4" x14ac:dyDescent="0.3">
      <c r="D93" s="71" t="s">
        <v>2090</v>
      </c>
    </row>
    <row r="94" spans="1:4" x14ac:dyDescent="0.3">
      <c r="A94" s="53">
        <v>45915.572406168983</v>
      </c>
      <c r="B94" s="23" t="s">
        <v>57</v>
      </c>
      <c r="D94" s="73" t="s">
        <v>2087</v>
      </c>
    </row>
    <row r="95" spans="1:4" x14ac:dyDescent="0.3">
      <c r="D95" s="72" t="s">
        <v>2088</v>
      </c>
    </row>
    <row r="96" spans="1:4" x14ac:dyDescent="0.3">
      <c r="D96" s="74" t="s">
        <v>2089</v>
      </c>
    </row>
    <row r="97" spans="1:13" x14ac:dyDescent="0.3">
      <c r="D97" s="71" t="s">
        <v>2090</v>
      </c>
    </row>
    <row r="98" spans="1:13" x14ac:dyDescent="0.3">
      <c r="A98" s="53">
        <v>45916.480977569445</v>
      </c>
      <c r="B98" s="23" t="s">
        <v>58</v>
      </c>
      <c r="D98" s="73" t="s">
        <v>2087</v>
      </c>
    </row>
    <row r="99" spans="1:13" x14ac:dyDescent="0.3">
      <c r="D99" s="72" t="s">
        <v>2088</v>
      </c>
    </row>
    <row r="100" spans="1:13" x14ac:dyDescent="0.3">
      <c r="D100" s="74" t="s">
        <v>2089</v>
      </c>
    </row>
    <row r="101" spans="1:13" x14ac:dyDescent="0.3">
      <c r="D101" s="71" t="s">
        <v>2090</v>
      </c>
    </row>
    <row r="102" spans="1:13" x14ac:dyDescent="0.3">
      <c r="A102" s="53">
        <v>45916.565919652778</v>
      </c>
      <c r="B102" s="23" t="s">
        <v>59</v>
      </c>
      <c r="D102" s="73" t="s">
        <v>2087</v>
      </c>
    </row>
    <row r="103" spans="1:13" x14ac:dyDescent="0.3">
      <c r="D103" s="72" t="s">
        <v>2088</v>
      </c>
    </row>
    <row r="104" spans="1:13" x14ac:dyDescent="0.3">
      <c r="D104" s="74" t="s">
        <v>2089</v>
      </c>
    </row>
    <row r="105" spans="1:13" x14ac:dyDescent="0.3">
      <c r="D105" s="71" t="s">
        <v>2090</v>
      </c>
    </row>
    <row r="106" spans="1:13" x14ac:dyDescent="0.3">
      <c r="A106" s="53">
        <v>45916.622170173607</v>
      </c>
      <c r="B106" s="23" t="s">
        <v>60</v>
      </c>
      <c r="C106">
        <v>26</v>
      </c>
      <c r="D106" s="73" t="s">
        <v>2087</v>
      </c>
      <c r="E106" t="s">
        <v>3164</v>
      </c>
      <c r="F106" t="s">
        <v>3165</v>
      </c>
      <c r="G106" t="s">
        <v>3168</v>
      </c>
      <c r="H106" t="s">
        <v>2105</v>
      </c>
      <c r="I106" t="s">
        <v>3166</v>
      </c>
      <c r="J106" t="s">
        <v>2107</v>
      </c>
      <c r="K106" t="s">
        <v>3167</v>
      </c>
      <c r="L106" t="s">
        <v>2111</v>
      </c>
      <c r="M106" t="s">
        <v>2112</v>
      </c>
    </row>
    <row r="107" spans="1:13" x14ac:dyDescent="0.3">
      <c r="C107">
        <v>27</v>
      </c>
      <c r="D107" s="72" t="s">
        <v>2088</v>
      </c>
    </row>
    <row r="108" spans="1:13" x14ac:dyDescent="0.3">
      <c r="C108">
        <v>28</v>
      </c>
      <c r="D108" s="74" t="s">
        <v>2089</v>
      </c>
      <c r="E108" t="s">
        <v>3164</v>
      </c>
      <c r="F108" t="s">
        <v>3165</v>
      </c>
      <c r="G108" t="s">
        <v>3166</v>
      </c>
      <c r="H108" t="s">
        <v>2105</v>
      </c>
      <c r="I108" t="s">
        <v>2107</v>
      </c>
      <c r="J108" t="s">
        <v>3168</v>
      </c>
      <c r="K108" t="s">
        <v>3167</v>
      </c>
      <c r="L108" t="s">
        <v>2111</v>
      </c>
      <c r="M108" t="s">
        <v>2112</v>
      </c>
    </row>
    <row r="109" spans="1:13" x14ac:dyDescent="0.3">
      <c r="C109">
        <v>29</v>
      </c>
      <c r="D109" s="71" t="s">
        <v>2090</v>
      </c>
    </row>
    <row r="110" spans="1:13" x14ac:dyDescent="0.3">
      <c r="A110" s="53">
        <v>45916.736991331018</v>
      </c>
      <c r="B110" s="23" t="s">
        <v>61</v>
      </c>
      <c r="D110" s="73" t="s">
        <v>2087</v>
      </c>
    </row>
    <row r="111" spans="1:13" x14ac:dyDescent="0.3">
      <c r="D111" s="72" t="s">
        <v>2088</v>
      </c>
    </row>
    <row r="112" spans="1:13" x14ac:dyDescent="0.3">
      <c r="D112" s="74" t="s">
        <v>2089</v>
      </c>
    </row>
    <row r="113" spans="1:4" x14ac:dyDescent="0.3">
      <c r="D113" s="71" t="s">
        <v>2090</v>
      </c>
    </row>
    <row r="114" spans="1:4" x14ac:dyDescent="0.3">
      <c r="A114" s="53">
        <v>45916.796940046297</v>
      </c>
      <c r="B114" s="23" t="s">
        <v>62</v>
      </c>
      <c r="D114" s="73" t="s">
        <v>2087</v>
      </c>
    </row>
    <row r="115" spans="1:4" x14ac:dyDescent="0.3">
      <c r="D115" s="72" t="s">
        <v>2088</v>
      </c>
    </row>
    <row r="116" spans="1:4" x14ac:dyDescent="0.3">
      <c r="D116" s="74" t="s">
        <v>2089</v>
      </c>
    </row>
    <row r="117" spans="1:4" x14ac:dyDescent="0.3">
      <c r="D117" s="71" t="s">
        <v>2090</v>
      </c>
    </row>
    <row r="118" spans="1:4" x14ac:dyDescent="0.3">
      <c r="A118" s="53">
        <v>45917.607987812502</v>
      </c>
      <c r="B118" s="23" t="s">
        <v>63</v>
      </c>
      <c r="D118" s="73" t="s">
        <v>2087</v>
      </c>
    </row>
    <row r="119" spans="1:4" x14ac:dyDescent="0.3">
      <c r="D119" s="72" t="s">
        <v>2088</v>
      </c>
    </row>
    <row r="120" spans="1:4" x14ac:dyDescent="0.3">
      <c r="D120" s="74" t="s">
        <v>2089</v>
      </c>
    </row>
    <row r="121" spans="1:4" x14ac:dyDescent="0.3">
      <c r="D121" s="71" t="s">
        <v>2090</v>
      </c>
    </row>
    <row r="122" spans="1:4" x14ac:dyDescent="0.3">
      <c r="A122" s="53">
        <v>45917.730855567133</v>
      </c>
      <c r="B122" s="23" t="s">
        <v>65</v>
      </c>
      <c r="D122" s="73" t="s">
        <v>2087</v>
      </c>
    </row>
    <row r="123" spans="1:4" x14ac:dyDescent="0.3">
      <c r="D123" s="72" t="s">
        <v>2088</v>
      </c>
    </row>
    <row r="124" spans="1:4" x14ac:dyDescent="0.3">
      <c r="D124" s="74" t="s">
        <v>2089</v>
      </c>
    </row>
    <row r="125" spans="1:4" x14ac:dyDescent="0.3">
      <c r="D125" s="71" t="s">
        <v>2090</v>
      </c>
    </row>
    <row r="126" spans="1:4" x14ac:dyDescent="0.3">
      <c r="A126" s="53">
        <v>45918.561457800926</v>
      </c>
      <c r="B126" s="23" t="s">
        <v>64</v>
      </c>
      <c r="D126" s="73" t="s">
        <v>2087</v>
      </c>
    </row>
    <row r="127" spans="1:4" x14ac:dyDescent="0.3">
      <c r="D127" s="72" t="s">
        <v>2088</v>
      </c>
    </row>
    <row r="128" spans="1:4" x14ac:dyDescent="0.3">
      <c r="D128" s="74" t="s">
        <v>2089</v>
      </c>
    </row>
    <row r="129" spans="4:4" x14ac:dyDescent="0.3">
      <c r="D129" s="71" t="s">
        <v>2090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3EA6C-677A-479C-94F0-C9C65BB730B6}">
  <dimension ref="A1:G2211"/>
  <sheetViews>
    <sheetView workbookViewId="0">
      <selection activeCell="O581" sqref="O581"/>
    </sheetView>
  </sheetViews>
  <sheetFormatPr defaultRowHeight="14.4" x14ac:dyDescent="0.3"/>
  <cols>
    <col min="1" max="1" width="14.33203125" customWidth="1"/>
    <col min="3" max="3" width="12.109375" bestFit="1" customWidth="1"/>
    <col min="4" max="4" width="25.6640625" customWidth="1"/>
  </cols>
  <sheetData>
    <row r="1" spans="1:6" x14ac:dyDescent="0.3">
      <c r="B1" t="s">
        <v>541</v>
      </c>
      <c r="C1" t="s">
        <v>542</v>
      </c>
      <c r="D1" t="s">
        <v>543</v>
      </c>
      <c r="E1" t="s">
        <v>544</v>
      </c>
      <c r="F1" t="s">
        <v>545</v>
      </c>
    </row>
    <row r="2" spans="1:6" ht="36" x14ac:dyDescent="0.35">
      <c r="A2" s="61" t="s">
        <v>626</v>
      </c>
      <c r="B2" s="64" t="s">
        <v>54</v>
      </c>
      <c r="C2" s="64">
        <v>1754988223800</v>
      </c>
      <c r="D2" s="64" t="s">
        <v>415</v>
      </c>
      <c r="E2" s="64" t="s">
        <v>416</v>
      </c>
      <c r="F2" s="64" t="s">
        <v>417</v>
      </c>
    </row>
    <row r="3" spans="1:6" x14ac:dyDescent="0.3">
      <c r="B3" s="64" t="s">
        <v>54</v>
      </c>
      <c r="C3" s="64">
        <v>1754988224306</v>
      </c>
      <c r="D3" s="64" t="s">
        <v>418</v>
      </c>
      <c r="E3" s="64" t="s">
        <v>419</v>
      </c>
      <c r="F3" s="64" t="s">
        <v>420</v>
      </c>
    </row>
    <row r="4" spans="1:6" x14ac:dyDescent="0.3">
      <c r="B4" s="55" t="s">
        <v>54</v>
      </c>
      <c r="C4" s="55">
        <v>1754988230069</v>
      </c>
      <c r="D4" s="55" t="s">
        <v>388</v>
      </c>
      <c r="E4" s="55" t="s">
        <v>389</v>
      </c>
      <c r="F4" s="55" t="s">
        <v>390</v>
      </c>
    </row>
    <row r="5" spans="1:6" x14ac:dyDescent="0.3">
      <c r="B5" s="55" t="s">
        <v>54</v>
      </c>
      <c r="C5" s="55">
        <v>1754988230828</v>
      </c>
      <c r="D5" s="55" t="s">
        <v>391</v>
      </c>
      <c r="E5" s="55" t="s">
        <v>389</v>
      </c>
      <c r="F5" s="55" t="s">
        <v>392</v>
      </c>
    </row>
    <row r="6" spans="1:6" x14ac:dyDescent="0.3">
      <c r="B6" s="55" t="s">
        <v>54</v>
      </c>
      <c r="C6" s="55">
        <v>1754988238321</v>
      </c>
      <c r="D6" s="55" t="s">
        <v>393</v>
      </c>
      <c r="E6" s="55" t="s">
        <v>389</v>
      </c>
      <c r="F6" s="55" t="s">
        <v>394</v>
      </c>
    </row>
    <row r="7" spans="1:6" x14ac:dyDescent="0.3">
      <c r="B7" s="55" t="s">
        <v>54</v>
      </c>
      <c r="C7" s="55">
        <v>1754988242984</v>
      </c>
      <c r="D7" s="55" t="s">
        <v>395</v>
      </c>
      <c r="E7" s="55" t="s">
        <v>389</v>
      </c>
      <c r="F7" s="55" t="s">
        <v>396</v>
      </c>
    </row>
    <row r="8" spans="1:6" x14ac:dyDescent="0.3">
      <c r="B8" s="55" t="s">
        <v>54</v>
      </c>
      <c r="C8" s="55">
        <v>1754988244183</v>
      </c>
      <c r="D8" s="55" t="s">
        <v>397</v>
      </c>
      <c r="E8" s="55" t="s">
        <v>389</v>
      </c>
      <c r="F8" s="55" t="s">
        <v>398</v>
      </c>
    </row>
    <row r="9" spans="1:6" x14ac:dyDescent="0.3">
      <c r="B9" s="55" t="s">
        <v>54</v>
      </c>
      <c r="C9" s="55">
        <v>1754988245248</v>
      </c>
      <c r="D9" s="55" t="s">
        <v>399</v>
      </c>
      <c r="E9" s="55" t="s">
        <v>389</v>
      </c>
      <c r="F9" s="55" t="s">
        <v>400</v>
      </c>
    </row>
    <row r="10" spans="1:6" x14ac:dyDescent="0.3">
      <c r="B10" s="55" t="s">
        <v>54</v>
      </c>
      <c r="C10" s="55">
        <v>1754988248467</v>
      </c>
      <c r="D10" s="55" t="s">
        <v>401</v>
      </c>
      <c r="E10" s="55" t="s">
        <v>389</v>
      </c>
      <c r="F10" s="55" t="s">
        <v>402</v>
      </c>
    </row>
    <row r="11" spans="1:6" x14ac:dyDescent="0.3">
      <c r="B11" s="55" t="s">
        <v>54</v>
      </c>
      <c r="C11" s="55">
        <v>1754988249306</v>
      </c>
      <c r="D11" s="55" t="s">
        <v>403</v>
      </c>
      <c r="E11" s="55" t="s">
        <v>389</v>
      </c>
      <c r="F11" s="55" t="s">
        <v>404</v>
      </c>
    </row>
    <row r="12" spans="1:6" x14ac:dyDescent="0.3">
      <c r="B12" s="55" t="s">
        <v>54</v>
      </c>
      <c r="C12" s="55">
        <v>1754988251585</v>
      </c>
      <c r="D12" s="55" t="s">
        <v>405</v>
      </c>
      <c r="E12" s="55" t="s">
        <v>389</v>
      </c>
      <c r="F12" s="55" t="s">
        <v>406</v>
      </c>
    </row>
    <row r="13" spans="1:6" x14ac:dyDescent="0.3">
      <c r="B13" s="55" t="s">
        <v>54</v>
      </c>
      <c r="C13" s="55">
        <v>1754988253242</v>
      </c>
      <c r="D13" s="55" t="s">
        <v>407</v>
      </c>
      <c r="E13" s="55" t="s">
        <v>389</v>
      </c>
      <c r="F13" s="55" t="s">
        <v>408</v>
      </c>
    </row>
    <row r="14" spans="1:6" x14ac:dyDescent="0.3">
      <c r="B14" s="55" t="s">
        <v>54</v>
      </c>
      <c r="C14" s="55">
        <v>1754988265889</v>
      </c>
      <c r="D14" s="55" t="s">
        <v>409</v>
      </c>
      <c r="E14" s="55" t="s">
        <v>389</v>
      </c>
      <c r="F14" s="55" t="s">
        <v>410</v>
      </c>
    </row>
    <row r="15" spans="1:6" x14ac:dyDescent="0.3">
      <c r="B15" s="55" t="s">
        <v>54</v>
      </c>
      <c r="C15" s="55">
        <v>1754988274010</v>
      </c>
      <c r="D15" s="55" t="s">
        <v>411</v>
      </c>
      <c r="E15" s="55" t="s">
        <v>389</v>
      </c>
      <c r="F15" s="55" t="s">
        <v>412</v>
      </c>
    </row>
    <row r="16" spans="1:6" x14ac:dyDescent="0.3">
      <c r="B16" s="55" t="s">
        <v>54</v>
      </c>
      <c r="C16" s="55">
        <v>1754988276016</v>
      </c>
      <c r="D16" s="55" t="s">
        <v>413</v>
      </c>
      <c r="E16" s="55" t="s">
        <v>389</v>
      </c>
      <c r="F16" s="55" t="s">
        <v>414</v>
      </c>
    </row>
    <row r="17" spans="2:6" x14ac:dyDescent="0.3">
      <c r="B17" s="55" t="s">
        <v>54</v>
      </c>
      <c r="C17" s="55">
        <v>1754988298082</v>
      </c>
      <c r="D17" s="55" t="s">
        <v>421</v>
      </c>
      <c r="E17" s="55" t="s">
        <v>422</v>
      </c>
      <c r="F17" s="55" t="s">
        <v>420</v>
      </c>
    </row>
    <row r="18" spans="2:6" x14ac:dyDescent="0.3">
      <c r="B18" s="55" t="s">
        <v>54</v>
      </c>
      <c r="C18" s="55">
        <v>1754988305331</v>
      </c>
      <c r="D18" s="55" t="s">
        <v>423</v>
      </c>
      <c r="E18" s="55" t="s">
        <v>424</v>
      </c>
      <c r="F18" s="55" t="s">
        <v>425</v>
      </c>
    </row>
    <row r="19" spans="2:6" x14ac:dyDescent="0.3">
      <c r="B19" s="55" t="s">
        <v>426</v>
      </c>
      <c r="C19" s="55">
        <v>1754988315737</v>
      </c>
      <c r="D19" s="55" t="s">
        <v>427</v>
      </c>
      <c r="E19" s="55" t="s">
        <v>428</v>
      </c>
      <c r="F19" s="55" t="s">
        <v>429</v>
      </c>
    </row>
    <row r="20" spans="2:6" x14ac:dyDescent="0.3">
      <c r="B20" s="55" t="s">
        <v>426</v>
      </c>
      <c r="C20" s="55">
        <v>1754988333435</v>
      </c>
      <c r="D20" s="55" t="s">
        <v>430</v>
      </c>
      <c r="E20" s="55" t="s">
        <v>428</v>
      </c>
      <c r="F20" s="55" t="s">
        <v>431</v>
      </c>
    </row>
    <row r="21" spans="2:6" x14ac:dyDescent="0.3">
      <c r="B21" s="55" t="s">
        <v>54</v>
      </c>
      <c r="C21" s="55">
        <v>1754988335196</v>
      </c>
      <c r="D21" s="55" t="s">
        <v>432</v>
      </c>
      <c r="E21" s="55" t="s">
        <v>424</v>
      </c>
      <c r="F21" s="55" t="s">
        <v>433</v>
      </c>
    </row>
    <row r="22" spans="2:6" x14ac:dyDescent="0.3">
      <c r="B22" s="55" t="s">
        <v>426</v>
      </c>
      <c r="C22" s="55">
        <v>1754988348901</v>
      </c>
      <c r="D22" s="55" t="s">
        <v>434</v>
      </c>
      <c r="E22" s="55" t="s">
        <v>428</v>
      </c>
      <c r="F22" s="55" t="s">
        <v>435</v>
      </c>
    </row>
    <row r="23" spans="2:6" x14ac:dyDescent="0.3">
      <c r="B23" s="55" t="s">
        <v>426</v>
      </c>
      <c r="C23" s="55">
        <v>1754988363732</v>
      </c>
      <c r="D23" s="55" t="s">
        <v>436</v>
      </c>
      <c r="E23" s="55" t="s">
        <v>428</v>
      </c>
      <c r="F23" s="55" t="s">
        <v>437</v>
      </c>
    </row>
    <row r="24" spans="2:6" x14ac:dyDescent="0.3">
      <c r="B24" s="55" t="s">
        <v>426</v>
      </c>
      <c r="C24" s="55">
        <v>1754988380031</v>
      </c>
      <c r="D24" s="55" t="s">
        <v>438</v>
      </c>
      <c r="E24" s="55" t="s">
        <v>428</v>
      </c>
      <c r="F24" s="55" t="s">
        <v>439</v>
      </c>
    </row>
    <row r="25" spans="2:6" x14ac:dyDescent="0.3">
      <c r="B25" s="55" t="s">
        <v>54</v>
      </c>
      <c r="C25" s="55">
        <v>1754988389978</v>
      </c>
      <c r="D25" s="55" t="s">
        <v>440</v>
      </c>
      <c r="E25" s="55" t="s">
        <v>424</v>
      </c>
      <c r="F25" s="55" t="s">
        <v>441</v>
      </c>
    </row>
    <row r="26" spans="2:6" x14ac:dyDescent="0.3">
      <c r="B26" s="55" t="s">
        <v>54</v>
      </c>
      <c r="C26" s="55">
        <v>1754988391600</v>
      </c>
      <c r="D26" s="55" t="s">
        <v>442</v>
      </c>
      <c r="E26" s="55" t="s">
        <v>424</v>
      </c>
      <c r="F26" s="55" t="s">
        <v>443</v>
      </c>
    </row>
    <row r="27" spans="2:6" x14ac:dyDescent="0.3">
      <c r="B27" s="55" t="s">
        <v>54</v>
      </c>
      <c r="C27" s="55">
        <v>1754988392182</v>
      </c>
      <c r="D27" s="55" t="s">
        <v>444</v>
      </c>
      <c r="E27" s="55" t="s">
        <v>424</v>
      </c>
      <c r="F27" s="55" t="s">
        <v>445</v>
      </c>
    </row>
    <row r="28" spans="2:6" x14ac:dyDescent="0.3">
      <c r="B28" s="55" t="s">
        <v>426</v>
      </c>
      <c r="C28" s="55">
        <v>1754988395499</v>
      </c>
      <c r="D28" s="55" t="s">
        <v>446</v>
      </c>
      <c r="E28" s="55" t="s">
        <v>428</v>
      </c>
      <c r="F28" s="55" t="s">
        <v>447</v>
      </c>
    </row>
    <row r="29" spans="2:6" x14ac:dyDescent="0.3">
      <c r="B29" s="55" t="s">
        <v>54</v>
      </c>
      <c r="C29" s="55">
        <v>1754988399779</v>
      </c>
      <c r="D29" s="55" t="s">
        <v>448</v>
      </c>
      <c r="E29" s="55" t="s">
        <v>424</v>
      </c>
      <c r="F29" s="55" t="s">
        <v>449</v>
      </c>
    </row>
    <row r="30" spans="2:6" x14ac:dyDescent="0.3">
      <c r="B30" s="55" t="s">
        <v>54</v>
      </c>
      <c r="C30" s="55">
        <v>1754988404919</v>
      </c>
      <c r="D30" s="55" t="s">
        <v>450</v>
      </c>
      <c r="E30" s="55" t="s">
        <v>424</v>
      </c>
      <c r="F30" s="55" t="s">
        <v>451</v>
      </c>
    </row>
    <row r="31" spans="2:6" x14ac:dyDescent="0.3">
      <c r="B31" s="55" t="s">
        <v>426</v>
      </c>
      <c r="C31" s="55">
        <v>1754988412473</v>
      </c>
      <c r="D31" s="55" t="s">
        <v>452</v>
      </c>
      <c r="E31" s="55" t="s">
        <v>428</v>
      </c>
      <c r="F31" s="55" t="s">
        <v>453</v>
      </c>
    </row>
    <row r="32" spans="2:6" x14ac:dyDescent="0.3">
      <c r="B32" s="55" t="s">
        <v>426</v>
      </c>
      <c r="C32" s="55">
        <v>1754988433866</v>
      </c>
      <c r="D32" s="55" t="s">
        <v>454</v>
      </c>
      <c r="E32" s="55" t="s">
        <v>428</v>
      </c>
      <c r="F32" s="55" t="s">
        <v>455</v>
      </c>
    </row>
    <row r="33" spans="2:6" x14ac:dyDescent="0.3">
      <c r="B33" s="55" t="s">
        <v>54</v>
      </c>
      <c r="C33" s="55">
        <v>1754988447736</v>
      </c>
      <c r="D33" s="55" t="s">
        <v>456</v>
      </c>
      <c r="E33" s="55" t="s">
        <v>424</v>
      </c>
      <c r="F33" s="55" t="s">
        <v>457</v>
      </c>
    </row>
    <row r="34" spans="2:6" x14ac:dyDescent="0.3">
      <c r="B34" s="55" t="s">
        <v>54</v>
      </c>
      <c r="C34" s="55">
        <v>1754988448870</v>
      </c>
      <c r="D34" s="55" t="s">
        <v>458</v>
      </c>
      <c r="E34" s="55" t="s">
        <v>424</v>
      </c>
      <c r="F34" s="55" t="s">
        <v>459</v>
      </c>
    </row>
    <row r="35" spans="2:6" x14ac:dyDescent="0.3">
      <c r="B35" s="55" t="s">
        <v>54</v>
      </c>
      <c r="C35" s="55">
        <v>1754988450843</v>
      </c>
      <c r="D35" s="55" t="s">
        <v>460</v>
      </c>
      <c r="E35" s="55" t="s">
        <v>424</v>
      </c>
      <c r="F35" s="55" t="s">
        <v>461</v>
      </c>
    </row>
    <row r="36" spans="2:6" x14ac:dyDescent="0.3">
      <c r="B36" s="55" t="s">
        <v>54</v>
      </c>
      <c r="C36" s="55">
        <v>1754988453090</v>
      </c>
      <c r="D36" s="55" t="s">
        <v>462</v>
      </c>
      <c r="E36" s="55" t="s">
        <v>463</v>
      </c>
      <c r="F36" s="55" t="s">
        <v>464</v>
      </c>
    </row>
    <row r="37" spans="2:6" x14ac:dyDescent="0.3">
      <c r="B37" s="59" t="s">
        <v>55</v>
      </c>
      <c r="C37" s="59">
        <v>1754988467648</v>
      </c>
      <c r="D37" s="59" t="s">
        <v>465</v>
      </c>
      <c r="E37" s="59" t="s">
        <v>416</v>
      </c>
      <c r="F37" s="59" t="s">
        <v>466</v>
      </c>
    </row>
    <row r="38" spans="2:6" x14ac:dyDescent="0.3">
      <c r="B38" s="59" t="s">
        <v>55</v>
      </c>
      <c r="C38" s="59">
        <v>1754988467720</v>
      </c>
      <c r="D38" s="59" t="s">
        <v>467</v>
      </c>
      <c r="E38" s="59" t="s">
        <v>468</v>
      </c>
      <c r="F38" s="59" t="s">
        <v>469</v>
      </c>
    </row>
    <row r="39" spans="2:6" x14ac:dyDescent="0.3">
      <c r="B39" s="59" t="s">
        <v>55</v>
      </c>
      <c r="C39" s="59">
        <v>1754988482197</v>
      </c>
      <c r="D39" s="59" t="s">
        <v>470</v>
      </c>
      <c r="E39" s="59" t="s">
        <v>419</v>
      </c>
      <c r="F39" s="59" t="s">
        <v>420</v>
      </c>
    </row>
    <row r="40" spans="2:6" x14ac:dyDescent="0.3">
      <c r="B40" s="59" t="s">
        <v>55</v>
      </c>
      <c r="C40" s="59">
        <v>1754988522955</v>
      </c>
      <c r="D40" s="59" t="s">
        <v>471</v>
      </c>
      <c r="E40" s="59" t="s">
        <v>422</v>
      </c>
      <c r="F40" s="59" t="s">
        <v>420</v>
      </c>
    </row>
    <row r="41" spans="2:6" x14ac:dyDescent="0.3">
      <c r="B41" s="59" t="s">
        <v>426</v>
      </c>
      <c r="C41" s="59">
        <v>1754988542754</v>
      </c>
      <c r="D41" s="59" t="s">
        <v>472</v>
      </c>
      <c r="E41" s="59" t="s">
        <v>428</v>
      </c>
      <c r="F41" s="59" t="s">
        <v>435</v>
      </c>
    </row>
    <row r="42" spans="2:6" x14ac:dyDescent="0.3">
      <c r="B42" s="59" t="s">
        <v>426</v>
      </c>
      <c r="C42" s="59">
        <v>1754988561868</v>
      </c>
      <c r="D42" s="59" t="s">
        <v>473</v>
      </c>
      <c r="E42" s="59" t="s">
        <v>428</v>
      </c>
      <c r="F42" s="59" t="s">
        <v>437</v>
      </c>
    </row>
    <row r="43" spans="2:6" x14ac:dyDescent="0.3">
      <c r="B43" s="59" t="s">
        <v>426</v>
      </c>
      <c r="C43" s="59">
        <v>1754988580263</v>
      </c>
      <c r="D43" s="59" t="s">
        <v>474</v>
      </c>
      <c r="E43" s="59" t="s">
        <v>428</v>
      </c>
      <c r="F43" s="59" t="s">
        <v>439</v>
      </c>
    </row>
    <row r="44" spans="2:6" x14ac:dyDescent="0.3">
      <c r="B44" s="59" t="s">
        <v>55</v>
      </c>
      <c r="C44" s="59">
        <v>1754988587922</v>
      </c>
      <c r="D44" s="59" t="s">
        <v>475</v>
      </c>
      <c r="E44" s="59" t="s">
        <v>424</v>
      </c>
      <c r="F44" s="59" t="s">
        <v>441</v>
      </c>
    </row>
    <row r="45" spans="2:6" x14ac:dyDescent="0.3">
      <c r="B45" s="59" t="s">
        <v>55</v>
      </c>
      <c r="C45" s="59">
        <v>1754988595236</v>
      </c>
      <c r="D45" s="59" t="s">
        <v>476</v>
      </c>
      <c r="E45" s="59" t="s">
        <v>424</v>
      </c>
      <c r="F45" s="59" t="s">
        <v>425</v>
      </c>
    </row>
    <row r="46" spans="2:6" x14ac:dyDescent="0.3">
      <c r="B46" s="59" t="s">
        <v>426</v>
      </c>
      <c r="C46" s="59">
        <v>1754988601549</v>
      </c>
      <c r="D46" s="59" t="s">
        <v>477</v>
      </c>
      <c r="E46" s="59" t="s">
        <v>428</v>
      </c>
      <c r="F46" s="59" t="s">
        <v>455</v>
      </c>
    </row>
    <row r="47" spans="2:6" x14ac:dyDescent="0.3">
      <c r="B47" s="59" t="s">
        <v>426</v>
      </c>
      <c r="C47" s="59">
        <v>1754988616994</v>
      </c>
      <c r="D47" s="59" t="s">
        <v>478</v>
      </c>
      <c r="E47" s="59" t="s">
        <v>428</v>
      </c>
      <c r="F47" s="59" t="s">
        <v>429</v>
      </c>
    </row>
    <row r="48" spans="2:6" x14ac:dyDescent="0.3">
      <c r="B48" s="59" t="s">
        <v>426</v>
      </c>
      <c r="C48" s="59">
        <v>1754988631714</v>
      </c>
      <c r="D48" s="59" t="s">
        <v>479</v>
      </c>
      <c r="E48" s="59" t="s">
        <v>428</v>
      </c>
      <c r="F48" s="59" t="s">
        <v>431</v>
      </c>
    </row>
    <row r="49" spans="1:6" x14ac:dyDescent="0.3">
      <c r="B49" s="59" t="s">
        <v>55</v>
      </c>
      <c r="C49" s="59">
        <v>1754988634408</v>
      </c>
      <c r="D49" s="59" t="s">
        <v>480</v>
      </c>
      <c r="E49" s="59" t="s">
        <v>424</v>
      </c>
      <c r="F49" s="59" t="s">
        <v>433</v>
      </c>
    </row>
    <row r="50" spans="1:6" x14ac:dyDescent="0.3">
      <c r="B50" s="59" t="s">
        <v>55</v>
      </c>
      <c r="C50" s="59">
        <v>1754988637003</v>
      </c>
      <c r="D50" s="59" t="s">
        <v>481</v>
      </c>
      <c r="E50" s="59" t="s">
        <v>424</v>
      </c>
      <c r="F50" s="59" t="s">
        <v>443</v>
      </c>
    </row>
    <row r="51" spans="1:6" x14ac:dyDescent="0.3">
      <c r="B51" s="59" t="s">
        <v>55</v>
      </c>
      <c r="C51" s="59">
        <v>1754988637641</v>
      </c>
      <c r="D51" s="59" t="s">
        <v>482</v>
      </c>
      <c r="E51" s="59" t="s">
        <v>424</v>
      </c>
      <c r="F51" s="59" t="s">
        <v>445</v>
      </c>
    </row>
    <row r="52" spans="1:6" x14ac:dyDescent="0.3">
      <c r="B52" s="59" t="s">
        <v>426</v>
      </c>
      <c r="C52" s="59">
        <v>1754988645765</v>
      </c>
      <c r="D52" s="59" t="s">
        <v>483</v>
      </c>
      <c r="E52" s="59" t="s">
        <v>428</v>
      </c>
      <c r="F52" s="59" t="s">
        <v>453</v>
      </c>
    </row>
    <row r="53" spans="1:6" x14ac:dyDescent="0.3">
      <c r="B53" s="59" t="s">
        <v>426</v>
      </c>
      <c r="C53" s="59">
        <v>1754988660501</v>
      </c>
      <c r="D53" s="59" t="s">
        <v>484</v>
      </c>
      <c r="E53" s="59" t="s">
        <v>428</v>
      </c>
      <c r="F53" s="59" t="s">
        <v>447</v>
      </c>
    </row>
    <row r="54" spans="1:6" x14ac:dyDescent="0.3">
      <c r="B54" s="59" t="s">
        <v>55</v>
      </c>
      <c r="C54" s="59">
        <v>1754988668115</v>
      </c>
      <c r="D54" s="59" t="s">
        <v>485</v>
      </c>
      <c r="E54" s="59" t="s">
        <v>424</v>
      </c>
      <c r="F54" s="59" t="s">
        <v>457</v>
      </c>
    </row>
    <row r="55" spans="1:6" x14ac:dyDescent="0.3">
      <c r="B55" s="59" t="s">
        <v>55</v>
      </c>
      <c r="C55" s="59">
        <v>1754988669924</v>
      </c>
      <c r="D55" s="59" t="s">
        <v>486</v>
      </c>
      <c r="E55" s="59" t="s">
        <v>424</v>
      </c>
      <c r="F55" s="59" t="s">
        <v>459</v>
      </c>
    </row>
    <row r="56" spans="1:6" x14ac:dyDescent="0.3">
      <c r="B56" s="59" t="s">
        <v>55</v>
      </c>
      <c r="C56" s="59">
        <v>1754988696947</v>
      </c>
      <c r="D56" s="59" t="s">
        <v>487</v>
      </c>
      <c r="E56" s="59" t="s">
        <v>424</v>
      </c>
      <c r="F56" s="59" t="s">
        <v>461</v>
      </c>
    </row>
    <row r="57" spans="1:6" x14ac:dyDescent="0.3">
      <c r="B57" s="59" t="s">
        <v>55</v>
      </c>
      <c r="C57" s="59">
        <v>1754988698577</v>
      </c>
      <c r="D57" s="59" t="s">
        <v>488</v>
      </c>
      <c r="E57" s="59" t="s">
        <v>424</v>
      </c>
      <c r="F57" s="59" t="s">
        <v>449</v>
      </c>
    </row>
    <row r="58" spans="1:6" x14ac:dyDescent="0.3">
      <c r="B58" s="59" t="s">
        <v>55</v>
      </c>
      <c r="C58" s="59">
        <v>1754988699201</v>
      </c>
      <c r="D58" s="59" t="s">
        <v>489</v>
      </c>
      <c r="E58" s="59" t="s">
        <v>424</v>
      </c>
      <c r="F58" s="59" t="s">
        <v>451</v>
      </c>
    </row>
    <row r="59" spans="1:6" x14ac:dyDescent="0.3">
      <c r="B59" s="59" t="s">
        <v>55</v>
      </c>
      <c r="C59" s="59">
        <v>1754988699993</v>
      </c>
      <c r="D59" s="59" t="s">
        <v>490</v>
      </c>
      <c r="E59" s="59" t="s">
        <v>463</v>
      </c>
      <c r="F59" s="59" t="s">
        <v>464</v>
      </c>
    </row>
    <row r="60" spans="1:6" ht="18" x14ac:dyDescent="0.35">
      <c r="A60" s="61" t="s">
        <v>775</v>
      </c>
      <c r="B60" s="63" t="s">
        <v>738</v>
      </c>
      <c r="C60" s="63">
        <v>1755003631524</v>
      </c>
      <c r="D60" s="63" t="s">
        <v>739</v>
      </c>
      <c r="E60" s="63" t="s">
        <v>416</v>
      </c>
      <c r="F60" s="63" t="s">
        <v>417</v>
      </c>
    </row>
    <row r="61" spans="1:6" x14ac:dyDescent="0.3">
      <c r="B61" s="63" t="s">
        <v>738</v>
      </c>
      <c r="C61" s="63">
        <v>1755003645753</v>
      </c>
      <c r="D61" s="63" t="s">
        <v>740</v>
      </c>
      <c r="E61" s="63" t="s">
        <v>419</v>
      </c>
      <c r="F61" s="63" t="s">
        <v>420</v>
      </c>
    </row>
    <row r="62" spans="1:6" x14ac:dyDescent="0.3">
      <c r="B62" s="63" t="s">
        <v>738</v>
      </c>
      <c r="C62" s="63">
        <v>1755003650398</v>
      </c>
      <c r="D62" s="63" t="s">
        <v>741</v>
      </c>
      <c r="E62" s="63" t="s">
        <v>389</v>
      </c>
      <c r="F62" s="63" t="s">
        <v>390</v>
      </c>
    </row>
    <row r="63" spans="1:6" x14ac:dyDescent="0.3">
      <c r="B63" s="63" t="s">
        <v>738</v>
      </c>
      <c r="C63" s="63">
        <v>1755003651602</v>
      </c>
      <c r="D63" s="63" t="s">
        <v>742</v>
      </c>
      <c r="E63" s="63" t="s">
        <v>389</v>
      </c>
      <c r="F63" s="63" t="s">
        <v>392</v>
      </c>
    </row>
    <row r="64" spans="1:6" x14ac:dyDescent="0.3">
      <c r="B64" s="63" t="s">
        <v>738</v>
      </c>
      <c r="C64" s="63">
        <v>1755003659976</v>
      </c>
      <c r="D64" s="63" t="s">
        <v>743</v>
      </c>
      <c r="E64" s="63" t="s">
        <v>389</v>
      </c>
      <c r="F64" s="63" t="s">
        <v>508</v>
      </c>
    </row>
    <row r="65" spans="2:6" x14ac:dyDescent="0.3">
      <c r="B65" s="63" t="s">
        <v>738</v>
      </c>
      <c r="C65" s="63">
        <v>1755003660876</v>
      </c>
      <c r="D65" s="63" t="s">
        <v>744</v>
      </c>
      <c r="E65" s="63" t="s">
        <v>389</v>
      </c>
      <c r="F65" s="63" t="s">
        <v>660</v>
      </c>
    </row>
    <row r="66" spans="2:6" x14ac:dyDescent="0.3">
      <c r="B66" s="63" t="s">
        <v>738</v>
      </c>
      <c r="C66" s="63">
        <v>1755003750740</v>
      </c>
      <c r="D66" s="63" t="s">
        <v>745</v>
      </c>
      <c r="E66" s="63" t="s">
        <v>389</v>
      </c>
      <c r="F66" s="63" t="s">
        <v>746</v>
      </c>
    </row>
    <row r="67" spans="2:6" x14ac:dyDescent="0.3">
      <c r="B67" s="63" t="s">
        <v>738</v>
      </c>
      <c r="C67" s="63">
        <v>1755003751811</v>
      </c>
      <c r="D67" s="63" t="s">
        <v>747</v>
      </c>
      <c r="E67" s="63" t="s">
        <v>389</v>
      </c>
      <c r="F67" s="63" t="s">
        <v>398</v>
      </c>
    </row>
    <row r="68" spans="2:6" x14ac:dyDescent="0.3">
      <c r="B68" s="63" t="s">
        <v>738</v>
      </c>
      <c r="C68" s="63">
        <v>1755003753123</v>
      </c>
      <c r="D68" s="63" t="s">
        <v>748</v>
      </c>
      <c r="E68" s="63" t="s">
        <v>389</v>
      </c>
      <c r="F68" s="63" t="s">
        <v>502</v>
      </c>
    </row>
    <row r="69" spans="2:6" x14ac:dyDescent="0.3">
      <c r="B69" s="63" t="s">
        <v>738</v>
      </c>
      <c r="C69" s="63">
        <v>1755003753963</v>
      </c>
      <c r="D69" s="63" t="s">
        <v>749</v>
      </c>
      <c r="E69" s="63" t="s">
        <v>389</v>
      </c>
      <c r="F69" s="63" t="s">
        <v>400</v>
      </c>
    </row>
    <row r="70" spans="2:6" x14ac:dyDescent="0.3">
      <c r="B70" s="63" t="s">
        <v>738</v>
      </c>
      <c r="C70" s="63">
        <v>1755003761569</v>
      </c>
      <c r="D70" s="63" t="s">
        <v>750</v>
      </c>
      <c r="E70" s="63" t="s">
        <v>389</v>
      </c>
      <c r="F70" s="63" t="s">
        <v>495</v>
      </c>
    </row>
    <row r="71" spans="2:6" x14ac:dyDescent="0.3">
      <c r="B71" s="63" t="s">
        <v>738</v>
      </c>
      <c r="C71" s="63">
        <v>1755003763055</v>
      </c>
      <c r="D71" s="63" t="s">
        <v>751</v>
      </c>
      <c r="E71" s="63" t="s">
        <v>389</v>
      </c>
      <c r="F71" s="63" t="s">
        <v>410</v>
      </c>
    </row>
    <row r="72" spans="2:6" x14ac:dyDescent="0.3">
      <c r="B72" s="63" t="s">
        <v>738</v>
      </c>
      <c r="C72" s="63">
        <v>1755003769142</v>
      </c>
      <c r="D72" s="63" t="s">
        <v>752</v>
      </c>
      <c r="E72" s="63" t="s">
        <v>389</v>
      </c>
      <c r="F72" s="63" t="s">
        <v>414</v>
      </c>
    </row>
    <row r="73" spans="2:6" x14ac:dyDescent="0.3">
      <c r="B73" s="63" t="s">
        <v>738</v>
      </c>
      <c r="C73" s="63">
        <v>1755003777022</v>
      </c>
      <c r="D73" s="63" t="s">
        <v>753</v>
      </c>
      <c r="E73" s="63" t="s">
        <v>389</v>
      </c>
      <c r="F73" s="63" t="s">
        <v>511</v>
      </c>
    </row>
    <row r="74" spans="2:6" x14ac:dyDescent="0.3">
      <c r="B74" s="63" t="s">
        <v>738</v>
      </c>
      <c r="C74" s="63">
        <v>1755003780662</v>
      </c>
      <c r="D74" s="63" t="s">
        <v>754</v>
      </c>
      <c r="E74" s="63" t="s">
        <v>389</v>
      </c>
      <c r="F74" s="63" t="s">
        <v>408</v>
      </c>
    </row>
    <row r="75" spans="2:6" x14ac:dyDescent="0.3">
      <c r="B75" s="63" t="s">
        <v>738</v>
      </c>
      <c r="C75" s="63">
        <v>1755003784053</v>
      </c>
      <c r="D75" s="63" t="s">
        <v>755</v>
      </c>
      <c r="E75" s="63" t="s">
        <v>389</v>
      </c>
      <c r="F75" s="63" t="s">
        <v>756</v>
      </c>
    </row>
    <row r="76" spans="2:6" x14ac:dyDescent="0.3">
      <c r="B76" s="63" t="s">
        <v>738</v>
      </c>
      <c r="C76" s="63">
        <v>1755003785883</v>
      </c>
      <c r="D76" s="63" t="s">
        <v>757</v>
      </c>
      <c r="E76" s="63" t="s">
        <v>389</v>
      </c>
      <c r="F76" s="63" t="s">
        <v>581</v>
      </c>
    </row>
    <row r="77" spans="2:6" x14ac:dyDescent="0.3">
      <c r="B77" s="63" t="s">
        <v>738</v>
      </c>
      <c r="C77" s="63">
        <v>1755003792688</v>
      </c>
      <c r="D77" s="63" t="s">
        <v>758</v>
      </c>
      <c r="E77" s="63" t="s">
        <v>422</v>
      </c>
      <c r="F77" s="63" t="s">
        <v>420</v>
      </c>
    </row>
    <row r="78" spans="2:6" x14ac:dyDescent="0.3">
      <c r="B78" s="63" t="s">
        <v>738</v>
      </c>
      <c r="C78" s="63">
        <v>1755003800691</v>
      </c>
      <c r="D78" s="63" t="s">
        <v>759</v>
      </c>
      <c r="E78" s="63" t="s">
        <v>424</v>
      </c>
      <c r="F78" s="63" t="s">
        <v>549</v>
      </c>
    </row>
    <row r="79" spans="2:6" x14ac:dyDescent="0.3">
      <c r="B79" s="63" t="s">
        <v>426</v>
      </c>
      <c r="C79" s="63">
        <v>1755003815377</v>
      </c>
      <c r="D79" s="63" t="s">
        <v>760</v>
      </c>
      <c r="E79" s="63" t="s">
        <v>428</v>
      </c>
      <c r="F79" s="63" t="s">
        <v>437</v>
      </c>
    </row>
    <row r="80" spans="2:6" x14ac:dyDescent="0.3">
      <c r="B80" s="63" t="s">
        <v>426</v>
      </c>
      <c r="C80" s="63">
        <v>1755003831565</v>
      </c>
      <c r="D80" s="63" t="s">
        <v>761</v>
      </c>
      <c r="E80" s="63" t="s">
        <v>428</v>
      </c>
      <c r="F80" s="63" t="s">
        <v>439</v>
      </c>
    </row>
    <row r="81" spans="2:6" x14ac:dyDescent="0.3">
      <c r="B81" s="63" t="s">
        <v>426</v>
      </c>
      <c r="C81" s="63">
        <v>1755003849139</v>
      </c>
      <c r="D81" s="63" t="s">
        <v>762</v>
      </c>
      <c r="E81" s="63" t="s">
        <v>428</v>
      </c>
      <c r="F81" s="63" t="s">
        <v>429</v>
      </c>
    </row>
    <row r="82" spans="2:6" x14ac:dyDescent="0.3">
      <c r="B82" s="63" t="s">
        <v>426</v>
      </c>
      <c r="C82" s="63">
        <v>1755003866781</v>
      </c>
      <c r="D82" s="63" t="s">
        <v>763</v>
      </c>
      <c r="E82" s="63" t="s">
        <v>428</v>
      </c>
      <c r="F82" s="63" t="s">
        <v>431</v>
      </c>
    </row>
    <row r="83" spans="2:6" x14ac:dyDescent="0.3">
      <c r="B83" s="63" t="s">
        <v>738</v>
      </c>
      <c r="C83" s="63">
        <v>1755003871338</v>
      </c>
      <c r="D83" s="63" t="s">
        <v>764</v>
      </c>
      <c r="E83" s="63" t="s">
        <v>424</v>
      </c>
      <c r="F83" s="63" t="s">
        <v>441</v>
      </c>
    </row>
    <row r="84" spans="2:6" x14ac:dyDescent="0.3">
      <c r="B84" s="63" t="s">
        <v>738</v>
      </c>
      <c r="C84" s="63">
        <v>1755003872830</v>
      </c>
      <c r="D84" s="63" t="s">
        <v>765</v>
      </c>
      <c r="E84" s="63" t="s">
        <v>424</v>
      </c>
      <c r="F84" s="63" t="s">
        <v>433</v>
      </c>
    </row>
    <row r="85" spans="2:6" x14ac:dyDescent="0.3">
      <c r="B85" s="63" t="s">
        <v>738</v>
      </c>
      <c r="C85" s="63">
        <v>1755003877818</v>
      </c>
      <c r="D85" s="63" t="s">
        <v>766</v>
      </c>
      <c r="E85" s="63" t="s">
        <v>424</v>
      </c>
      <c r="F85" s="63" t="s">
        <v>518</v>
      </c>
    </row>
    <row r="86" spans="2:6" x14ac:dyDescent="0.3">
      <c r="B86" s="63" t="s">
        <v>426</v>
      </c>
      <c r="C86" s="63">
        <v>1755003882245</v>
      </c>
      <c r="D86" s="63" t="s">
        <v>767</v>
      </c>
      <c r="E86" s="63" t="s">
        <v>428</v>
      </c>
      <c r="F86" s="63" t="s">
        <v>538</v>
      </c>
    </row>
    <row r="87" spans="2:6" x14ac:dyDescent="0.3">
      <c r="B87" s="63" t="s">
        <v>738</v>
      </c>
      <c r="C87" s="63">
        <v>1755003893058</v>
      </c>
      <c r="D87" s="63" t="s">
        <v>768</v>
      </c>
      <c r="E87" s="63" t="s">
        <v>424</v>
      </c>
      <c r="F87" s="63" t="s">
        <v>457</v>
      </c>
    </row>
    <row r="88" spans="2:6" x14ac:dyDescent="0.3">
      <c r="B88" s="63" t="s">
        <v>426</v>
      </c>
      <c r="C88" s="63">
        <v>1755003899876</v>
      </c>
      <c r="D88" s="63" t="s">
        <v>769</v>
      </c>
      <c r="E88" s="63" t="s">
        <v>428</v>
      </c>
      <c r="F88" s="63" t="s">
        <v>672</v>
      </c>
    </row>
    <row r="89" spans="2:6" x14ac:dyDescent="0.3">
      <c r="B89" s="63" t="s">
        <v>426</v>
      </c>
      <c r="C89" s="63">
        <v>1755003912437</v>
      </c>
      <c r="D89" s="63" t="s">
        <v>770</v>
      </c>
      <c r="E89" s="63" t="s">
        <v>428</v>
      </c>
      <c r="F89" s="63" t="s">
        <v>610</v>
      </c>
    </row>
    <row r="90" spans="2:6" x14ac:dyDescent="0.3">
      <c r="B90" s="63" t="s">
        <v>738</v>
      </c>
      <c r="C90" s="63">
        <v>1755003922212</v>
      </c>
      <c r="D90" s="63" t="s">
        <v>771</v>
      </c>
      <c r="E90" s="63" t="s">
        <v>419</v>
      </c>
      <c r="F90" s="63" t="s">
        <v>420</v>
      </c>
    </row>
    <row r="91" spans="2:6" x14ac:dyDescent="0.3">
      <c r="B91" s="63" t="s">
        <v>426</v>
      </c>
      <c r="C91" s="63">
        <v>1755003947792</v>
      </c>
      <c r="D91" s="63" t="s">
        <v>772</v>
      </c>
      <c r="E91" s="63" t="s">
        <v>428</v>
      </c>
      <c r="F91" s="63" t="s">
        <v>447</v>
      </c>
    </row>
    <row r="92" spans="2:6" x14ac:dyDescent="0.3">
      <c r="B92" s="63" t="s">
        <v>738</v>
      </c>
      <c r="C92" s="63">
        <v>1755003954090</v>
      </c>
      <c r="D92" s="63" t="s">
        <v>773</v>
      </c>
      <c r="E92" s="63" t="s">
        <v>424</v>
      </c>
      <c r="F92" s="63" t="s">
        <v>461</v>
      </c>
    </row>
    <row r="93" spans="2:6" x14ac:dyDescent="0.3">
      <c r="B93" s="63" t="s">
        <v>738</v>
      </c>
      <c r="C93" s="63">
        <v>1755003968339</v>
      </c>
      <c r="D93" s="63" t="s">
        <v>774</v>
      </c>
      <c r="E93" s="63" t="s">
        <v>424</v>
      </c>
      <c r="F93" s="63" t="s">
        <v>449</v>
      </c>
    </row>
    <row r="94" spans="2:6" x14ac:dyDescent="0.3">
      <c r="B94" s="63" t="s">
        <v>426</v>
      </c>
      <c r="C94" s="63">
        <v>1755003969065</v>
      </c>
      <c r="D94" s="63" t="s">
        <v>777</v>
      </c>
      <c r="E94" s="63" t="s">
        <v>428</v>
      </c>
      <c r="F94" s="63" t="s">
        <v>455</v>
      </c>
    </row>
    <row r="95" spans="2:6" x14ac:dyDescent="0.3">
      <c r="B95" s="63" t="s">
        <v>738</v>
      </c>
      <c r="C95" s="63">
        <v>1755003969688</v>
      </c>
      <c r="D95" s="63" t="s">
        <v>778</v>
      </c>
      <c r="E95" s="63" t="s">
        <v>424</v>
      </c>
      <c r="F95" s="63" t="s">
        <v>451</v>
      </c>
    </row>
    <row r="96" spans="2:6" x14ac:dyDescent="0.3">
      <c r="B96" s="63" t="s">
        <v>426</v>
      </c>
      <c r="C96" s="63">
        <v>1755003980135</v>
      </c>
      <c r="D96" s="63" t="s">
        <v>779</v>
      </c>
      <c r="E96" s="63" t="s">
        <v>428</v>
      </c>
      <c r="F96" s="63" t="s">
        <v>523</v>
      </c>
    </row>
    <row r="97" spans="2:6" x14ac:dyDescent="0.3">
      <c r="B97" s="63" t="s">
        <v>738</v>
      </c>
      <c r="C97" s="63">
        <v>1755003980842</v>
      </c>
      <c r="D97" s="63" t="s">
        <v>780</v>
      </c>
      <c r="E97" s="63" t="s">
        <v>463</v>
      </c>
      <c r="F97" s="63" t="s">
        <v>464</v>
      </c>
    </row>
    <row r="98" spans="2:6" x14ac:dyDescent="0.3">
      <c r="B98" s="58" t="s">
        <v>781</v>
      </c>
      <c r="C98" s="58">
        <v>1755004009223</v>
      </c>
      <c r="D98" s="58" t="s">
        <v>782</v>
      </c>
      <c r="E98" s="58" t="s">
        <v>416</v>
      </c>
      <c r="F98" s="58" t="s">
        <v>466</v>
      </c>
    </row>
    <row r="99" spans="2:6" x14ac:dyDescent="0.3">
      <c r="B99" s="58" t="s">
        <v>781</v>
      </c>
      <c r="C99" s="58">
        <v>1755004009311</v>
      </c>
      <c r="D99" s="58" t="s">
        <v>783</v>
      </c>
      <c r="E99" s="58" t="s">
        <v>468</v>
      </c>
      <c r="F99" s="58" t="s">
        <v>784</v>
      </c>
    </row>
    <row r="100" spans="2:6" x14ac:dyDescent="0.3">
      <c r="B100" s="58" t="s">
        <v>781</v>
      </c>
      <c r="C100" s="58">
        <v>1755004021955</v>
      </c>
      <c r="D100" s="58" t="s">
        <v>785</v>
      </c>
      <c r="E100" s="58" t="s">
        <v>419</v>
      </c>
      <c r="F100" s="58" t="s">
        <v>420</v>
      </c>
    </row>
    <row r="101" spans="2:6" x14ac:dyDescent="0.3">
      <c r="B101" s="58" t="s">
        <v>781</v>
      </c>
      <c r="C101" s="58">
        <v>1755004029252</v>
      </c>
      <c r="D101" s="58" t="s">
        <v>786</v>
      </c>
      <c r="E101" s="58" t="s">
        <v>422</v>
      </c>
      <c r="F101" s="58" t="s">
        <v>420</v>
      </c>
    </row>
    <row r="102" spans="2:6" x14ac:dyDescent="0.3">
      <c r="B102" s="58" t="s">
        <v>781</v>
      </c>
      <c r="C102" s="58">
        <v>1755004038733</v>
      </c>
      <c r="D102" s="58" t="s">
        <v>787</v>
      </c>
      <c r="E102" s="58" t="s">
        <v>424</v>
      </c>
      <c r="F102" s="58" t="s">
        <v>549</v>
      </c>
    </row>
    <row r="103" spans="2:6" x14ac:dyDescent="0.3">
      <c r="B103" s="58" t="s">
        <v>426</v>
      </c>
      <c r="C103" s="58">
        <v>1755004058370</v>
      </c>
      <c r="D103" s="58" t="s">
        <v>788</v>
      </c>
      <c r="E103" s="58" t="s">
        <v>428</v>
      </c>
      <c r="F103" s="58" t="s">
        <v>437</v>
      </c>
    </row>
    <row r="104" spans="2:6" x14ac:dyDescent="0.3">
      <c r="B104" s="58" t="s">
        <v>426</v>
      </c>
      <c r="C104" s="58">
        <v>1755004076750</v>
      </c>
      <c r="D104" s="58" t="s">
        <v>789</v>
      </c>
      <c r="E104" s="58" t="s">
        <v>428</v>
      </c>
      <c r="F104" s="58" t="s">
        <v>439</v>
      </c>
    </row>
    <row r="105" spans="2:6" x14ac:dyDescent="0.3">
      <c r="B105" s="58" t="s">
        <v>781</v>
      </c>
      <c r="C105" s="58">
        <v>1755004079894</v>
      </c>
      <c r="D105" s="58" t="s">
        <v>790</v>
      </c>
      <c r="E105" s="58" t="s">
        <v>424</v>
      </c>
      <c r="F105" s="58" t="s">
        <v>441</v>
      </c>
    </row>
    <row r="106" spans="2:6" x14ac:dyDescent="0.3">
      <c r="B106" s="58" t="s">
        <v>426</v>
      </c>
      <c r="C106" s="58">
        <v>1755004092212</v>
      </c>
      <c r="D106" s="58" t="s">
        <v>791</v>
      </c>
      <c r="E106" s="58" t="s">
        <v>428</v>
      </c>
      <c r="F106" s="58" t="s">
        <v>429</v>
      </c>
    </row>
    <row r="107" spans="2:6" x14ac:dyDescent="0.3">
      <c r="B107" s="58" t="s">
        <v>426</v>
      </c>
      <c r="C107" s="58">
        <v>1755004106978</v>
      </c>
      <c r="D107" s="58" t="s">
        <v>792</v>
      </c>
      <c r="E107" s="58" t="s">
        <v>428</v>
      </c>
      <c r="F107" s="58" t="s">
        <v>431</v>
      </c>
    </row>
    <row r="108" spans="2:6" x14ac:dyDescent="0.3">
      <c r="B108" s="58" t="s">
        <v>781</v>
      </c>
      <c r="C108" s="58">
        <v>1755004109069</v>
      </c>
      <c r="D108" s="58" t="s">
        <v>793</v>
      </c>
      <c r="E108" s="58" t="s">
        <v>424</v>
      </c>
      <c r="F108" s="58" t="s">
        <v>433</v>
      </c>
    </row>
    <row r="109" spans="2:6" x14ac:dyDescent="0.3">
      <c r="B109" s="58" t="s">
        <v>781</v>
      </c>
      <c r="C109" s="58">
        <v>1755004115151</v>
      </c>
      <c r="D109" s="58" t="s">
        <v>794</v>
      </c>
      <c r="E109" s="58" t="s">
        <v>424</v>
      </c>
      <c r="F109" s="58" t="s">
        <v>518</v>
      </c>
    </row>
    <row r="110" spans="2:6" x14ac:dyDescent="0.3">
      <c r="B110" s="58" t="s">
        <v>426</v>
      </c>
      <c r="C110" s="58">
        <v>1755004123190</v>
      </c>
      <c r="D110" s="58" t="s">
        <v>795</v>
      </c>
      <c r="E110" s="58" t="s">
        <v>428</v>
      </c>
      <c r="F110" s="58" t="s">
        <v>538</v>
      </c>
    </row>
    <row r="111" spans="2:6" x14ac:dyDescent="0.3">
      <c r="B111" s="58" t="s">
        <v>781</v>
      </c>
      <c r="C111" s="58">
        <v>1755004133500</v>
      </c>
      <c r="D111" s="58" t="s">
        <v>796</v>
      </c>
      <c r="E111" s="58" t="s">
        <v>424</v>
      </c>
      <c r="F111" s="58" t="s">
        <v>457</v>
      </c>
    </row>
    <row r="112" spans="2:6" x14ac:dyDescent="0.3">
      <c r="B112" s="58" t="s">
        <v>426</v>
      </c>
      <c r="C112" s="58">
        <v>1755004140913</v>
      </c>
      <c r="D112" s="58" t="s">
        <v>797</v>
      </c>
      <c r="E112" s="58" t="s">
        <v>428</v>
      </c>
      <c r="F112" s="58" t="s">
        <v>672</v>
      </c>
    </row>
    <row r="113" spans="1:6" x14ac:dyDescent="0.3">
      <c r="B113" s="58" t="s">
        <v>426</v>
      </c>
      <c r="C113" s="58">
        <v>1755004152705</v>
      </c>
      <c r="D113" s="58" t="s">
        <v>798</v>
      </c>
      <c r="E113" s="58" t="s">
        <v>428</v>
      </c>
      <c r="F113" s="58" t="s">
        <v>610</v>
      </c>
    </row>
    <row r="114" spans="1:6" x14ac:dyDescent="0.3">
      <c r="B114" s="58" t="s">
        <v>781</v>
      </c>
      <c r="C114" s="58">
        <v>1755004175735</v>
      </c>
      <c r="D114" s="58" t="s">
        <v>799</v>
      </c>
      <c r="E114" s="58" t="s">
        <v>419</v>
      </c>
      <c r="F114" s="58" t="s">
        <v>420</v>
      </c>
    </row>
    <row r="115" spans="1:6" x14ac:dyDescent="0.3">
      <c r="B115" s="58" t="s">
        <v>426</v>
      </c>
      <c r="C115" s="58">
        <v>1755004190315</v>
      </c>
      <c r="D115" s="58" t="s">
        <v>800</v>
      </c>
      <c r="E115" s="58" t="s">
        <v>428</v>
      </c>
      <c r="F115" s="58" t="s">
        <v>447</v>
      </c>
    </row>
    <row r="116" spans="1:6" x14ac:dyDescent="0.3">
      <c r="B116" s="58" t="s">
        <v>781</v>
      </c>
      <c r="C116" s="58">
        <v>1755004194669</v>
      </c>
      <c r="D116" s="58" t="s">
        <v>801</v>
      </c>
      <c r="E116" s="58" t="s">
        <v>424</v>
      </c>
      <c r="F116" s="58" t="s">
        <v>461</v>
      </c>
    </row>
    <row r="117" spans="1:6" x14ac:dyDescent="0.3">
      <c r="B117" s="58" t="s">
        <v>781</v>
      </c>
      <c r="C117" s="58">
        <v>1755004200490</v>
      </c>
      <c r="D117" s="58" t="s">
        <v>802</v>
      </c>
      <c r="E117" s="58" t="s">
        <v>424</v>
      </c>
      <c r="F117" s="58" t="s">
        <v>449</v>
      </c>
    </row>
    <row r="118" spans="1:6" x14ac:dyDescent="0.3">
      <c r="B118" s="58" t="s">
        <v>781</v>
      </c>
      <c r="C118" s="58">
        <v>1755004207969</v>
      </c>
      <c r="D118" s="58" t="s">
        <v>803</v>
      </c>
      <c r="E118" s="58" t="s">
        <v>424</v>
      </c>
      <c r="F118" s="58" t="s">
        <v>451</v>
      </c>
    </row>
    <row r="119" spans="1:6" x14ac:dyDescent="0.3">
      <c r="B119" s="58" t="s">
        <v>426</v>
      </c>
      <c r="C119" s="58">
        <v>1755004211611</v>
      </c>
      <c r="D119" s="58" t="s">
        <v>804</v>
      </c>
      <c r="E119" s="58" t="s">
        <v>428</v>
      </c>
      <c r="F119" s="58" t="s">
        <v>455</v>
      </c>
    </row>
    <row r="120" spans="1:6" x14ac:dyDescent="0.3">
      <c r="B120" s="58" t="s">
        <v>781</v>
      </c>
      <c r="C120" s="58">
        <v>1755004225202</v>
      </c>
      <c r="D120" s="58" t="s">
        <v>805</v>
      </c>
      <c r="E120" s="58" t="s">
        <v>463</v>
      </c>
      <c r="F120" s="58" t="s">
        <v>464</v>
      </c>
    </row>
    <row r="121" spans="1:6" x14ac:dyDescent="0.3">
      <c r="B121" s="58" t="s">
        <v>426</v>
      </c>
      <c r="C121" s="58">
        <v>1755004228498</v>
      </c>
      <c r="D121" s="58" t="s">
        <v>806</v>
      </c>
      <c r="E121" s="58" t="s">
        <v>428</v>
      </c>
      <c r="F121" s="58" t="s">
        <v>523</v>
      </c>
    </row>
    <row r="122" spans="1:6" ht="18" x14ac:dyDescent="0.35">
      <c r="A122" s="61" t="s">
        <v>776</v>
      </c>
      <c r="B122" s="63" t="s">
        <v>807</v>
      </c>
      <c r="C122" s="63">
        <v>1755520748645</v>
      </c>
      <c r="D122" s="63" t="s">
        <v>808</v>
      </c>
      <c r="E122" s="63" t="s">
        <v>416</v>
      </c>
      <c r="F122" s="63" t="s">
        <v>417</v>
      </c>
    </row>
    <row r="123" spans="1:6" x14ac:dyDescent="0.3">
      <c r="B123" s="63" t="s">
        <v>807</v>
      </c>
      <c r="C123" s="63">
        <v>1755520762960</v>
      </c>
      <c r="D123" s="63" t="s">
        <v>809</v>
      </c>
      <c r="E123" s="63" t="s">
        <v>419</v>
      </c>
      <c r="F123" s="63" t="s">
        <v>420</v>
      </c>
    </row>
    <row r="124" spans="1:6" x14ac:dyDescent="0.3">
      <c r="B124" s="63" t="s">
        <v>807</v>
      </c>
      <c r="C124" s="63">
        <v>1755520779732</v>
      </c>
      <c r="D124" s="63" t="s">
        <v>810</v>
      </c>
      <c r="E124" s="63" t="s">
        <v>389</v>
      </c>
      <c r="F124" s="63" t="s">
        <v>811</v>
      </c>
    </row>
    <row r="125" spans="1:6" x14ac:dyDescent="0.3">
      <c r="B125" s="63" t="s">
        <v>807</v>
      </c>
      <c r="C125" s="63">
        <v>1755520784277</v>
      </c>
      <c r="D125" s="63" t="s">
        <v>812</v>
      </c>
      <c r="E125" s="63" t="s">
        <v>389</v>
      </c>
      <c r="F125" s="63" t="s">
        <v>495</v>
      </c>
    </row>
    <row r="126" spans="1:6" x14ac:dyDescent="0.3">
      <c r="B126" s="63" t="s">
        <v>807</v>
      </c>
      <c r="C126" s="63">
        <v>1755520793396</v>
      </c>
      <c r="D126" s="63" t="s">
        <v>813</v>
      </c>
      <c r="E126" s="63" t="s">
        <v>389</v>
      </c>
      <c r="F126" s="63" t="s">
        <v>515</v>
      </c>
    </row>
    <row r="127" spans="1:6" x14ac:dyDescent="0.3">
      <c r="B127" s="63" t="s">
        <v>807</v>
      </c>
      <c r="C127" s="63">
        <v>1755520805374</v>
      </c>
      <c r="D127" s="63" t="s">
        <v>814</v>
      </c>
      <c r="E127" s="63" t="s">
        <v>389</v>
      </c>
      <c r="F127" s="63" t="s">
        <v>396</v>
      </c>
    </row>
    <row r="128" spans="1:6" x14ac:dyDescent="0.3">
      <c r="B128" s="63" t="s">
        <v>807</v>
      </c>
      <c r="C128" s="63">
        <v>1755520806011</v>
      </c>
      <c r="D128" s="63" t="s">
        <v>815</v>
      </c>
      <c r="E128" s="63" t="s">
        <v>389</v>
      </c>
      <c r="F128" s="63" t="s">
        <v>398</v>
      </c>
    </row>
    <row r="129" spans="2:6" x14ac:dyDescent="0.3">
      <c r="B129" s="63" t="s">
        <v>807</v>
      </c>
      <c r="C129" s="63">
        <v>1755520806627</v>
      </c>
      <c r="D129" s="63" t="s">
        <v>816</v>
      </c>
      <c r="E129" s="63" t="s">
        <v>389</v>
      </c>
      <c r="F129" s="63" t="s">
        <v>400</v>
      </c>
    </row>
    <row r="130" spans="2:6" x14ac:dyDescent="0.3">
      <c r="B130" s="63" t="s">
        <v>807</v>
      </c>
      <c r="C130" s="63">
        <v>1755520811142</v>
      </c>
      <c r="D130" s="63" t="s">
        <v>817</v>
      </c>
      <c r="E130" s="63" t="s">
        <v>389</v>
      </c>
      <c r="F130" s="63" t="s">
        <v>818</v>
      </c>
    </row>
    <row r="131" spans="2:6" x14ac:dyDescent="0.3">
      <c r="B131" s="63" t="s">
        <v>807</v>
      </c>
      <c r="C131" s="63">
        <v>1755520811757</v>
      </c>
      <c r="D131" s="63" t="s">
        <v>819</v>
      </c>
      <c r="E131" s="63" t="s">
        <v>389</v>
      </c>
      <c r="F131" s="63" t="s">
        <v>659</v>
      </c>
    </row>
    <row r="132" spans="2:6" x14ac:dyDescent="0.3">
      <c r="B132" s="63" t="s">
        <v>807</v>
      </c>
      <c r="C132" s="63">
        <v>1755520820741</v>
      </c>
      <c r="D132" s="63" t="s">
        <v>820</v>
      </c>
      <c r="E132" s="63" t="s">
        <v>389</v>
      </c>
      <c r="F132" s="63" t="s">
        <v>508</v>
      </c>
    </row>
    <row r="133" spans="2:6" x14ac:dyDescent="0.3">
      <c r="B133" s="63" t="s">
        <v>807</v>
      </c>
      <c r="C133" s="63">
        <v>1755520821808</v>
      </c>
      <c r="D133" s="63" t="s">
        <v>821</v>
      </c>
      <c r="E133" s="63" t="s">
        <v>389</v>
      </c>
      <c r="F133" s="63" t="s">
        <v>660</v>
      </c>
    </row>
    <row r="134" spans="2:6" x14ac:dyDescent="0.3">
      <c r="B134" s="63" t="s">
        <v>807</v>
      </c>
      <c r="C134" s="63">
        <v>1755520842432</v>
      </c>
      <c r="D134" s="63" t="s">
        <v>822</v>
      </c>
      <c r="E134" s="63" t="s">
        <v>389</v>
      </c>
      <c r="F134" s="63" t="s">
        <v>511</v>
      </c>
    </row>
    <row r="135" spans="2:6" x14ac:dyDescent="0.3">
      <c r="B135" s="63" t="s">
        <v>807</v>
      </c>
      <c r="C135" s="63">
        <v>1755520843610</v>
      </c>
      <c r="D135" s="63" t="s">
        <v>823</v>
      </c>
      <c r="E135" s="63" t="s">
        <v>389</v>
      </c>
      <c r="F135" s="63" t="s">
        <v>408</v>
      </c>
    </row>
    <row r="136" spans="2:6" x14ac:dyDescent="0.3">
      <c r="B136" s="63" t="s">
        <v>807</v>
      </c>
      <c r="C136" s="63">
        <v>1755520863665</v>
      </c>
      <c r="D136" s="63" t="s">
        <v>824</v>
      </c>
      <c r="E136" s="63" t="s">
        <v>422</v>
      </c>
      <c r="F136" s="63" t="s">
        <v>420</v>
      </c>
    </row>
    <row r="137" spans="2:6" x14ac:dyDescent="0.3">
      <c r="B137" s="63" t="s">
        <v>426</v>
      </c>
      <c r="C137" s="63">
        <v>1755520879183</v>
      </c>
      <c r="D137" s="63" t="s">
        <v>825</v>
      </c>
      <c r="E137" s="63" t="s">
        <v>428</v>
      </c>
      <c r="F137" s="63" t="s">
        <v>435</v>
      </c>
    </row>
    <row r="138" spans="2:6" x14ac:dyDescent="0.3">
      <c r="B138" s="63" t="s">
        <v>426</v>
      </c>
      <c r="C138" s="63">
        <v>1755520893986</v>
      </c>
      <c r="D138" s="63" t="s">
        <v>826</v>
      </c>
      <c r="E138" s="63" t="s">
        <v>428</v>
      </c>
      <c r="F138" s="63" t="s">
        <v>437</v>
      </c>
    </row>
    <row r="139" spans="2:6" x14ac:dyDescent="0.3">
      <c r="B139" s="63" t="s">
        <v>426</v>
      </c>
      <c r="C139" s="63">
        <v>1755520911374</v>
      </c>
      <c r="D139" s="63" t="s">
        <v>827</v>
      </c>
      <c r="E139" s="63" t="s">
        <v>428</v>
      </c>
      <c r="F139" s="63" t="s">
        <v>439</v>
      </c>
    </row>
    <row r="140" spans="2:6" x14ac:dyDescent="0.3">
      <c r="B140" s="63" t="s">
        <v>807</v>
      </c>
      <c r="C140" s="63">
        <v>1755520920104</v>
      </c>
      <c r="D140" s="63" t="s">
        <v>828</v>
      </c>
      <c r="E140" s="63" t="s">
        <v>424</v>
      </c>
      <c r="F140" s="63" t="s">
        <v>441</v>
      </c>
    </row>
    <row r="141" spans="2:6" x14ac:dyDescent="0.3">
      <c r="B141" s="63" t="s">
        <v>807</v>
      </c>
      <c r="C141" s="63">
        <v>1755520921391</v>
      </c>
      <c r="D141" s="63" t="s">
        <v>829</v>
      </c>
      <c r="E141" s="63" t="s">
        <v>424</v>
      </c>
      <c r="F141" s="63" t="s">
        <v>830</v>
      </c>
    </row>
    <row r="142" spans="2:6" x14ac:dyDescent="0.3">
      <c r="B142" s="63" t="s">
        <v>807</v>
      </c>
      <c r="C142" s="63">
        <v>1755520922329</v>
      </c>
      <c r="D142" s="63" t="s">
        <v>831</v>
      </c>
      <c r="E142" s="63" t="s">
        <v>424</v>
      </c>
      <c r="F142" s="63" t="s">
        <v>667</v>
      </c>
    </row>
    <row r="143" spans="2:6" x14ac:dyDescent="0.3">
      <c r="B143" s="63" t="s">
        <v>807</v>
      </c>
      <c r="C143" s="63">
        <v>1755520923273</v>
      </c>
      <c r="D143" s="63" t="s">
        <v>832</v>
      </c>
      <c r="E143" s="63" t="s">
        <v>424</v>
      </c>
      <c r="F143" s="63" t="s">
        <v>433</v>
      </c>
    </row>
    <row r="144" spans="2:6" x14ac:dyDescent="0.3">
      <c r="B144" s="63" t="s">
        <v>426</v>
      </c>
      <c r="C144" s="63">
        <v>1755520926880</v>
      </c>
      <c r="D144" s="63" t="s">
        <v>833</v>
      </c>
      <c r="E144" s="63" t="s">
        <v>428</v>
      </c>
      <c r="F144" s="63" t="s">
        <v>538</v>
      </c>
    </row>
    <row r="145" spans="2:6" x14ac:dyDescent="0.3">
      <c r="B145" s="63" t="s">
        <v>807</v>
      </c>
      <c r="C145" s="63">
        <v>1755520928926</v>
      </c>
      <c r="D145" s="63" t="s">
        <v>834</v>
      </c>
      <c r="E145" s="63" t="s">
        <v>424</v>
      </c>
      <c r="F145" s="63" t="s">
        <v>518</v>
      </c>
    </row>
    <row r="146" spans="2:6" x14ac:dyDescent="0.3">
      <c r="B146" s="63" t="s">
        <v>426</v>
      </c>
      <c r="C146" s="63">
        <v>1755520944597</v>
      </c>
      <c r="D146" s="63" t="s">
        <v>835</v>
      </c>
      <c r="E146" s="63" t="s">
        <v>428</v>
      </c>
      <c r="F146" s="63" t="s">
        <v>672</v>
      </c>
    </row>
    <row r="147" spans="2:6" x14ac:dyDescent="0.3">
      <c r="B147" s="63" t="s">
        <v>807</v>
      </c>
      <c r="C147" s="63">
        <v>1755520950495</v>
      </c>
      <c r="D147" s="63" t="s">
        <v>836</v>
      </c>
      <c r="E147" s="63" t="s">
        <v>424</v>
      </c>
      <c r="F147" s="63" t="s">
        <v>457</v>
      </c>
    </row>
    <row r="148" spans="2:6" x14ac:dyDescent="0.3">
      <c r="B148" s="63" t="s">
        <v>807</v>
      </c>
      <c r="C148" s="63">
        <v>1755520951843</v>
      </c>
      <c r="D148" s="63" t="s">
        <v>837</v>
      </c>
      <c r="E148" s="63" t="s">
        <v>424</v>
      </c>
      <c r="F148" s="63" t="s">
        <v>459</v>
      </c>
    </row>
    <row r="149" spans="2:6" x14ac:dyDescent="0.3">
      <c r="B149" s="63" t="s">
        <v>426</v>
      </c>
      <c r="C149" s="63">
        <v>1755520961548</v>
      </c>
      <c r="D149" s="63" t="s">
        <v>838</v>
      </c>
      <c r="E149" s="63" t="s">
        <v>428</v>
      </c>
      <c r="F149" s="63" t="s">
        <v>523</v>
      </c>
    </row>
    <row r="150" spans="2:6" x14ac:dyDescent="0.3">
      <c r="B150" s="63" t="s">
        <v>807</v>
      </c>
      <c r="C150" s="63">
        <v>1755520971924</v>
      </c>
      <c r="D150" s="63" t="s">
        <v>839</v>
      </c>
      <c r="E150" s="63" t="s">
        <v>424</v>
      </c>
      <c r="F150" s="63" t="s">
        <v>461</v>
      </c>
    </row>
    <row r="151" spans="2:6" x14ac:dyDescent="0.3">
      <c r="B151" s="63" t="s">
        <v>807</v>
      </c>
      <c r="C151" s="63">
        <v>1755520981238</v>
      </c>
      <c r="D151" s="63" t="s">
        <v>840</v>
      </c>
      <c r="E151" s="63" t="s">
        <v>424</v>
      </c>
      <c r="F151" s="63" t="s">
        <v>841</v>
      </c>
    </row>
    <row r="152" spans="2:6" x14ac:dyDescent="0.3">
      <c r="B152" s="63" t="s">
        <v>807</v>
      </c>
      <c r="C152" s="63">
        <v>1755520982130</v>
      </c>
      <c r="D152" s="63" t="s">
        <v>842</v>
      </c>
      <c r="E152" s="63" t="s">
        <v>424</v>
      </c>
      <c r="F152" s="63" t="s">
        <v>449</v>
      </c>
    </row>
    <row r="153" spans="2:6" x14ac:dyDescent="0.3">
      <c r="B153" s="63" t="s">
        <v>807</v>
      </c>
      <c r="C153" s="63">
        <v>1755520982715</v>
      </c>
      <c r="D153" s="63" t="s">
        <v>843</v>
      </c>
      <c r="E153" s="63" t="s">
        <v>424</v>
      </c>
      <c r="F153" s="63" t="s">
        <v>451</v>
      </c>
    </row>
    <row r="154" spans="2:6" x14ac:dyDescent="0.3">
      <c r="B154" s="63" t="s">
        <v>807</v>
      </c>
      <c r="C154" s="63">
        <v>1755520990319</v>
      </c>
      <c r="D154" s="63" t="s">
        <v>844</v>
      </c>
      <c r="E154" s="63" t="s">
        <v>424</v>
      </c>
      <c r="F154" s="63" t="s">
        <v>570</v>
      </c>
    </row>
    <row r="155" spans="2:6" x14ac:dyDescent="0.3">
      <c r="B155" s="63" t="s">
        <v>807</v>
      </c>
      <c r="C155" s="63">
        <v>1755521001506</v>
      </c>
      <c r="D155" s="63" t="s">
        <v>845</v>
      </c>
      <c r="E155" s="63" t="s">
        <v>463</v>
      </c>
      <c r="F155" s="63" t="s">
        <v>464</v>
      </c>
    </row>
    <row r="156" spans="2:6" x14ac:dyDescent="0.3">
      <c r="B156" s="59" t="s">
        <v>846</v>
      </c>
      <c r="C156" s="59">
        <v>1755521014512</v>
      </c>
      <c r="D156" s="59" t="s">
        <v>847</v>
      </c>
      <c r="E156" s="59" t="s">
        <v>416</v>
      </c>
      <c r="F156" s="59" t="s">
        <v>466</v>
      </c>
    </row>
    <row r="157" spans="2:6" x14ac:dyDescent="0.3">
      <c r="B157" s="59" t="s">
        <v>846</v>
      </c>
      <c r="C157" s="59">
        <v>1755521014615</v>
      </c>
      <c r="D157" s="59" t="s">
        <v>848</v>
      </c>
      <c r="E157" s="59" t="s">
        <v>468</v>
      </c>
      <c r="F157" s="59" t="s">
        <v>849</v>
      </c>
    </row>
    <row r="158" spans="2:6" x14ac:dyDescent="0.3">
      <c r="B158" s="59" t="s">
        <v>846</v>
      </c>
      <c r="C158" s="59">
        <v>1755521015117</v>
      </c>
      <c r="D158" s="59" t="s">
        <v>850</v>
      </c>
      <c r="E158" s="59" t="s">
        <v>419</v>
      </c>
      <c r="F158" s="59" t="s">
        <v>420</v>
      </c>
    </row>
    <row r="159" spans="2:6" x14ac:dyDescent="0.3">
      <c r="B159" s="59" t="s">
        <v>846</v>
      </c>
      <c r="C159" s="59">
        <v>1755521040643</v>
      </c>
      <c r="D159" s="59" t="s">
        <v>851</v>
      </c>
      <c r="E159" s="59" t="s">
        <v>389</v>
      </c>
      <c r="F159" s="59" t="s">
        <v>410</v>
      </c>
    </row>
    <row r="160" spans="2:6" x14ac:dyDescent="0.3">
      <c r="B160" s="59" t="s">
        <v>846</v>
      </c>
      <c r="C160" s="59">
        <v>1755521042375</v>
      </c>
      <c r="D160" s="59" t="s">
        <v>852</v>
      </c>
      <c r="E160" s="59" t="s">
        <v>389</v>
      </c>
      <c r="F160" s="59" t="s">
        <v>414</v>
      </c>
    </row>
    <row r="161" spans="2:6" x14ac:dyDescent="0.3">
      <c r="B161" s="59" t="s">
        <v>846</v>
      </c>
      <c r="C161" s="59">
        <v>1755521046274</v>
      </c>
      <c r="D161" s="59" t="s">
        <v>853</v>
      </c>
      <c r="E161" s="59" t="s">
        <v>422</v>
      </c>
      <c r="F161" s="59" t="s">
        <v>420</v>
      </c>
    </row>
    <row r="162" spans="2:6" x14ac:dyDescent="0.3">
      <c r="B162" s="59" t="s">
        <v>426</v>
      </c>
      <c r="C162" s="59">
        <v>1755521066081</v>
      </c>
      <c r="D162" s="59" t="s">
        <v>854</v>
      </c>
      <c r="E162" s="59" t="s">
        <v>428</v>
      </c>
      <c r="F162" s="59" t="s">
        <v>435</v>
      </c>
    </row>
    <row r="163" spans="2:6" x14ac:dyDescent="0.3">
      <c r="B163" s="59" t="s">
        <v>426</v>
      </c>
      <c r="C163" s="59">
        <v>1755521085314</v>
      </c>
      <c r="D163" s="59" t="s">
        <v>855</v>
      </c>
      <c r="E163" s="59" t="s">
        <v>428</v>
      </c>
      <c r="F163" s="59" t="s">
        <v>437</v>
      </c>
    </row>
    <row r="164" spans="2:6" x14ac:dyDescent="0.3">
      <c r="B164" s="59" t="s">
        <v>426</v>
      </c>
      <c r="C164" s="59">
        <v>1755521103765</v>
      </c>
      <c r="D164" s="59" t="s">
        <v>856</v>
      </c>
      <c r="E164" s="59" t="s">
        <v>428</v>
      </c>
      <c r="F164" s="59" t="s">
        <v>439</v>
      </c>
    </row>
    <row r="165" spans="2:6" x14ac:dyDescent="0.3">
      <c r="B165" s="59" t="s">
        <v>846</v>
      </c>
      <c r="C165" s="59">
        <v>1755521112498</v>
      </c>
      <c r="D165" s="59" t="s">
        <v>857</v>
      </c>
      <c r="E165" s="59" t="s">
        <v>424</v>
      </c>
      <c r="F165" s="59" t="s">
        <v>441</v>
      </c>
    </row>
    <row r="166" spans="2:6" x14ac:dyDescent="0.3">
      <c r="B166" s="59" t="s">
        <v>846</v>
      </c>
      <c r="C166" s="59">
        <v>1755521113189</v>
      </c>
      <c r="D166" s="59" t="s">
        <v>858</v>
      </c>
      <c r="E166" s="59" t="s">
        <v>424</v>
      </c>
      <c r="F166" s="59" t="s">
        <v>830</v>
      </c>
    </row>
    <row r="167" spans="2:6" x14ac:dyDescent="0.3">
      <c r="B167" s="59" t="s">
        <v>846</v>
      </c>
      <c r="C167" s="59">
        <v>1755521114121</v>
      </c>
      <c r="D167" s="59" t="s">
        <v>859</v>
      </c>
      <c r="E167" s="59" t="s">
        <v>424</v>
      </c>
      <c r="F167" s="59" t="s">
        <v>667</v>
      </c>
    </row>
    <row r="168" spans="2:6" x14ac:dyDescent="0.3">
      <c r="B168" s="59" t="s">
        <v>426</v>
      </c>
      <c r="C168" s="59">
        <v>1755521120041</v>
      </c>
      <c r="D168" s="59" t="s">
        <v>860</v>
      </c>
      <c r="E168" s="59" t="s">
        <v>428</v>
      </c>
      <c r="F168" s="59" t="s">
        <v>538</v>
      </c>
    </row>
    <row r="169" spans="2:6" x14ac:dyDescent="0.3">
      <c r="B169" s="59" t="s">
        <v>846</v>
      </c>
      <c r="C169" s="59">
        <v>1755521121733</v>
      </c>
      <c r="D169" s="59" t="s">
        <v>861</v>
      </c>
      <c r="E169" s="59" t="s">
        <v>424</v>
      </c>
      <c r="F169" s="59" t="s">
        <v>433</v>
      </c>
    </row>
    <row r="170" spans="2:6" x14ac:dyDescent="0.3">
      <c r="B170" s="59" t="s">
        <v>846</v>
      </c>
      <c r="C170" s="59">
        <v>1755521130995</v>
      </c>
      <c r="D170" s="59" t="s">
        <v>862</v>
      </c>
      <c r="E170" s="59" t="s">
        <v>424</v>
      </c>
      <c r="F170" s="59" t="s">
        <v>518</v>
      </c>
    </row>
    <row r="171" spans="2:6" x14ac:dyDescent="0.3">
      <c r="B171" s="59" t="s">
        <v>426</v>
      </c>
      <c r="C171" s="59">
        <v>1755521137839</v>
      </c>
      <c r="D171" s="59" t="s">
        <v>863</v>
      </c>
      <c r="E171" s="59" t="s">
        <v>428</v>
      </c>
      <c r="F171" s="59" t="s">
        <v>672</v>
      </c>
    </row>
    <row r="172" spans="2:6" x14ac:dyDescent="0.3">
      <c r="B172" s="59" t="s">
        <v>846</v>
      </c>
      <c r="C172" s="59">
        <v>1755521144668</v>
      </c>
      <c r="D172" s="59" t="s">
        <v>864</v>
      </c>
      <c r="E172" s="59" t="s">
        <v>424</v>
      </c>
      <c r="F172" s="59" t="s">
        <v>457</v>
      </c>
    </row>
    <row r="173" spans="2:6" x14ac:dyDescent="0.3">
      <c r="B173" s="59" t="s">
        <v>846</v>
      </c>
      <c r="C173" s="59">
        <v>1755521146025</v>
      </c>
      <c r="D173" s="59" t="s">
        <v>865</v>
      </c>
      <c r="E173" s="59" t="s">
        <v>424</v>
      </c>
      <c r="F173" s="59" t="s">
        <v>459</v>
      </c>
    </row>
    <row r="174" spans="2:6" x14ac:dyDescent="0.3">
      <c r="B174" s="59" t="s">
        <v>846</v>
      </c>
      <c r="C174" s="59">
        <v>1755521146558</v>
      </c>
      <c r="D174" s="59" t="s">
        <v>866</v>
      </c>
      <c r="E174" s="59" t="s">
        <v>424</v>
      </c>
      <c r="F174" s="59" t="s">
        <v>461</v>
      </c>
    </row>
    <row r="175" spans="2:6" x14ac:dyDescent="0.3">
      <c r="B175" s="59" t="s">
        <v>426</v>
      </c>
      <c r="C175" s="59">
        <v>1755521154806</v>
      </c>
      <c r="D175" s="59" t="s">
        <v>867</v>
      </c>
      <c r="E175" s="59" t="s">
        <v>428</v>
      </c>
      <c r="F175" s="59" t="s">
        <v>523</v>
      </c>
    </row>
    <row r="176" spans="2:6" x14ac:dyDescent="0.3">
      <c r="B176" s="59" t="s">
        <v>426</v>
      </c>
      <c r="C176" s="59">
        <v>1755521169525</v>
      </c>
      <c r="D176" s="59" t="s">
        <v>868</v>
      </c>
      <c r="E176" s="59" t="s">
        <v>428</v>
      </c>
      <c r="F176" s="59" t="s">
        <v>447</v>
      </c>
    </row>
    <row r="177" spans="1:7" x14ac:dyDescent="0.3">
      <c r="B177" s="59" t="s">
        <v>846</v>
      </c>
      <c r="C177" s="59">
        <v>1755521171324</v>
      </c>
      <c r="D177" s="59" t="s">
        <v>869</v>
      </c>
      <c r="E177" s="59" t="s">
        <v>424</v>
      </c>
      <c r="F177" s="59" t="s">
        <v>449</v>
      </c>
    </row>
    <row r="178" spans="1:7" x14ac:dyDescent="0.3">
      <c r="B178" s="59" t="s">
        <v>846</v>
      </c>
      <c r="C178" s="59">
        <v>1755521178768</v>
      </c>
      <c r="D178" s="59" t="s">
        <v>870</v>
      </c>
      <c r="E178" s="59" t="s">
        <v>424</v>
      </c>
      <c r="F178" s="59" t="s">
        <v>451</v>
      </c>
    </row>
    <row r="179" spans="1:7" x14ac:dyDescent="0.3">
      <c r="B179" s="59" t="s">
        <v>426</v>
      </c>
      <c r="C179" s="59">
        <v>1755521190901</v>
      </c>
      <c r="D179" s="59" t="s">
        <v>871</v>
      </c>
      <c r="E179" s="59" t="s">
        <v>428</v>
      </c>
      <c r="F179" s="59" t="s">
        <v>455</v>
      </c>
    </row>
    <row r="180" spans="1:7" x14ac:dyDescent="0.3">
      <c r="B180" s="59" t="s">
        <v>846</v>
      </c>
      <c r="C180" s="59">
        <v>1755521240450</v>
      </c>
      <c r="D180" s="59" t="s">
        <v>872</v>
      </c>
      <c r="E180" s="59" t="s">
        <v>463</v>
      </c>
      <c r="F180" s="59" t="s">
        <v>464</v>
      </c>
    </row>
    <row r="181" spans="1:7" ht="18" x14ac:dyDescent="0.35">
      <c r="A181" s="61" t="s">
        <v>959</v>
      </c>
      <c r="B181" s="66" t="s">
        <v>1057</v>
      </c>
      <c r="C181" s="66">
        <v>1755524869048</v>
      </c>
      <c r="D181" s="66" t="s">
        <v>1058</v>
      </c>
      <c r="E181" s="66" t="s">
        <v>416</v>
      </c>
      <c r="F181" s="66" t="s">
        <v>417</v>
      </c>
      <c r="G181" s="66"/>
    </row>
    <row r="182" spans="1:7" x14ac:dyDescent="0.3">
      <c r="B182" s="66" t="s">
        <v>1057</v>
      </c>
      <c r="C182" s="66">
        <v>1755524869564</v>
      </c>
      <c r="D182" s="66" t="s">
        <v>1059</v>
      </c>
      <c r="E182" s="66" t="s">
        <v>419</v>
      </c>
      <c r="F182" s="66" t="s">
        <v>420</v>
      </c>
      <c r="G182" s="66"/>
    </row>
    <row r="183" spans="1:7" x14ac:dyDescent="0.3">
      <c r="B183" s="66" t="s">
        <v>1057</v>
      </c>
      <c r="C183" s="66">
        <v>1755524991354</v>
      </c>
      <c r="D183" s="66" t="s">
        <v>1060</v>
      </c>
      <c r="E183" s="66" t="s">
        <v>389</v>
      </c>
      <c r="F183" s="66" t="s">
        <v>406</v>
      </c>
      <c r="G183" s="66"/>
    </row>
    <row r="184" spans="1:7" x14ac:dyDescent="0.3">
      <c r="B184" s="66" t="s">
        <v>1057</v>
      </c>
      <c r="C184" s="66">
        <v>1755524993560</v>
      </c>
      <c r="D184" s="66" t="s">
        <v>1061</v>
      </c>
      <c r="E184" s="66" t="s">
        <v>389</v>
      </c>
      <c r="F184" s="66" t="s">
        <v>408</v>
      </c>
      <c r="G184" s="66"/>
    </row>
    <row r="185" spans="1:7" x14ac:dyDescent="0.3">
      <c r="B185" s="66" t="s">
        <v>1057</v>
      </c>
      <c r="C185" s="66">
        <v>1755525006657</v>
      </c>
      <c r="D185" s="66" t="s">
        <v>1062</v>
      </c>
      <c r="E185" s="66" t="s">
        <v>389</v>
      </c>
      <c r="F185" s="66" t="s">
        <v>390</v>
      </c>
      <c r="G185" s="66"/>
    </row>
    <row r="186" spans="1:7" x14ac:dyDescent="0.3">
      <c r="B186" s="66" t="s">
        <v>1057</v>
      </c>
      <c r="C186" s="66">
        <v>1755525007254</v>
      </c>
      <c r="D186" s="66" t="s">
        <v>1063</v>
      </c>
      <c r="E186" s="66" t="s">
        <v>389</v>
      </c>
      <c r="F186" s="66" t="s">
        <v>392</v>
      </c>
      <c r="G186" s="66"/>
    </row>
    <row r="187" spans="1:7" x14ac:dyDescent="0.3">
      <c r="B187" s="66" t="s">
        <v>1057</v>
      </c>
      <c r="C187" s="66">
        <v>1755525010151</v>
      </c>
      <c r="D187" s="66" t="s">
        <v>1064</v>
      </c>
      <c r="E187" s="66" t="s">
        <v>389</v>
      </c>
      <c r="F187" s="66" t="s">
        <v>410</v>
      </c>
      <c r="G187" s="66"/>
    </row>
    <row r="188" spans="1:7" x14ac:dyDescent="0.3">
      <c r="B188" s="66" t="s">
        <v>1057</v>
      </c>
      <c r="C188" s="66">
        <v>1755525027168</v>
      </c>
      <c r="D188" s="66" t="s">
        <v>1065</v>
      </c>
      <c r="E188" s="66" t="s">
        <v>389</v>
      </c>
      <c r="F188" s="66" t="s">
        <v>502</v>
      </c>
      <c r="G188" s="66"/>
    </row>
    <row r="189" spans="1:7" x14ac:dyDescent="0.3">
      <c r="B189" s="66" t="s">
        <v>1057</v>
      </c>
      <c r="C189" s="66">
        <v>1755525029315</v>
      </c>
      <c r="D189" s="66" t="s">
        <v>1066</v>
      </c>
      <c r="E189" s="66" t="s">
        <v>389</v>
      </c>
      <c r="F189" s="66" t="s">
        <v>504</v>
      </c>
      <c r="G189" s="66"/>
    </row>
    <row r="190" spans="1:7" x14ac:dyDescent="0.3">
      <c r="B190" s="66" t="s">
        <v>1057</v>
      </c>
      <c r="C190" s="66">
        <v>1755525029822</v>
      </c>
      <c r="D190" s="66" t="s">
        <v>1067</v>
      </c>
      <c r="E190" s="66" t="s">
        <v>389</v>
      </c>
      <c r="F190" s="66" t="s">
        <v>506</v>
      </c>
      <c r="G190" s="66"/>
    </row>
    <row r="191" spans="1:7" x14ac:dyDescent="0.3">
      <c r="B191" s="66" t="s">
        <v>1057</v>
      </c>
      <c r="C191" s="66">
        <v>1755525037184</v>
      </c>
      <c r="D191" s="66" t="s">
        <v>1068</v>
      </c>
      <c r="E191" s="66" t="s">
        <v>389</v>
      </c>
      <c r="F191" s="66" t="s">
        <v>394</v>
      </c>
      <c r="G191" s="66"/>
    </row>
    <row r="192" spans="1:7" x14ac:dyDescent="0.3">
      <c r="B192" s="66" t="s">
        <v>1057</v>
      </c>
      <c r="C192" s="66">
        <v>1755525038008</v>
      </c>
      <c r="D192" s="66" t="s">
        <v>1069</v>
      </c>
      <c r="E192" s="66" t="s">
        <v>389</v>
      </c>
      <c r="F192" s="66" t="s">
        <v>402</v>
      </c>
      <c r="G192" s="66"/>
    </row>
    <row r="193" spans="2:7" x14ac:dyDescent="0.3">
      <c r="B193" s="66" t="s">
        <v>1057</v>
      </c>
      <c r="C193" s="66">
        <v>1755525038516</v>
      </c>
      <c r="D193" s="66" t="s">
        <v>1070</v>
      </c>
      <c r="E193" s="66" t="s">
        <v>389</v>
      </c>
      <c r="F193" s="66" t="s">
        <v>404</v>
      </c>
      <c r="G193" s="66"/>
    </row>
    <row r="194" spans="2:7" x14ac:dyDescent="0.3">
      <c r="B194" s="66" t="s">
        <v>1057</v>
      </c>
      <c r="C194" s="66">
        <v>1755525039975</v>
      </c>
      <c r="D194" s="66" t="s">
        <v>1071</v>
      </c>
      <c r="E194" s="66" t="s">
        <v>389</v>
      </c>
      <c r="F194" s="66" t="s">
        <v>515</v>
      </c>
      <c r="G194" s="66"/>
    </row>
    <row r="195" spans="2:7" x14ac:dyDescent="0.3">
      <c r="B195" s="66" t="s">
        <v>1057</v>
      </c>
      <c r="C195" s="66">
        <v>1755525049793</v>
      </c>
      <c r="D195" s="66" t="s">
        <v>1072</v>
      </c>
      <c r="E195" s="66" t="s">
        <v>389</v>
      </c>
      <c r="F195" s="66" t="s">
        <v>396</v>
      </c>
      <c r="G195" s="66"/>
    </row>
    <row r="196" spans="2:7" x14ac:dyDescent="0.3">
      <c r="B196" s="66" t="s">
        <v>1057</v>
      </c>
      <c r="C196" s="66">
        <v>1755525050547</v>
      </c>
      <c r="D196" s="66" t="s">
        <v>1073</v>
      </c>
      <c r="E196" s="66" t="s">
        <v>389</v>
      </c>
      <c r="F196" s="66" t="s">
        <v>398</v>
      </c>
      <c r="G196" s="66"/>
    </row>
    <row r="197" spans="2:7" x14ac:dyDescent="0.3">
      <c r="B197" s="66" t="s">
        <v>1057</v>
      </c>
      <c r="C197" s="66">
        <v>1755525051154</v>
      </c>
      <c r="D197" s="66" t="s">
        <v>1074</v>
      </c>
      <c r="E197" s="66" t="s">
        <v>389</v>
      </c>
      <c r="F197" s="66" t="s">
        <v>400</v>
      </c>
      <c r="G197" s="66"/>
    </row>
    <row r="198" spans="2:7" x14ac:dyDescent="0.3">
      <c r="B198" s="66" t="s">
        <v>1057</v>
      </c>
      <c r="C198" s="66">
        <v>1755525052593</v>
      </c>
      <c r="D198" s="66" t="s">
        <v>1075</v>
      </c>
      <c r="E198" s="66" t="s">
        <v>389</v>
      </c>
      <c r="F198" s="66" t="s">
        <v>506</v>
      </c>
      <c r="G198" s="66"/>
    </row>
    <row r="199" spans="2:7" x14ac:dyDescent="0.3">
      <c r="B199" s="66" t="s">
        <v>1057</v>
      </c>
      <c r="C199" s="66">
        <v>1755525055617</v>
      </c>
      <c r="D199" s="66" t="s">
        <v>1076</v>
      </c>
      <c r="E199" s="66" t="s">
        <v>389</v>
      </c>
      <c r="F199" s="66" t="s">
        <v>400</v>
      </c>
      <c r="G199" s="66"/>
    </row>
    <row r="200" spans="2:7" x14ac:dyDescent="0.3">
      <c r="B200" s="66" t="s">
        <v>1057</v>
      </c>
      <c r="C200" s="66">
        <v>1755525123689</v>
      </c>
      <c r="D200" s="66" t="s">
        <v>1077</v>
      </c>
      <c r="E200" s="66" t="s">
        <v>422</v>
      </c>
      <c r="F200" s="66" t="s">
        <v>420</v>
      </c>
      <c r="G200" s="66"/>
    </row>
    <row r="201" spans="2:7" x14ac:dyDescent="0.3">
      <c r="B201" s="66" t="s">
        <v>426</v>
      </c>
      <c r="C201" s="66">
        <v>1755525142050</v>
      </c>
      <c r="D201" s="66" t="s">
        <v>1078</v>
      </c>
      <c r="E201" s="66" t="s">
        <v>428</v>
      </c>
      <c r="F201" s="66" t="s">
        <v>429</v>
      </c>
      <c r="G201" s="66"/>
    </row>
    <row r="202" spans="2:7" x14ac:dyDescent="0.3">
      <c r="B202" s="66" t="s">
        <v>426</v>
      </c>
      <c r="C202" s="66">
        <v>1755525159018</v>
      </c>
      <c r="D202" s="66" t="s">
        <v>1079</v>
      </c>
      <c r="E202" s="66" t="s">
        <v>428</v>
      </c>
      <c r="F202" s="66" t="s">
        <v>431</v>
      </c>
      <c r="G202" s="66"/>
    </row>
    <row r="203" spans="2:7" x14ac:dyDescent="0.3">
      <c r="B203" s="66" t="s">
        <v>426</v>
      </c>
      <c r="C203" s="66">
        <v>1755525175915</v>
      </c>
      <c r="D203" s="66" t="s">
        <v>1080</v>
      </c>
      <c r="E203" s="66" t="s">
        <v>428</v>
      </c>
      <c r="F203" s="66" t="s">
        <v>453</v>
      </c>
      <c r="G203" s="66"/>
    </row>
    <row r="204" spans="2:7" x14ac:dyDescent="0.3">
      <c r="B204" s="66" t="s">
        <v>426</v>
      </c>
      <c r="C204" s="66">
        <v>1755525191374</v>
      </c>
      <c r="D204" s="66" t="s">
        <v>1081</v>
      </c>
      <c r="E204" s="66" t="s">
        <v>428</v>
      </c>
      <c r="F204" s="66" t="s">
        <v>447</v>
      </c>
      <c r="G204" s="66"/>
    </row>
    <row r="205" spans="2:7" x14ac:dyDescent="0.3">
      <c r="B205" s="66" t="s">
        <v>426</v>
      </c>
      <c r="C205" s="66">
        <v>1755525206874</v>
      </c>
      <c r="D205" s="66" t="s">
        <v>1082</v>
      </c>
      <c r="E205" s="66" t="s">
        <v>428</v>
      </c>
      <c r="F205" s="66" t="s">
        <v>435</v>
      </c>
      <c r="G205" s="66"/>
    </row>
    <row r="206" spans="2:7" x14ac:dyDescent="0.3">
      <c r="B206" s="66" t="s">
        <v>426</v>
      </c>
      <c r="C206" s="66">
        <v>1755525221603</v>
      </c>
      <c r="D206" s="66" t="s">
        <v>1083</v>
      </c>
      <c r="E206" s="66" t="s">
        <v>428</v>
      </c>
      <c r="F206" s="66" t="s">
        <v>437</v>
      </c>
      <c r="G206" s="66"/>
    </row>
    <row r="207" spans="2:7" x14ac:dyDescent="0.3">
      <c r="B207" s="66" t="s">
        <v>426</v>
      </c>
      <c r="C207" s="66">
        <v>1755525237938</v>
      </c>
      <c r="D207" s="66" t="s">
        <v>1084</v>
      </c>
      <c r="E207" s="66" t="s">
        <v>428</v>
      </c>
      <c r="F207" s="66" t="s">
        <v>439</v>
      </c>
      <c r="G207" s="66"/>
    </row>
    <row r="208" spans="2:7" x14ac:dyDescent="0.3">
      <c r="B208" s="66" t="s">
        <v>1057</v>
      </c>
      <c r="C208" s="66">
        <v>1755525265543</v>
      </c>
      <c r="D208" s="66" t="s">
        <v>1085</v>
      </c>
      <c r="E208" s="66" t="s">
        <v>424</v>
      </c>
      <c r="F208" s="66" t="s">
        <v>433</v>
      </c>
      <c r="G208" s="66"/>
    </row>
    <row r="209" spans="2:7" x14ac:dyDescent="0.3">
      <c r="B209" s="66" t="s">
        <v>1057</v>
      </c>
      <c r="C209" s="66">
        <v>1755525266004</v>
      </c>
      <c r="D209" s="66" t="s">
        <v>1086</v>
      </c>
      <c r="E209" s="66" t="s">
        <v>424</v>
      </c>
      <c r="F209" s="66" t="s">
        <v>457</v>
      </c>
      <c r="G209" s="66"/>
    </row>
    <row r="210" spans="2:7" x14ac:dyDescent="0.3">
      <c r="B210" s="66" t="s">
        <v>1057</v>
      </c>
      <c r="C210" s="66">
        <v>1755525266433</v>
      </c>
      <c r="D210" s="66" t="s">
        <v>1087</v>
      </c>
      <c r="E210" s="66" t="s">
        <v>424</v>
      </c>
      <c r="F210" s="66" t="s">
        <v>459</v>
      </c>
      <c r="G210" s="66"/>
    </row>
    <row r="211" spans="2:7" x14ac:dyDescent="0.3">
      <c r="B211" s="66" t="s">
        <v>1057</v>
      </c>
      <c r="C211" s="66">
        <v>1755525267061</v>
      </c>
      <c r="D211" s="66" t="s">
        <v>1088</v>
      </c>
      <c r="E211" s="66" t="s">
        <v>424</v>
      </c>
      <c r="F211" s="66" t="s">
        <v>461</v>
      </c>
      <c r="G211" s="66"/>
    </row>
    <row r="212" spans="2:7" x14ac:dyDescent="0.3">
      <c r="B212" s="66" t="s">
        <v>1057</v>
      </c>
      <c r="C212" s="66">
        <v>1755525267475</v>
      </c>
      <c r="D212" s="66" t="s">
        <v>1089</v>
      </c>
      <c r="E212" s="66" t="s">
        <v>424</v>
      </c>
      <c r="F212" s="66" t="s">
        <v>449</v>
      </c>
      <c r="G212" s="66"/>
    </row>
    <row r="213" spans="2:7" x14ac:dyDescent="0.3">
      <c r="B213" s="66" t="s">
        <v>1057</v>
      </c>
      <c r="C213" s="66">
        <v>1755525267939</v>
      </c>
      <c r="D213" s="66" t="s">
        <v>1090</v>
      </c>
      <c r="E213" s="66" t="s">
        <v>424</v>
      </c>
      <c r="F213" s="66" t="s">
        <v>451</v>
      </c>
      <c r="G213" s="66"/>
    </row>
    <row r="214" spans="2:7" x14ac:dyDescent="0.3">
      <c r="B214" s="66" t="s">
        <v>1057</v>
      </c>
      <c r="C214" s="66">
        <v>1755525268395</v>
      </c>
      <c r="D214" s="66" t="s">
        <v>1091</v>
      </c>
      <c r="E214" s="66" t="s">
        <v>424</v>
      </c>
      <c r="F214" s="66" t="s">
        <v>441</v>
      </c>
      <c r="G214" s="66"/>
    </row>
    <row r="215" spans="2:7" x14ac:dyDescent="0.3">
      <c r="B215" s="66" t="s">
        <v>1057</v>
      </c>
      <c r="C215" s="66">
        <v>1755525268778</v>
      </c>
      <c r="D215" s="66" t="s">
        <v>1092</v>
      </c>
      <c r="E215" s="66" t="s">
        <v>424</v>
      </c>
      <c r="F215" s="66" t="s">
        <v>425</v>
      </c>
      <c r="G215" s="66"/>
    </row>
    <row r="216" spans="2:7" x14ac:dyDescent="0.3">
      <c r="B216" s="66" t="s">
        <v>1057</v>
      </c>
      <c r="C216" s="66">
        <v>1755525269184</v>
      </c>
      <c r="D216" s="66" t="s">
        <v>1093</v>
      </c>
      <c r="E216" s="66" t="s">
        <v>424</v>
      </c>
      <c r="F216" s="66" t="s">
        <v>443</v>
      </c>
      <c r="G216" s="66"/>
    </row>
    <row r="217" spans="2:7" x14ac:dyDescent="0.3">
      <c r="B217" s="66" t="s">
        <v>1057</v>
      </c>
      <c r="C217" s="66">
        <v>1755525269583</v>
      </c>
      <c r="D217" s="66" t="s">
        <v>1094</v>
      </c>
      <c r="E217" s="66" t="s">
        <v>424</v>
      </c>
      <c r="F217" s="66" t="s">
        <v>445</v>
      </c>
      <c r="G217" s="66"/>
    </row>
    <row r="218" spans="2:7" x14ac:dyDescent="0.3">
      <c r="B218" s="66" t="s">
        <v>1057</v>
      </c>
      <c r="C218" s="66">
        <v>1755525269965</v>
      </c>
      <c r="D218" s="66" t="s">
        <v>1095</v>
      </c>
      <c r="E218" s="66" t="s">
        <v>424</v>
      </c>
      <c r="F218" s="66" t="s">
        <v>570</v>
      </c>
      <c r="G218" s="66"/>
    </row>
    <row r="219" spans="2:7" x14ac:dyDescent="0.3">
      <c r="B219" s="66" t="s">
        <v>1057</v>
      </c>
      <c r="C219" s="66">
        <v>1755525270426</v>
      </c>
      <c r="D219" s="66" t="s">
        <v>1096</v>
      </c>
      <c r="E219" s="66" t="s">
        <v>463</v>
      </c>
      <c r="F219" s="66" t="s">
        <v>464</v>
      </c>
      <c r="G219" s="66"/>
    </row>
    <row r="220" spans="2:7" x14ac:dyDescent="0.3">
      <c r="B220" s="65" t="s">
        <v>1097</v>
      </c>
      <c r="C220" s="65">
        <v>1755525280995</v>
      </c>
      <c r="D220" s="65" t="s">
        <v>1098</v>
      </c>
      <c r="E220" s="65" t="s">
        <v>416</v>
      </c>
      <c r="F220" s="65" t="s">
        <v>466</v>
      </c>
      <c r="G220" s="65"/>
    </row>
    <row r="221" spans="2:7" x14ac:dyDescent="0.3">
      <c r="B221" s="65" t="s">
        <v>1097</v>
      </c>
      <c r="C221" s="65">
        <v>1755525281089</v>
      </c>
      <c r="D221" s="65" t="s">
        <v>1099</v>
      </c>
      <c r="E221" s="65" t="s">
        <v>468</v>
      </c>
      <c r="F221" s="65" t="s">
        <v>1100</v>
      </c>
      <c r="G221" s="65"/>
    </row>
    <row r="222" spans="2:7" x14ac:dyDescent="0.3">
      <c r="B222" s="65" t="s">
        <v>1097</v>
      </c>
      <c r="C222" s="65">
        <v>1755525295420</v>
      </c>
      <c r="D222" s="65" t="s">
        <v>1101</v>
      </c>
      <c r="E222" s="65" t="s">
        <v>419</v>
      </c>
      <c r="F222" s="65" t="s">
        <v>420</v>
      </c>
      <c r="G222" s="65"/>
    </row>
    <row r="223" spans="2:7" x14ac:dyDescent="0.3">
      <c r="B223" s="65" t="s">
        <v>1097</v>
      </c>
      <c r="C223" s="65">
        <v>1755525359759</v>
      </c>
      <c r="D223" s="65" t="s">
        <v>1102</v>
      </c>
      <c r="E223" s="65" t="s">
        <v>422</v>
      </c>
      <c r="F223" s="65" t="s">
        <v>420</v>
      </c>
      <c r="G223" s="65"/>
    </row>
    <row r="224" spans="2:7" x14ac:dyDescent="0.3">
      <c r="B224" s="65" t="s">
        <v>426</v>
      </c>
      <c r="C224" s="65">
        <v>1755525375232</v>
      </c>
      <c r="D224" s="65" t="s">
        <v>1103</v>
      </c>
      <c r="E224" s="65" t="s">
        <v>428</v>
      </c>
      <c r="F224" s="65" t="s">
        <v>429</v>
      </c>
      <c r="G224" s="65"/>
    </row>
    <row r="225" spans="2:7" x14ac:dyDescent="0.3">
      <c r="B225" s="65" t="s">
        <v>426</v>
      </c>
      <c r="C225" s="65">
        <v>1755525390805</v>
      </c>
      <c r="D225" s="65" t="s">
        <v>1104</v>
      </c>
      <c r="E225" s="65" t="s">
        <v>428</v>
      </c>
      <c r="F225" s="65" t="s">
        <v>431</v>
      </c>
      <c r="G225" s="65"/>
    </row>
    <row r="226" spans="2:7" x14ac:dyDescent="0.3">
      <c r="B226" s="65" t="s">
        <v>426</v>
      </c>
      <c r="C226" s="65">
        <v>1755525404849</v>
      </c>
      <c r="D226" s="65" t="s">
        <v>1105</v>
      </c>
      <c r="E226" s="65" t="s">
        <v>428</v>
      </c>
      <c r="F226" s="65" t="s">
        <v>453</v>
      </c>
      <c r="G226" s="65"/>
    </row>
    <row r="227" spans="2:7" x14ac:dyDescent="0.3">
      <c r="B227" s="65" t="s">
        <v>426</v>
      </c>
      <c r="C227" s="65">
        <v>1755525419622</v>
      </c>
      <c r="D227" s="65" t="s">
        <v>1106</v>
      </c>
      <c r="E227" s="65" t="s">
        <v>428</v>
      </c>
      <c r="F227" s="65" t="s">
        <v>447</v>
      </c>
      <c r="G227" s="65"/>
    </row>
    <row r="228" spans="2:7" x14ac:dyDescent="0.3">
      <c r="B228" s="65" t="s">
        <v>426</v>
      </c>
      <c r="C228" s="65">
        <v>1755525438773</v>
      </c>
      <c r="D228" s="65" t="s">
        <v>1107</v>
      </c>
      <c r="E228" s="65" t="s">
        <v>428</v>
      </c>
      <c r="F228" s="65" t="s">
        <v>435</v>
      </c>
      <c r="G228" s="65"/>
    </row>
    <row r="229" spans="2:7" x14ac:dyDescent="0.3">
      <c r="B229" s="65" t="s">
        <v>426</v>
      </c>
      <c r="C229" s="65">
        <v>1755525457967</v>
      </c>
      <c r="D229" s="65" t="s">
        <v>1108</v>
      </c>
      <c r="E229" s="65" t="s">
        <v>428</v>
      </c>
      <c r="F229" s="65" t="s">
        <v>437</v>
      </c>
      <c r="G229" s="65"/>
    </row>
    <row r="230" spans="2:7" x14ac:dyDescent="0.3">
      <c r="B230" s="65" t="s">
        <v>426</v>
      </c>
      <c r="C230" s="65">
        <v>1755525476485</v>
      </c>
      <c r="D230" s="65" t="s">
        <v>1109</v>
      </c>
      <c r="E230" s="65" t="s">
        <v>428</v>
      </c>
      <c r="F230" s="65" t="s">
        <v>439</v>
      </c>
      <c r="G230" s="65"/>
    </row>
    <row r="231" spans="2:7" x14ac:dyDescent="0.3">
      <c r="B231" s="65" t="s">
        <v>1097</v>
      </c>
      <c r="C231" s="65">
        <v>1755525491982</v>
      </c>
      <c r="D231" s="65" t="s">
        <v>1110</v>
      </c>
      <c r="E231" s="65" t="s">
        <v>424</v>
      </c>
      <c r="F231" s="65" t="s">
        <v>433</v>
      </c>
      <c r="G231" s="65"/>
    </row>
    <row r="232" spans="2:7" x14ac:dyDescent="0.3">
      <c r="B232" s="65" t="s">
        <v>1097</v>
      </c>
      <c r="C232" s="65">
        <v>1755525492159</v>
      </c>
      <c r="D232" s="65" t="s">
        <v>1111</v>
      </c>
      <c r="E232" s="65" t="s">
        <v>424</v>
      </c>
      <c r="F232" s="65" t="s">
        <v>457</v>
      </c>
      <c r="G232" s="65"/>
    </row>
    <row r="233" spans="2:7" x14ac:dyDescent="0.3">
      <c r="B233" s="65" t="s">
        <v>1097</v>
      </c>
      <c r="C233" s="65">
        <v>1755525492385</v>
      </c>
      <c r="D233" s="65" t="s">
        <v>1112</v>
      </c>
      <c r="E233" s="65" t="s">
        <v>424</v>
      </c>
      <c r="F233" s="65" t="s">
        <v>459</v>
      </c>
      <c r="G233" s="65"/>
    </row>
    <row r="234" spans="2:7" x14ac:dyDescent="0.3">
      <c r="B234" s="65" t="s">
        <v>1097</v>
      </c>
      <c r="C234" s="65">
        <v>1755525492610</v>
      </c>
      <c r="D234" s="65" t="s">
        <v>1113</v>
      </c>
      <c r="E234" s="65" t="s">
        <v>424</v>
      </c>
      <c r="F234" s="65" t="s">
        <v>461</v>
      </c>
      <c r="G234" s="65"/>
    </row>
    <row r="235" spans="2:7" x14ac:dyDescent="0.3">
      <c r="B235" s="65" t="s">
        <v>1097</v>
      </c>
      <c r="C235" s="65">
        <v>1755525492821</v>
      </c>
      <c r="D235" s="65" t="s">
        <v>1114</v>
      </c>
      <c r="E235" s="65" t="s">
        <v>424</v>
      </c>
      <c r="F235" s="65" t="s">
        <v>449</v>
      </c>
      <c r="G235" s="65"/>
    </row>
    <row r="236" spans="2:7" x14ac:dyDescent="0.3">
      <c r="B236" s="65" t="s">
        <v>1097</v>
      </c>
      <c r="C236" s="65">
        <v>1755525493046</v>
      </c>
      <c r="D236" s="65" t="s">
        <v>1115</v>
      </c>
      <c r="E236" s="65" t="s">
        <v>424</v>
      </c>
      <c r="F236" s="65" t="s">
        <v>451</v>
      </c>
      <c r="G236" s="65"/>
    </row>
    <row r="237" spans="2:7" x14ac:dyDescent="0.3">
      <c r="B237" s="65" t="s">
        <v>1097</v>
      </c>
      <c r="C237" s="65">
        <v>1755525493292</v>
      </c>
      <c r="D237" s="65" t="s">
        <v>1116</v>
      </c>
      <c r="E237" s="65" t="s">
        <v>424</v>
      </c>
      <c r="F237" s="65" t="s">
        <v>441</v>
      </c>
      <c r="G237" s="65"/>
    </row>
    <row r="238" spans="2:7" x14ac:dyDescent="0.3">
      <c r="B238" s="65" t="s">
        <v>1097</v>
      </c>
      <c r="C238" s="65">
        <v>1755525493488</v>
      </c>
      <c r="D238" s="65" t="s">
        <v>1117</v>
      </c>
      <c r="E238" s="65" t="s">
        <v>424</v>
      </c>
      <c r="F238" s="65" t="s">
        <v>443</v>
      </c>
      <c r="G238" s="65"/>
    </row>
    <row r="239" spans="2:7" x14ac:dyDescent="0.3">
      <c r="B239" s="65" t="s">
        <v>1097</v>
      </c>
      <c r="C239" s="65">
        <v>1755525493726</v>
      </c>
      <c r="D239" s="65" t="s">
        <v>1118</v>
      </c>
      <c r="E239" s="65" t="s">
        <v>424</v>
      </c>
      <c r="F239" s="65" t="s">
        <v>445</v>
      </c>
      <c r="G239" s="65"/>
    </row>
    <row r="240" spans="2:7" x14ac:dyDescent="0.3">
      <c r="B240" s="65" t="s">
        <v>1097</v>
      </c>
      <c r="C240" s="65">
        <v>1755525493969</v>
      </c>
      <c r="D240" s="65" t="s">
        <v>1119</v>
      </c>
      <c r="E240" s="65" t="s">
        <v>424</v>
      </c>
      <c r="F240" s="65" t="s">
        <v>425</v>
      </c>
      <c r="G240" s="65"/>
    </row>
    <row r="241" spans="1:7" x14ac:dyDescent="0.3">
      <c r="B241" s="65" t="s">
        <v>1097</v>
      </c>
      <c r="C241" s="65">
        <v>1755525494148</v>
      </c>
      <c r="D241" s="65" t="s">
        <v>1120</v>
      </c>
      <c r="E241" s="65" t="s">
        <v>424</v>
      </c>
      <c r="F241" s="65" t="s">
        <v>570</v>
      </c>
      <c r="G241" s="65"/>
    </row>
    <row r="242" spans="1:7" x14ac:dyDescent="0.3">
      <c r="B242" s="65" t="s">
        <v>1097</v>
      </c>
      <c r="C242" s="65">
        <v>1755525494409</v>
      </c>
      <c r="D242" s="65" t="s">
        <v>1121</v>
      </c>
      <c r="E242" s="65" t="s">
        <v>463</v>
      </c>
      <c r="F242" s="65" t="s">
        <v>464</v>
      </c>
      <c r="G242" s="65"/>
    </row>
    <row r="243" spans="1:7" ht="18" x14ac:dyDescent="0.35">
      <c r="A243" s="61" t="s">
        <v>1164</v>
      </c>
      <c r="B243" s="63" t="s">
        <v>1122</v>
      </c>
      <c r="C243" s="63">
        <v>1755683968391</v>
      </c>
      <c r="D243" s="63" t="s">
        <v>1123</v>
      </c>
      <c r="E243" s="63" t="s">
        <v>416</v>
      </c>
      <c r="F243" s="63" t="s">
        <v>417</v>
      </c>
    </row>
    <row r="244" spans="1:7" x14ac:dyDescent="0.3">
      <c r="B244" s="63" t="s">
        <v>1122</v>
      </c>
      <c r="C244" s="63">
        <v>1755683968890</v>
      </c>
      <c r="D244" s="63" t="s">
        <v>1124</v>
      </c>
      <c r="E244" s="63" t="s">
        <v>419</v>
      </c>
      <c r="F244" s="63" t="s">
        <v>420</v>
      </c>
    </row>
    <row r="245" spans="1:7" x14ac:dyDescent="0.3">
      <c r="B245" s="63" t="s">
        <v>1122</v>
      </c>
      <c r="C245" s="63">
        <v>1755683992924</v>
      </c>
      <c r="D245" s="63" t="s">
        <v>1125</v>
      </c>
      <c r="E245" s="63" t="s">
        <v>389</v>
      </c>
      <c r="F245" s="63" t="s">
        <v>1126</v>
      </c>
    </row>
    <row r="246" spans="1:7" x14ac:dyDescent="0.3">
      <c r="B246" s="63" t="s">
        <v>1122</v>
      </c>
      <c r="C246" s="63">
        <v>1755683993342</v>
      </c>
      <c r="D246" s="63" t="s">
        <v>1127</v>
      </c>
      <c r="E246" s="63" t="s">
        <v>389</v>
      </c>
      <c r="F246" s="63" t="s">
        <v>398</v>
      </c>
    </row>
    <row r="247" spans="1:7" x14ac:dyDescent="0.3">
      <c r="B247" s="63" t="s">
        <v>1122</v>
      </c>
      <c r="C247" s="63">
        <v>1755684004329</v>
      </c>
      <c r="D247" s="63" t="s">
        <v>1128</v>
      </c>
      <c r="E247" s="63" t="s">
        <v>389</v>
      </c>
      <c r="F247" s="63" t="s">
        <v>390</v>
      </c>
    </row>
    <row r="248" spans="1:7" x14ac:dyDescent="0.3">
      <c r="B248" s="63" t="s">
        <v>1122</v>
      </c>
      <c r="C248" s="63">
        <v>1755684005371</v>
      </c>
      <c r="D248" s="63" t="s">
        <v>1129</v>
      </c>
      <c r="E248" s="63" t="s">
        <v>389</v>
      </c>
      <c r="F248" s="63" t="s">
        <v>659</v>
      </c>
    </row>
    <row r="249" spans="1:7" x14ac:dyDescent="0.3">
      <c r="B249" s="63" t="s">
        <v>1122</v>
      </c>
      <c r="C249" s="63">
        <v>1755684007636</v>
      </c>
      <c r="D249" s="63" t="s">
        <v>1130</v>
      </c>
      <c r="E249" s="63" t="s">
        <v>389</v>
      </c>
      <c r="F249" s="63" t="s">
        <v>502</v>
      </c>
    </row>
    <row r="250" spans="1:7" x14ac:dyDescent="0.3">
      <c r="B250" s="63" t="s">
        <v>1122</v>
      </c>
      <c r="C250" s="63">
        <v>1755684017642</v>
      </c>
      <c r="D250" s="63" t="s">
        <v>1131</v>
      </c>
      <c r="E250" s="63" t="s">
        <v>389</v>
      </c>
      <c r="F250" s="63" t="s">
        <v>402</v>
      </c>
    </row>
    <row r="251" spans="1:7" x14ac:dyDescent="0.3">
      <c r="B251" s="63" t="s">
        <v>1122</v>
      </c>
      <c r="C251" s="63">
        <v>1755684018803</v>
      </c>
      <c r="D251" s="63" t="s">
        <v>1132</v>
      </c>
      <c r="E251" s="63" t="s">
        <v>389</v>
      </c>
      <c r="F251" s="63" t="s">
        <v>660</v>
      </c>
    </row>
    <row r="252" spans="1:7" x14ac:dyDescent="0.3">
      <c r="B252" s="63" t="s">
        <v>1122</v>
      </c>
      <c r="C252" s="63">
        <v>1755684022323</v>
      </c>
      <c r="D252" s="63" t="s">
        <v>1133</v>
      </c>
      <c r="E252" s="63" t="s">
        <v>389</v>
      </c>
      <c r="F252" s="63" t="s">
        <v>511</v>
      </c>
    </row>
    <row r="253" spans="1:7" x14ac:dyDescent="0.3">
      <c r="B253" s="63" t="s">
        <v>1122</v>
      </c>
      <c r="C253" s="63">
        <v>1755684023461</v>
      </c>
      <c r="D253" s="63" t="s">
        <v>1134</v>
      </c>
      <c r="E253" s="63" t="s">
        <v>389</v>
      </c>
      <c r="F253" s="63" t="s">
        <v>581</v>
      </c>
    </row>
    <row r="254" spans="1:7" x14ac:dyDescent="0.3">
      <c r="B254" s="63" t="s">
        <v>1122</v>
      </c>
      <c r="C254" s="63">
        <v>1755684026725</v>
      </c>
      <c r="D254" s="63" t="s">
        <v>1135</v>
      </c>
      <c r="E254" s="63" t="s">
        <v>389</v>
      </c>
      <c r="F254" s="63" t="s">
        <v>495</v>
      </c>
    </row>
    <row r="255" spans="1:7" x14ac:dyDescent="0.3">
      <c r="B255" s="63" t="s">
        <v>1122</v>
      </c>
      <c r="C255" s="63">
        <v>1755684031908</v>
      </c>
      <c r="D255" s="63" t="s">
        <v>1136</v>
      </c>
      <c r="E255" s="63" t="s">
        <v>389</v>
      </c>
      <c r="F255" s="63" t="s">
        <v>410</v>
      </c>
    </row>
    <row r="256" spans="1:7" x14ac:dyDescent="0.3">
      <c r="B256" s="63" t="s">
        <v>1122</v>
      </c>
      <c r="C256" s="63">
        <v>1755684032960</v>
      </c>
      <c r="D256" s="63" t="s">
        <v>1137</v>
      </c>
      <c r="E256" s="63" t="s">
        <v>389</v>
      </c>
      <c r="F256" s="63" t="s">
        <v>414</v>
      </c>
    </row>
    <row r="257" spans="2:6" x14ac:dyDescent="0.3">
      <c r="B257" s="63" t="s">
        <v>1122</v>
      </c>
      <c r="C257" s="63">
        <v>1755684054087</v>
      </c>
      <c r="D257" s="63" t="s">
        <v>1138</v>
      </c>
      <c r="E257" s="63" t="s">
        <v>389</v>
      </c>
      <c r="F257" s="63" t="s">
        <v>1139</v>
      </c>
    </row>
    <row r="258" spans="2:6" x14ac:dyDescent="0.3">
      <c r="B258" s="63" t="s">
        <v>1122</v>
      </c>
      <c r="C258" s="63">
        <v>1755684054247</v>
      </c>
      <c r="D258" s="63" t="s">
        <v>1140</v>
      </c>
      <c r="E258" s="63" t="s">
        <v>389</v>
      </c>
      <c r="F258" s="63" t="s">
        <v>1141</v>
      </c>
    </row>
    <row r="259" spans="2:6" x14ac:dyDescent="0.3">
      <c r="B259" s="63" t="s">
        <v>1122</v>
      </c>
      <c r="C259" s="63">
        <v>1755684054482</v>
      </c>
      <c r="D259" s="63" t="s">
        <v>1142</v>
      </c>
      <c r="E259" s="63" t="s">
        <v>389</v>
      </c>
      <c r="F259" s="63" t="s">
        <v>1143</v>
      </c>
    </row>
    <row r="260" spans="2:6" x14ac:dyDescent="0.3">
      <c r="B260" s="63" t="s">
        <v>1122</v>
      </c>
      <c r="C260" s="63">
        <v>1755684054609</v>
      </c>
      <c r="D260" s="63" t="s">
        <v>1144</v>
      </c>
      <c r="E260" s="63" t="s">
        <v>389</v>
      </c>
      <c r="F260" s="63" t="s">
        <v>1139</v>
      </c>
    </row>
    <row r="261" spans="2:6" x14ac:dyDescent="0.3">
      <c r="B261" s="63" t="s">
        <v>1122</v>
      </c>
      <c r="C261" s="63">
        <v>1755684054790</v>
      </c>
      <c r="D261" s="63" t="s">
        <v>1145</v>
      </c>
      <c r="E261" s="63" t="s">
        <v>389</v>
      </c>
      <c r="F261" s="63" t="s">
        <v>1146</v>
      </c>
    </row>
    <row r="262" spans="2:6" x14ac:dyDescent="0.3">
      <c r="B262" s="63" t="s">
        <v>1122</v>
      </c>
      <c r="C262" s="63">
        <v>1755684054932</v>
      </c>
      <c r="D262" s="63" t="s">
        <v>1147</v>
      </c>
      <c r="E262" s="63" t="s">
        <v>389</v>
      </c>
      <c r="F262" s="63" t="s">
        <v>1139</v>
      </c>
    </row>
    <row r="263" spans="2:6" x14ac:dyDescent="0.3">
      <c r="B263" s="63" t="s">
        <v>1122</v>
      </c>
      <c r="C263" s="63">
        <v>1755684055084</v>
      </c>
      <c r="D263" s="63" t="s">
        <v>1148</v>
      </c>
      <c r="E263" s="63" t="s">
        <v>389</v>
      </c>
      <c r="F263" s="63" t="s">
        <v>1146</v>
      </c>
    </row>
    <row r="264" spans="2:6" x14ac:dyDescent="0.3">
      <c r="B264" s="63" t="s">
        <v>1122</v>
      </c>
      <c r="C264" s="63">
        <v>1755684055236</v>
      </c>
      <c r="D264" s="63" t="s">
        <v>1149</v>
      </c>
      <c r="E264" s="63" t="s">
        <v>389</v>
      </c>
      <c r="F264" s="63" t="s">
        <v>1139</v>
      </c>
    </row>
    <row r="265" spans="2:6" x14ac:dyDescent="0.3">
      <c r="B265" s="63" t="s">
        <v>1122</v>
      </c>
      <c r="C265" s="63">
        <v>1755684056951</v>
      </c>
      <c r="D265" s="63" t="s">
        <v>1150</v>
      </c>
      <c r="E265" s="63" t="s">
        <v>389</v>
      </c>
      <c r="F265" s="63" t="s">
        <v>1143</v>
      </c>
    </row>
    <row r="266" spans="2:6" x14ac:dyDescent="0.3">
      <c r="B266" s="63" t="s">
        <v>1122</v>
      </c>
      <c r="C266" s="63">
        <v>1755684057438</v>
      </c>
      <c r="D266" s="63" t="s">
        <v>1151</v>
      </c>
      <c r="E266" s="63" t="s">
        <v>389</v>
      </c>
      <c r="F266" s="63" t="s">
        <v>506</v>
      </c>
    </row>
    <row r="267" spans="2:6" x14ac:dyDescent="0.3">
      <c r="B267" s="63" t="s">
        <v>1122</v>
      </c>
      <c r="C267" s="63">
        <v>1755684058037</v>
      </c>
      <c r="D267" s="63" t="s">
        <v>1152</v>
      </c>
      <c r="E267" s="63" t="s">
        <v>389</v>
      </c>
      <c r="F267" s="63" t="s">
        <v>1143</v>
      </c>
    </row>
    <row r="268" spans="2:6" x14ac:dyDescent="0.3">
      <c r="B268" s="63" t="s">
        <v>1122</v>
      </c>
      <c r="C268" s="63">
        <v>1755684062654</v>
      </c>
      <c r="D268" s="63" t="s">
        <v>1153</v>
      </c>
      <c r="E268" s="63" t="s">
        <v>422</v>
      </c>
      <c r="F268" s="63" t="s">
        <v>420</v>
      </c>
    </row>
    <row r="269" spans="2:6" x14ac:dyDescent="0.3">
      <c r="B269" s="63" t="s">
        <v>1122</v>
      </c>
      <c r="C269" s="63">
        <v>1755684070639</v>
      </c>
      <c r="D269" s="63" t="s">
        <v>1154</v>
      </c>
      <c r="E269" s="63" t="s">
        <v>424</v>
      </c>
      <c r="F269" s="63" t="s">
        <v>549</v>
      </c>
    </row>
    <row r="270" spans="2:6" x14ac:dyDescent="0.3">
      <c r="B270" s="63" t="s">
        <v>1122</v>
      </c>
      <c r="C270" s="63">
        <v>1755684078809</v>
      </c>
      <c r="D270" s="63" t="s">
        <v>1155</v>
      </c>
      <c r="E270" s="63" t="s">
        <v>424</v>
      </c>
      <c r="F270" s="63" t="s">
        <v>553</v>
      </c>
    </row>
    <row r="271" spans="2:6" x14ac:dyDescent="0.3">
      <c r="B271" s="63" t="s">
        <v>426</v>
      </c>
      <c r="C271" s="63">
        <v>1755684085732</v>
      </c>
      <c r="D271" s="63" t="s">
        <v>1156</v>
      </c>
      <c r="E271" s="63" t="s">
        <v>428</v>
      </c>
      <c r="F271" s="63" t="s">
        <v>437</v>
      </c>
    </row>
    <row r="272" spans="2:6" x14ac:dyDescent="0.3">
      <c r="B272" s="63" t="s">
        <v>1122</v>
      </c>
      <c r="C272" s="63">
        <v>1755684094269</v>
      </c>
      <c r="D272" s="63" t="s">
        <v>1157</v>
      </c>
      <c r="E272" s="63" t="s">
        <v>424</v>
      </c>
      <c r="F272" s="63" t="s">
        <v>441</v>
      </c>
    </row>
    <row r="273" spans="2:6" x14ac:dyDescent="0.3">
      <c r="B273" s="63" t="s">
        <v>1122</v>
      </c>
      <c r="C273" s="63">
        <v>1755684102600</v>
      </c>
      <c r="D273" s="63" t="s">
        <v>1158</v>
      </c>
      <c r="E273" s="63" t="s">
        <v>424</v>
      </c>
      <c r="F273" s="63" t="s">
        <v>667</v>
      </c>
    </row>
    <row r="274" spans="2:6" x14ac:dyDescent="0.3">
      <c r="B274" s="63" t="s">
        <v>426</v>
      </c>
      <c r="C274" s="63">
        <v>1755684103777</v>
      </c>
      <c r="D274" s="63" t="s">
        <v>1159</v>
      </c>
      <c r="E274" s="63" t="s">
        <v>428</v>
      </c>
      <c r="F274" s="63" t="s">
        <v>429</v>
      </c>
    </row>
    <row r="275" spans="2:6" x14ac:dyDescent="0.3">
      <c r="B275" s="63" t="s">
        <v>1122</v>
      </c>
      <c r="C275" s="63">
        <v>1755684110684</v>
      </c>
      <c r="D275" s="63" t="s">
        <v>1160</v>
      </c>
      <c r="E275" s="63" t="s">
        <v>424</v>
      </c>
      <c r="F275" s="63" t="s">
        <v>433</v>
      </c>
    </row>
    <row r="276" spans="2:6" x14ac:dyDescent="0.3">
      <c r="B276" s="63" t="s">
        <v>1122</v>
      </c>
      <c r="C276" s="63">
        <v>1755684116218</v>
      </c>
      <c r="D276" s="63" t="s">
        <v>1161</v>
      </c>
      <c r="E276" s="63" t="s">
        <v>424</v>
      </c>
      <c r="F276" s="63" t="s">
        <v>443</v>
      </c>
    </row>
    <row r="277" spans="2:6" x14ac:dyDescent="0.3">
      <c r="B277" s="63" t="s">
        <v>1122</v>
      </c>
      <c r="C277" s="63">
        <v>1755684123744</v>
      </c>
      <c r="D277" s="63" t="s">
        <v>1162</v>
      </c>
      <c r="E277" s="63" t="s">
        <v>424</v>
      </c>
      <c r="F277" s="63" t="s">
        <v>518</v>
      </c>
    </row>
    <row r="278" spans="2:6" x14ac:dyDescent="0.3">
      <c r="B278" s="63" t="s">
        <v>426</v>
      </c>
      <c r="C278" s="63">
        <v>1755684135376</v>
      </c>
      <c r="D278" s="63" t="s">
        <v>1163</v>
      </c>
      <c r="E278" s="63" t="s">
        <v>428</v>
      </c>
      <c r="F278" s="63" t="s">
        <v>672</v>
      </c>
    </row>
    <row r="279" spans="2:6" x14ac:dyDescent="0.3">
      <c r="B279" s="63" t="s">
        <v>1122</v>
      </c>
      <c r="C279" s="63">
        <v>1755684141804</v>
      </c>
      <c r="D279" s="63" t="s">
        <v>1165</v>
      </c>
      <c r="E279" s="63" t="s">
        <v>424</v>
      </c>
      <c r="F279" s="63" t="s">
        <v>457</v>
      </c>
    </row>
    <row r="280" spans="2:6" x14ac:dyDescent="0.3">
      <c r="B280" s="63" t="s">
        <v>426</v>
      </c>
      <c r="C280" s="63">
        <v>1755684161412</v>
      </c>
      <c r="D280" s="63" t="s">
        <v>1166</v>
      </c>
      <c r="E280" s="63" t="s">
        <v>428</v>
      </c>
      <c r="F280" s="63" t="s">
        <v>610</v>
      </c>
    </row>
    <row r="281" spans="2:6" x14ac:dyDescent="0.3">
      <c r="B281" s="63" t="s">
        <v>1122</v>
      </c>
      <c r="C281" s="63">
        <v>1755684170822</v>
      </c>
      <c r="D281" s="63" t="s">
        <v>1167</v>
      </c>
      <c r="E281" s="63" t="s">
        <v>424</v>
      </c>
      <c r="F281" s="63" t="s">
        <v>461</v>
      </c>
    </row>
    <row r="282" spans="2:6" x14ac:dyDescent="0.3">
      <c r="B282" s="63" t="s">
        <v>426</v>
      </c>
      <c r="C282" s="63">
        <v>1755684178529</v>
      </c>
      <c r="D282" s="63" t="s">
        <v>1168</v>
      </c>
      <c r="E282" s="63" t="s">
        <v>428</v>
      </c>
      <c r="F282" s="63" t="s">
        <v>523</v>
      </c>
    </row>
    <row r="283" spans="2:6" x14ac:dyDescent="0.3">
      <c r="B283" s="63" t="s">
        <v>426</v>
      </c>
      <c r="C283" s="63">
        <v>1755684194329</v>
      </c>
      <c r="D283" s="63" t="s">
        <v>1169</v>
      </c>
      <c r="E283" s="63" t="s">
        <v>428</v>
      </c>
      <c r="F283" s="63" t="s">
        <v>447</v>
      </c>
    </row>
    <row r="284" spans="2:6" x14ac:dyDescent="0.3">
      <c r="B284" s="63" t="s">
        <v>1122</v>
      </c>
      <c r="C284" s="63">
        <v>1755684197007</v>
      </c>
      <c r="D284" s="63" t="s">
        <v>1170</v>
      </c>
      <c r="E284" s="63" t="s">
        <v>424</v>
      </c>
      <c r="F284" s="63" t="s">
        <v>449</v>
      </c>
    </row>
    <row r="285" spans="2:6" x14ac:dyDescent="0.3">
      <c r="B285" s="63" t="s">
        <v>1122</v>
      </c>
      <c r="C285" s="63">
        <v>1755684204005</v>
      </c>
      <c r="D285" s="63" t="s">
        <v>1171</v>
      </c>
      <c r="E285" s="63" t="s">
        <v>424</v>
      </c>
      <c r="F285" s="63" t="s">
        <v>451</v>
      </c>
    </row>
    <row r="286" spans="2:6" x14ac:dyDescent="0.3">
      <c r="B286" s="63" t="s">
        <v>1122</v>
      </c>
      <c r="C286" s="63">
        <v>1755684215970</v>
      </c>
      <c r="D286" s="63" t="s">
        <v>1172</v>
      </c>
      <c r="E286" s="63" t="s">
        <v>463</v>
      </c>
      <c r="F286" s="63" t="s">
        <v>464</v>
      </c>
    </row>
    <row r="287" spans="2:6" x14ac:dyDescent="0.3">
      <c r="B287" s="63" t="s">
        <v>426</v>
      </c>
      <c r="C287" s="63">
        <v>1755684216127</v>
      </c>
      <c r="D287" s="63" t="s">
        <v>1173</v>
      </c>
      <c r="E287" s="63" t="s">
        <v>428</v>
      </c>
      <c r="F287" s="63" t="s">
        <v>455</v>
      </c>
    </row>
    <row r="288" spans="2:6" x14ac:dyDescent="0.3">
      <c r="B288" s="58" t="s">
        <v>1174</v>
      </c>
      <c r="C288" s="58">
        <v>1755684224928</v>
      </c>
      <c r="D288" s="58" t="s">
        <v>1175</v>
      </c>
      <c r="E288" s="58" t="s">
        <v>416</v>
      </c>
      <c r="F288" s="58" t="s">
        <v>466</v>
      </c>
    </row>
    <row r="289" spans="2:6" x14ac:dyDescent="0.3">
      <c r="B289" s="58" t="s">
        <v>1174</v>
      </c>
      <c r="C289" s="58">
        <v>1755684225173</v>
      </c>
      <c r="D289" s="58" t="s">
        <v>1176</v>
      </c>
      <c r="E289" s="58" t="s">
        <v>468</v>
      </c>
      <c r="F289" s="58" t="s">
        <v>1177</v>
      </c>
    </row>
    <row r="290" spans="2:6" x14ac:dyDescent="0.3">
      <c r="B290" s="58" t="s">
        <v>1174</v>
      </c>
      <c r="C290" s="58">
        <v>1755684239654</v>
      </c>
      <c r="D290" s="58" t="s">
        <v>1178</v>
      </c>
      <c r="E290" s="58" t="s">
        <v>419</v>
      </c>
      <c r="F290" s="58" t="s">
        <v>420</v>
      </c>
    </row>
    <row r="291" spans="2:6" x14ac:dyDescent="0.3">
      <c r="B291" s="58" t="s">
        <v>1174</v>
      </c>
      <c r="C291" s="58">
        <v>1755684239773</v>
      </c>
      <c r="D291" s="58" t="s">
        <v>1179</v>
      </c>
      <c r="E291" s="58" t="s">
        <v>389</v>
      </c>
      <c r="F291" s="58" t="s">
        <v>1180</v>
      </c>
    </row>
    <row r="292" spans="2:6" x14ac:dyDescent="0.3">
      <c r="B292" s="58" t="s">
        <v>1174</v>
      </c>
      <c r="C292" s="58">
        <v>1755684239918</v>
      </c>
      <c r="D292" s="58" t="s">
        <v>1181</v>
      </c>
      <c r="E292" s="58" t="s">
        <v>389</v>
      </c>
      <c r="F292" s="58" t="s">
        <v>506</v>
      </c>
    </row>
    <row r="293" spans="2:6" x14ac:dyDescent="0.3">
      <c r="B293" s="58" t="s">
        <v>1174</v>
      </c>
      <c r="C293" s="58">
        <v>1755684240025</v>
      </c>
      <c r="D293" s="58" t="s">
        <v>1182</v>
      </c>
      <c r="E293" s="58" t="s">
        <v>389</v>
      </c>
      <c r="F293" s="58" t="s">
        <v>1180</v>
      </c>
    </row>
    <row r="294" spans="2:6" x14ac:dyDescent="0.3">
      <c r="B294" s="58" t="s">
        <v>1174</v>
      </c>
      <c r="C294" s="58">
        <v>1755684240116</v>
      </c>
      <c r="D294" s="58" t="s">
        <v>1183</v>
      </c>
      <c r="E294" s="58" t="s">
        <v>389</v>
      </c>
      <c r="F294" s="58" t="s">
        <v>506</v>
      </c>
    </row>
    <row r="295" spans="2:6" x14ac:dyDescent="0.3">
      <c r="B295" s="58" t="s">
        <v>1174</v>
      </c>
      <c r="C295" s="58">
        <v>1755684257118</v>
      </c>
      <c r="D295" s="58" t="s">
        <v>1184</v>
      </c>
      <c r="E295" s="58" t="s">
        <v>389</v>
      </c>
      <c r="F295" s="58" t="s">
        <v>408</v>
      </c>
    </row>
    <row r="296" spans="2:6" x14ac:dyDescent="0.3">
      <c r="B296" s="58" t="s">
        <v>1174</v>
      </c>
      <c r="C296" s="58">
        <v>1755684258595</v>
      </c>
      <c r="D296" s="58" t="s">
        <v>1185</v>
      </c>
      <c r="E296" s="58" t="s">
        <v>389</v>
      </c>
      <c r="F296" s="58" t="s">
        <v>581</v>
      </c>
    </row>
    <row r="297" spans="2:6" x14ac:dyDescent="0.3">
      <c r="B297" s="58" t="s">
        <v>1174</v>
      </c>
      <c r="C297" s="58">
        <v>1755684275330</v>
      </c>
      <c r="D297" s="58" t="s">
        <v>1186</v>
      </c>
      <c r="E297" s="58" t="s">
        <v>389</v>
      </c>
      <c r="F297" s="58" t="s">
        <v>392</v>
      </c>
    </row>
    <row r="298" spans="2:6" x14ac:dyDescent="0.3">
      <c r="B298" s="58" t="s">
        <v>1174</v>
      </c>
      <c r="C298" s="58">
        <v>1755684281946</v>
      </c>
      <c r="D298" s="58" t="s">
        <v>1187</v>
      </c>
      <c r="E298" s="58" t="s">
        <v>422</v>
      </c>
      <c r="F298" s="58" t="s">
        <v>420</v>
      </c>
    </row>
    <row r="299" spans="2:6" x14ac:dyDescent="0.3">
      <c r="B299" s="58" t="s">
        <v>1174</v>
      </c>
      <c r="C299" s="58">
        <v>1755684289191</v>
      </c>
      <c r="D299" s="58" t="s">
        <v>1188</v>
      </c>
      <c r="E299" s="58" t="s">
        <v>424</v>
      </c>
      <c r="F299" s="58" t="s">
        <v>549</v>
      </c>
    </row>
    <row r="300" spans="2:6" x14ac:dyDescent="0.3">
      <c r="B300" s="58" t="s">
        <v>1174</v>
      </c>
      <c r="C300" s="58">
        <v>1755684298369</v>
      </c>
      <c r="D300" s="58" t="s">
        <v>1189</v>
      </c>
      <c r="E300" s="58" t="s">
        <v>424</v>
      </c>
      <c r="F300" s="58" t="s">
        <v>553</v>
      </c>
    </row>
    <row r="301" spans="2:6" x14ac:dyDescent="0.3">
      <c r="B301" s="58" t="s">
        <v>426</v>
      </c>
      <c r="C301" s="58">
        <v>1755684308713</v>
      </c>
      <c r="D301" s="58" t="s">
        <v>1190</v>
      </c>
      <c r="E301" s="58" t="s">
        <v>428</v>
      </c>
      <c r="F301" s="58" t="s">
        <v>437</v>
      </c>
    </row>
    <row r="302" spans="2:6" x14ac:dyDescent="0.3">
      <c r="B302" s="58" t="s">
        <v>1174</v>
      </c>
      <c r="C302" s="58">
        <v>1755684314541</v>
      </c>
      <c r="D302" s="58" t="s">
        <v>1191</v>
      </c>
      <c r="E302" s="58" t="s">
        <v>424</v>
      </c>
      <c r="F302" s="58" t="s">
        <v>441</v>
      </c>
    </row>
    <row r="303" spans="2:6" x14ac:dyDescent="0.3">
      <c r="B303" s="58" t="s">
        <v>426</v>
      </c>
      <c r="C303" s="58">
        <v>1755684324491</v>
      </c>
      <c r="D303" s="58" t="s">
        <v>1192</v>
      </c>
      <c r="E303" s="58" t="s">
        <v>428</v>
      </c>
      <c r="F303" s="58" t="s">
        <v>429</v>
      </c>
    </row>
    <row r="304" spans="2:6" x14ac:dyDescent="0.3">
      <c r="B304" s="58" t="s">
        <v>426</v>
      </c>
      <c r="C304" s="58">
        <v>1755684339494</v>
      </c>
      <c r="D304" s="58" t="s">
        <v>1193</v>
      </c>
      <c r="E304" s="58" t="s">
        <v>428</v>
      </c>
      <c r="F304" s="58" t="s">
        <v>431</v>
      </c>
    </row>
    <row r="305" spans="1:6" x14ac:dyDescent="0.3">
      <c r="B305" s="58" t="s">
        <v>1174</v>
      </c>
      <c r="C305" s="58">
        <v>1755684341882</v>
      </c>
      <c r="D305" s="58" t="s">
        <v>1194</v>
      </c>
      <c r="E305" s="58" t="s">
        <v>424</v>
      </c>
      <c r="F305" s="58" t="s">
        <v>433</v>
      </c>
    </row>
    <row r="306" spans="1:6" x14ac:dyDescent="0.3">
      <c r="B306" s="58" t="s">
        <v>1174</v>
      </c>
      <c r="C306" s="58">
        <v>1755684347670</v>
      </c>
      <c r="D306" s="58" t="s">
        <v>1195</v>
      </c>
      <c r="E306" s="58" t="s">
        <v>424</v>
      </c>
      <c r="F306" s="58" t="s">
        <v>443</v>
      </c>
    </row>
    <row r="307" spans="1:6" x14ac:dyDescent="0.3">
      <c r="B307" s="58" t="s">
        <v>1174</v>
      </c>
      <c r="C307" s="58">
        <v>1755684358534</v>
      </c>
      <c r="D307" s="58" t="s">
        <v>1196</v>
      </c>
      <c r="E307" s="58" t="s">
        <v>424</v>
      </c>
      <c r="F307" s="58" t="s">
        <v>518</v>
      </c>
    </row>
    <row r="308" spans="1:6" x14ac:dyDescent="0.3">
      <c r="B308" s="58" t="s">
        <v>426</v>
      </c>
      <c r="C308" s="58">
        <v>1755684365522</v>
      </c>
      <c r="D308" s="58" t="s">
        <v>1197</v>
      </c>
      <c r="E308" s="58" t="s">
        <v>428</v>
      </c>
      <c r="F308" s="58" t="s">
        <v>672</v>
      </c>
    </row>
    <row r="309" spans="1:6" x14ac:dyDescent="0.3">
      <c r="B309" s="58" t="s">
        <v>1174</v>
      </c>
      <c r="C309" s="58">
        <v>1755684372067</v>
      </c>
      <c r="D309" s="58" t="s">
        <v>1198</v>
      </c>
      <c r="E309" s="58" t="s">
        <v>424</v>
      </c>
      <c r="F309" s="58" t="s">
        <v>457</v>
      </c>
    </row>
    <row r="310" spans="1:6" x14ac:dyDescent="0.3">
      <c r="B310" s="58" t="s">
        <v>426</v>
      </c>
      <c r="C310" s="58">
        <v>1755684385802</v>
      </c>
      <c r="D310" s="58" t="s">
        <v>1199</v>
      </c>
      <c r="E310" s="58" t="s">
        <v>428</v>
      </c>
      <c r="F310" s="58" t="s">
        <v>610</v>
      </c>
    </row>
    <row r="311" spans="1:6" x14ac:dyDescent="0.3">
      <c r="B311" s="58" t="s">
        <v>1174</v>
      </c>
      <c r="C311" s="58">
        <v>1755684395662</v>
      </c>
      <c r="D311" s="58" t="s">
        <v>1200</v>
      </c>
      <c r="E311" s="58" t="s">
        <v>1201</v>
      </c>
      <c r="F311" s="58" t="s">
        <v>420</v>
      </c>
    </row>
    <row r="312" spans="1:6" x14ac:dyDescent="0.3">
      <c r="B312" s="58" t="s">
        <v>1174</v>
      </c>
      <c r="C312" s="58">
        <v>1755684417334</v>
      </c>
      <c r="D312" s="58" t="s">
        <v>1202</v>
      </c>
      <c r="E312" s="58" t="s">
        <v>419</v>
      </c>
      <c r="F312" s="58" t="s">
        <v>420</v>
      </c>
    </row>
    <row r="313" spans="1:6" x14ac:dyDescent="0.3">
      <c r="B313" s="58" t="s">
        <v>426</v>
      </c>
      <c r="C313" s="58">
        <v>1755684432300</v>
      </c>
      <c r="D313" s="58" t="s">
        <v>1203</v>
      </c>
      <c r="E313" s="58" t="s">
        <v>428</v>
      </c>
      <c r="F313" s="58" t="s">
        <v>447</v>
      </c>
    </row>
    <row r="314" spans="1:6" x14ac:dyDescent="0.3">
      <c r="B314" s="58" t="s">
        <v>1174</v>
      </c>
      <c r="C314" s="58">
        <v>1755684440307</v>
      </c>
      <c r="D314" s="58" t="s">
        <v>1204</v>
      </c>
      <c r="E314" s="58" t="s">
        <v>424</v>
      </c>
      <c r="F314" s="58" t="s">
        <v>461</v>
      </c>
    </row>
    <row r="315" spans="1:6" x14ac:dyDescent="0.3">
      <c r="B315" s="58" t="s">
        <v>1174</v>
      </c>
      <c r="C315" s="58">
        <v>1755684449840</v>
      </c>
      <c r="D315" s="58" t="s">
        <v>1205</v>
      </c>
      <c r="E315" s="58" t="s">
        <v>424</v>
      </c>
      <c r="F315" s="58" t="s">
        <v>449</v>
      </c>
    </row>
    <row r="316" spans="1:6" x14ac:dyDescent="0.3">
      <c r="B316" s="58" t="s">
        <v>426</v>
      </c>
      <c r="C316" s="58">
        <v>1755684453933</v>
      </c>
      <c r="D316" s="58" t="s">
        <v>1206</v>
      </c>
      <c r="E316" s="58" t="s">
        <v>428</v>
      </c>
      <c r="F316" s="58" t="s">
        <v>455</v>
      </c>
    </row>
    <row r="317" spans="1:6" x14ac:dyDescent="0.3">
      <c r="B317" s="58" t="s">
        <v>1174</v>
      </c>
      <c r="C317" s="58">
        <v>1755684455520</v>
      </c>
      <c r="D317" s="58" t="s">
        <v>1207</v>
      </c>
      <c r="E317" s="58" t="s">
        <v>424</v>
      </c>
      <c r="F317" s="58" t="s">
        <v>451</v>
      </c>
    </row>
    <row r="318" spans="1:6" x14ac:dyDescent="0.3">
      <c r="B318" s="58" t="s">
        <v>1174</v>
      </c>
      <c r="C318" s="58">
        <v>1755684471066</v>
      </c>
      <c r="D318" s="58" t="s">
        <v>1208</v>
      </c>
      <c r="E318" s="58" t="s">
        <v>463</v>
      </c>
      <c r="F318" s="58" t="s">
        <v>464</v>
      </c>
    </row>
    <row r="319" spans="1:6" x14ac:dyDescent="0.3">
      <c r="B319" s="58" t="s">
        <v>426</v>
      </c>
      <c r="C319" s="58">
        <v>1755684471193</v>
      </c>
      <c r="D319" s="58" t="s">
        <v>1209</v>
      </c>
      <c r="E319" s="58" t="s">
        <v>428</v>
      </c>
      <c r="F319" s="58" t="s">
        <v>523</v>
      </c>
    </row>
    <row r="320" spans="1:6" ht="21" x14ac:dyDescent="0.4">
      <c r="A320" s="69" t="s">
        <v>1524</v>
      </c>
      <c r="B320" s="63" t="s">
        <v>1331</v>
      </c>
      <c r="C320" s="63">
        <v>1757407235239</v>
      </c>
      <c r="D320" s="63" t="s">
        <v>1332</v>
      </c>
      <c r="E320" s="63" t="s">
        <v>416</v>
      </c>
      <c r="F320" s="63" t="s">
        <v>417</v>
      </c>
    </row>
    <row r="321" spans="2:6" x14ac:dyDescent="0.3">
      <c r="B321" s="63" t="s">
        <v>1331</v>
      </c>
      <c r="C321" s="63">
        <v>1757407241121</v>
      </c>
      <c r="D321" s="63" t="s">
        <v>1333</v>
      </c>
      <c r="E321" s="63" t="s">
        <v>419</v>
      </c>
      <c r="F321" s="63" t="s">
        <v>420</v>
      </c>
    </row>
    <row r="322" spans="2:6" x14ac:dyDescent="0.3">
      <c r="B322" s="63" t="s">
        <v>1331</v>
      </c>
      <c r="C322" s="63">
        <v>1757407252594</v>
      </c>
      <c r="D322" s="63" t="s">
        <v>1334</v>
      </c>
      <c r="E322" s="63" t="s">
        <v>389</v>
      </c>
      <c r="F322" s="63" t="s">
        <v>396</v>
      </c>
    </row>
    <row r="323" spans="2:6" x14ac:dyDescent="0.3">
      <c r="B323" s="63" t="s">
        <v>1331</v>
      </c>
      <c r="C323" s="63">
        <v>1757407254191</v>
      </c>
      <c r="D323" s="63" t="s">
        <v>1335</v>
      </c>
      <c r="E323" s="63" t="s">
        <v>389</v>
      </c>
      <c r="F323" s="63" t="s">
        <v>398</v>
      </c>
    </row>
    <row r="324" spans="2:6" x14ac:dyDescent="0.3">
      <c r="B324" s="63" t="s">
        <v>1331</v>
      </c>
      <c r="C324" s="63">
        <v>1757407255173</v>
      </c>
      <c r="D324" s="63" t="s">
        <v>1336</v>
      </c>
      <c r="E324" s="63" t="s">
        <v>389</v>
      </c>
      <c r="F324" s="63" t="s">
        <v>400</v>
      </c>
    </row>
    <row r="325" spans="2:6" x14ac:dyDescent="0.3">
      <c r="B325" s="63" t="s">
        <v>1331</v>
      </c>
      <c r="C325" s="63">
        <v>1757407257518</v>
      </c>
      <c r="D325" s="63" t="s">
        <v>1337</v>
      </c>
      <c r="E325" s="63" t="s">
        <v>389</v>
      </c>
      <c r="F325" s="63" t="s">
        <v>390</v>
      </c>
    </row>
    <row r="326" spans="2:6" x14ac:dyDescent="0.3">
      <c r="B326" s="63" t="s">
        <v>1331</v>
      </c>
      <c r="C326" s="63">
        <v>1757407258554</v>
      </c>
      <c r="D326" s="63" t="s">
        <v>1338</v>
      </c>
      <c r="E326" s="63" t="s">
        <v>389</v>
      </c>
      <c r="F326" s="63" t="s">
        <v>392</v>
      </c>
    </row>
    <row r="327" spans="2:6" x14ac:dyDescent="0.3">
      <c r="B327" s="63" t="s">
        <v>1331</v>
      </c>
      <c r="C327" s="63">
        <v>1757407262201</v>
      </c>
      <c r="D327" s="63" t="s">
        <v>1339</v>
      </c>
      <c r="E327" s="63" t="s">
        <v>389</v>
      </c>
      <c r="F327" s="63" t="s">
        <v>508</v>
      </c>
    </row>
    <row r="328" spans="2:6" x14ac:dyDescent="0.3">
      <c r="B328" s="63" t="s">
        <v>1331</v>
      </c>
      <c r="C328" s="63">
        <v>1757407263288</v>
      </c>
      <c r="D328" s="63" t="s">
        <v>1340</v>
      </c>
      <c r="E328" s="63" t="s">
        <v>389</v>
      </c>
      <c r="F328" s="63" t="s">
        <v>660</v>
      </c>
    </row>
    <row r="329" spans="2:6" x14ac:dyDescent="0.3">
      <c r="B329" s="63" t="s">
        <v>1331</v>
      </c>
      <c r="C329" s="63">
        <v>1757407265043</v>
      </c>
      <c r="D329" s="63" t="s">
        <v>1341</v>
      </c>
      <c r="E329" s="63" t="s">
        <v>389</v>
      </c>
      <c r="F329" s="63" t="s">
        <v>406</v>
      </c>
    </row>
    <row r="330" spans="2:6" x14ac:dyDescent="0.3">
      <c r="B330" s="63" t="s">
        <v>1331</v>
      </c>
      <c r="C330" s="63">
        <v>1757407267128</v>
      </c>
      <c r="D330" s="63" t="s">
        <v>1342</v>
      </c>
      <c r="E330" s="63" t="s">
        <v>389</v>
      </c>
      <c r="F330" s="63" t="s">
        <v>495</v>
      </c>
    </row>
    <row r="331" spans="2:6" x14ac:dyDescent="0.3">
      <c r="B331" s="63" t="s">
        <v>1331</v>
      </c>
      <c r="C331" s="63">
        <v>1757407270089</v>
      </c>
      <c r="D331" s="63" t="s">
        <v>1343</v>
      </c>
      <c r="E331" s="63" t="s">
        <v>389</v>
      </c>
      <c r="F331" s="63" t="s">
        <v>410</v>
      </c>
    </row>
    <row r="332" spans="2:6" x14ac:dyDescent="0.3">
      <c r="B332" s="63" t="s">
        <v>1331</v>
      </c>
      <c r="C332" s="63">
        <v>1757407271680</v>
      </c>
      <c r="D332" s="63" t="s">
        <v>1344</v>
      </c>
      <c r="E332" s="63" t="s">
        <v>389</v>
      </c>
      <c r="F332" s="63" t="s">
        <v>414</v>
      </c>
    </row>
    <row r="333" spans="2:6" x14ac:dyDescent="0.3">
      <c r="B333" s="63" t="s">
        <v>1331</v>
      </c>
      <c r="C333" s="63">
        <v>1757407293198</v>
      </c>
      <c r="D333" s="63" t="s">
        <v>1345</v>
      </c>
      <c r="E333" s="63" t="s">
        <v>389</v>
      </c>
      <c r="F333" s="63" t="s">
        <v>511</v>
      </c>
    </row>
    <row r="334" spans="2:6" x14ac:dyDescent="0.3">
      <c r="B334" s="63" t="s">
        <v>1331</v>
      </c>
      <c r="C334" s="63">
        <v>1757407300818</v>
      </c>
      <c r="D334" s="63" t="s">
        <v>1346</v>
      </c>
      <c r="E334" s="63" t="s">
        <v>422</v>
      </c>
      <c r="F334" s="63" t="s">
        <v>420</v>
      </c>
    </row>
    <row r="335" spans="2:6" x14ac:dyDescent="0.3">
      <c r="B335" s="63" t="s">
        <v>426</v>
      </c>
      <c r="C335" s="63">
        <v>1757407316290</v>
      </c>
      <c r="D335" s="63" t="s">
        <v>1347</v>
      </c>
      <c r="E335" s="63" t="s">
        <v>428</v>
      </c>
      <c r="F335" s="63" t="s">
        <v>435</v>
      </c>
    </row>
    <row r="336" spans="2:6" x14ac:dyDescent="0.3">
      <c r="B336" s="63" t="s">
        <v>426</v>
      </c>
      <c r="C336" s="63">
        <v>1757407331005</v>
      </c>
      <c r="D336" s="63" t="s">
        <v>1348</v>
      </c>
      <c r="E336" s="63" t="s">
        <v>428</v>
      </c>
      <c r="F336" s="63" t="s">
        <v>437</v>
      </c>
    </row>
    <row r="337" spans="2:6" x14ac:dyDescent="0.3">
      <c r="B337" s="63" t="s">
        <v>426</v>
      </c>
      <c r="C337" s="63">
        <v>1757407347287</v>
      </c>
      <c r="D337" s="63" t="s">
        <v>1349</v>
      </c>
      <c r="E337" s="63" t="s">
        <v>428</v>
      </c>
      <c r="F337" s="63" t="s">
        <v>439</v>
      </c>
    </row>
    <row r="338" spans="2:6" x14ac:dyDescent="0.3">
      <c r="B338" s="63" t="s">
        <v>1331</v>
      </c>
      <c r="C338" s="63">
        <v>1757407358130</v>
      </c>
      <c r="D338" s="63" t="s">
        <v>1350</v>
      </c>
      <c r="E338" s="63" t="s">
        <v>424</v>
      </c>
      <c r="F338" s="63" t="s">
        <v>441</v>
      </c>
    </row>
    <row r="339" spans="2:6" x14ac:dyDescent="0.3">
      <c r="B339" s="63" t="s">
        <v>426</v>
      </c>
      <c r="C339" s="63">
        <v>1757407365024</v>
      </c>
      <c r="D339" s="63" t="s">
        <v>1351</v>
      </c>
      <c r="E339" s="63" t="s">
        <v>428</v>
      </c>
      <c r="F339" s="63" t="s">
        <v>429</v>
      </c>
    </row>
    <row r="340" spans="2:6" x14ac:dyDescent="0.3">
      <c r="B340" s="63" t="s">
        <v>426</v>
      </c>
      <c r="C340" s="63">
        <v>1757407381990</v>
      </c>
      <c r="D340" s="63" t="s">
        <v>1352</v>
      </c>
      <c r="E340" s="63" t="s">
        <v>428</v>
      </c>
      <c r="F340" s="63" t="s">
        <v>431</v>
      </c>
    </row>
    <row r="341" spans="2:6" x14ac:dyDescent="0.3">
      <c r="B341" s="63" t="s">
        <v>1331</v>
      </c>
      <c r="C341" s="63">
        <v>1757407386754</v>
      </c>
      <c r="D341" s="63" t="s">
        <v>1353</v>
      </c>
      <c r="E341" s="63" t="s">
        <v>424</v>
      </c>
      <c r="F341" s="63" t="s">
        <v>433</v>
      </c>
    </row>
    <row r="342" spans="2:6" x14ac:dyDescent="0.3">
      <c r="B342" s="63" t="s">
        <v>1331</v>
      </c>
      <c r="C342" s="63">
        <v>1757407396122</v>
      </c>
      <c r="D342" s="63" t="s">
        <v>1354</v>
      </c>
      <c r="E342" s="63" t="s">
        <v>424</v>
      </c>
      <c r="F342" s="63" t="s">
        <v>518</v>
      </c>
    </row>
    <row r="343" spans="2:6" x14ac:dyDescent="0.3">
      <c r="B343" s="63" t="s">
        <v>426</v>
      </c>
      <c r="C343" s="63">
        <v>1757407397545</v>
      </c>
      <c r="D343" s="63" t="s">
        <v>1355</v>
      </c>
      <c r="E343" s="63" t="s">
        <v>428</v>
      </c>
      <c r="F343" s="63" t="s">
        <v>538</v>
      </c>
    </row>
    <row r="344" spans="2:6" x14ac:dyDescent="0.3">
      <c r="B344" s="63" t="s">
        <v>426</v>
      </c>
      <c r="C344" s="63">
        <v>1757407414509</v>
      </c>
      <c r="D344" s="63" t="s">
        <v>1356</v>
      </c>
      <c r="E344" s="63" t="s">
        <v>428</v>
      </c>
      <c r="F344" s="63" t="s">
        <v>672</v>
      </c>
    </row>
    <row r="345" spans="2:6" x14ac:dyDescent="0.3">
      <c r="B345" s="63" t="s">
        <v>1331</v>
      </c>
      <c r="C345" s="63">
        <v>1757407420363</v>
      </c>
      <c r="D345" s="63" t="s">
        <v>1357</v>
      </c>
      <c r="E345" s="63" t="s">
        <v>424</v>
      </c>
      <c r="F345" s="63" t="s">
        <v>457</v>
      </c>
    </row>
    <row r="346" spans="2:6" x14ac:dyDescent="0.3">
      <c r="B346" s="63" t="s">
        <v>1331</v>
      </c>
      <c r="C346" s="63">
        <v>1757407426855</v>
      </c>
      <c r="D346" s="63" t="s">
        <v>1358</v>
      </c>
      <c r="E346" s="63" t="s">
        <v>424</v>
      </c>
      <c r="F346" s="63" t="s">
        <v>459</v>
      </c>
    </row>
    <row r="347" spans="2:6" x14ac:dyDescent="0.3">
      <c r="B347" s="63" t="s">
        <v>426</v>
      </c>
      <c r="C347" s="63">
        <v>1757407431428</v>
      </c>
      <c r="D347" s="63" t="s">
        <v>1359</v>
      </c>
      <c r="E347" s="63" t="s">
        <v>428</v>
      </c>
      <c r="F347" s="63" t="s">
        <v>523</v>
      </c>
    </row>
    <row r="348" spans="2:6" x14ac:dyDescent="0.3">
      <c r="B348" s="63" t="s">
        <v>426</v>
      </c>
      <c r="C348" s="63">
        <v>1757407446930</v>
      </c>
      <c r="D348" s="63" t="s">
        <v>1360</v>
      </c>
      <c r="E348" s="63" t="s">
        <v>428</v>
      </c>
      <c r="F348" s="63" t="s">
        <v>447</v>
      </c>
    </row>
    <row r="349" spans="2:6" x14ac:dyDescent="0.3">
      <c r="B349" s="63" t="s">
        <v>1331</v>
      </c>
      <c r="C349" s="63">
        <v>1757407455012</v>
      </c>
      <c r="D349" s="63" t="s">
        <v>1361</v>
      </c>
      <c r="E349" s="63" t="s">
        <v>424</v>
      </c>
      <c r="F349" s="63" t="s">
        <v>461</v>
      </c>
    </row>
    <row r="350" spans="2:6" x14ac:dyDescent="0.3">
      <c r="B350" s="63" t="s">
        <v>1331</v>
      </c>
      <c r="C350" s="63">
        <v>1757407463955</v>
      </c>
      <c r="D350" s="63" t="s">
        <v>1362</v>
      </c>
      <c r="E350" s="63" t="s">
        <v>424</v>
      </c>
      <c r="F350" s="63" t="s">
        <v>449</v>
      </c>
    </row>
    <row r="351" spans="2:6" x14ac:dyDescent="0.3">
      <c r="B351" s="63" t="s">
        <v>426</v>
      </c>
      <c r="C351" s="63">
        <v>1757407468319</v>
      </c>
      <c r="D351" s="63" t="s">
        <v>1363</v>
      </c>
      <c r="E351" s="63" t="s">
        <v>428</v>
      </c>
      <c r="F351" s="63" t="s">
        <v>455</v>
      </c>
    </row>
    <row r="352" spans="2:6" x14ac:dyDescent="0.3">
      <c r="B352" s="63" t="s">
        <v>1331</v>
      </c>
      <c r="C352" s="63">
        <v>1757407474755</v>
      </c>
      <c r="D352" s="63" t="s">
        <v>1364</v>
      </c>
      <c r="E352" s="63" t="s">
        <v>424</v>
      </c>
      <c r="F352" s="63" t="s">
        <v>451</v>
      </c>
    </row>
    <row r="353" spans="2:6" x14ac:dyDescent="0.3">
      <c r="B353" s="63" t="s">
        <v>1331</v>
      </c>
      <c r="C353" s="63">
        <v>1757407476832</v>
      </c>
      <c r="D353" s="63" t="s">
        <v>1365</v>
      </c>
      <c r="E353" s="63" t="s">
        <v>463</v>
      </c>
      <c r="F353" s="63" t="s">
        <v>464</v>
      </c>
    </row>
    <row r="354" spans="2:6" x14ac:dyDescent="0.3">
      <c r="B354" s="58" t="s">
        <v>1366</v>
      </c>
      <c r="C354" s="58">
        <v>1757407487569</v>
      </c>
      <c r="D354" s="58" t="s">
        <v>1367</v>
      </c>
      <c r="E354" s="58" t="s">
        <v>416</v>
      </c>
      <c r="F354" s="58" t="s">
        <v>466</v>
      </c>
    </row>
    <row r="355" spans="2:6" x14ac:dyDescent="0.3">
      <c r="B355" s="58" t="s">
        <v>1366</v>
      </c>
      <c r="C355" s="58">
        <v>1757407487668</v>
      </c>
      <c r="D355" s="58" t="s">
        <v>1368</v>
      </c>
      <c r="E355" s="58" t="s">
        <v>468</v>
      </c>
      <c r="F355" s="58" t="s">
        <v>1369</v>
      </c>
    </row>
    <row r="356" spans="2:6" x14ac:dyDescent="0.3">
      <c r="B356" s="58" t="s">
        <v>1366</v>
      </c>
      <c r="C356" s="58">
        <v>1757407488174</v>
      </c>
      <c r="D356" s="58" t="s">
        <v>1370</v>
      </c>
      <c r="E356" s="58" t="s">
        <v>419</v>
      </c>
      <c r="F356" s="58" t="s">
        <v>420</v>
      </c>
    </row>
    <row r="357" spans="2:6" x14ac:dyDescent="0.3">
      <c r="B357" s="58" t="s">
        <v>1366</v>
      </c>
      <c r="C357" s="58">
        <v>1757407514694</v>
      </c>
      <c r="D357" s="58" t="s">
        <v>1371</v>
      </c>
      <c r="E357" s="58" t="s">
        <v>389</v>
      </c>
      <c r="F357" s="58" t="s">
        <v>659</v>
      </c>
    </row>
    <row r="358" spans="2:6" x14ac:dyDescent="0.3">
      <c r="B358" s="58" t="s">
        <v>1366</v>
      </c>
      <c r="C358" s="58">
        <v>1757407519466</v>
      </c>
      <c r="D358" s="58" t="s">
        <v>1372</v>
      </c>
      <c r="E358" s="58" t="s">
        <v>422</v>
      </c>
      <c r="F358" s="58" t="s">
        <v>420</v>
      </c>
    </row>
    <row r="359" spans="2:6" x14ac:dyDescent="0.3">
      <c r="B359" s="58" t="s">
        <v>426</v>
      </c>
      <c r="C359" s="58">
        <v>1757407539199</v>
      </c>
      <c r="D359" s="58" t="s">
        <v>1373</v>
      </c>
      <c r="E359" s="58" t="s">
        <v>428</v>
      </c>
      <c r="F359" s="58" t="s">
        <v>435</v>
      </c>
    </row>
    <row r="360" spans="2:6" x14ac:dyDescent="0.3">
      <c r="B360" s="58" t="s">
        <v>426</v>
      </c>
      <c r="C360" s="58">
        <v>1757407557648</v>
      </c>
      <c r="D360" s="58" t="s">
        <v>1374</v>
      </c>
      <c r="E360" s="58" t="s">
        <v>428</v>
      </c>
      <c r="F360" s="58" t="s">
        <v>437</v>
      </c>
    </row>
    <row r="361" spans="2:6" x14ac:dyDescent="0.3">
      <c r="B361" s="58" t="s">
        <v>426</v>
      </c>
      <c r="C361" s="58">
        <v>1757407576076</v>
      </c>
      <c r="D361" s="58" t="s">
        <v>1375</v>
      </c>
      <c r="E361" s="58" t="s">
        <v>428</v>
      </c>
      <c r="F361" s="58" t="s">
        <v>439</v>
      </c>
    </row>
    <row r="362" spans="2:6" x14ac:dyDescent="0.3">
      <c r="B362" s="58" t="s">
        <v>1366</v>
      </c>
      <c r="C362" s="58">
        <v>1757407581814</v>
      </c>
      <c r="D362" s="58" t="s">
        <v>1376</v>
      </c>
      <c r="E362" s="58" t="s">
        <v>424</v>
      </c>
      <c r="F362" s="58" t="s">
        <v>441</v>
      </c>
    </row>
    <row r="363" spans="2:6" x14ac:dyDescent="0.3">
      <c r="B363" s="58" t="s">
        <v>426</v>
      </c>
      <c r="C363" s="58">
        <v>1757407591579</v>
      </c>
      <c r="D363" s="58" t="s">
        <v>1377</v>
      </c>
      <c r="E363" s="58" t="s">
        <v>428</v>
      </c>
      <c r="F363" s="58" t="s">
        <v>429</v>
      </c>
    </row>
    <row r="364" spans="2:6" x14ac:dyDescent="0.3">
      <c r="B364" s="58" t="s">
        <v>1366</v>
      </c>
      <c r="C364" s="58">
        <v>1757407593963</v>
      </c>
      <c r="D364" s="58" t="s">
        <v>1378</v>
      </c>
      <c r="E364" s="58" t="s">
        <v>424</v>
      </c>
      <c r="F364" s="58" t="s">
        <v>667</v>
      </c>
    </row>
    <row r="365" spans="2:6" x14ac:dyDescent="0.3">
      <c r="B365" s="58" t="s">
        <v>1366</v>
      </c>
      <c r="C365" s="58">
        <v>1757407603444</v>
      </c>
      <c r="D365" s="58" t="s">
        <v>1379</v>
      </c>
      <c r="E365" s="58" t="s">
        <v>424</v>
      </c>
      <c r="F365" s="58" t="s">
        <v>433</v>
      </c>
    </row>
    <row r="366" spans="2:6" x14ac:dyDescent="0.3">
      <c r="B366" s="58" t="s">
        <v>426</v>
      </c>
      <c r="C366" s="58">
        <v>1757407607785</v>
      </c>
      <c r="D366" s="58" t="s">
        <v>1380</v>
      </c>
      <c r="E366" s="58" t="s">
        <v>428</v>
      </c>
      <c r="F366" s="58" t="s">
        <v>538</v>
      </c>
    </row>
    <row r="367" spans="2:6" x14ac:dyDescent="0.3">
      <c r="B367" s="58" t="s">
        <v>1366</v>
      </c>
      <c r="C367" s="58">
        <v>1757407612399</v>
      </c>
      <c r="D367" s="58" t="s">
        <v>1381</v>
      </c>
      <c r="E367" s="58" t="s">
        <v>424</v>
      </c>
      <c r="F367" s="58" t="s">
        <v>518</v>
      </c>
    </row>
    <row r="368" spans="2:6" x14ac:dyDescent="0.3">
      <c r="B368" s="58" t="s">
        <v>426</v>
      </c>
      <c r="C368" s="58">
        <v>1757407625530</v>
      </c>
      <c r="D368" s="58" t="s">
        <v>1382</v>
      </c>
      <c r="E368" s="58" t="s">
        <v>428</v>
      </c>
      <c r="F368" s="58" t="s">
        <v>672</v>
      </c>
    </row>
    <row r="369" spans="1:7" x14ac:dyDescent="0.3">
      <c r="B369" s="58" t="s">
        <v>1366</v>
      </c>
      <c r="C369" s="58">
        <v>1757407634531</v>
      </c>
      <c r="D369" s="58" t="s">
        <v>1383</v>
      </c>
      <c r="E369" s="58" t="s">
        <v>424</v>
      </c>
      <c r="F369" s="58" t="s">
        <v>457</v>
      </c>
    </row>
    <row r="370" spans="1:7" x14ac:dyDescent="0.3">
      <c r="B370" s="58" t="s">
        <v>1366</v>
      </c>
      <c r="C370" s="58">
        <v>1757407635596</v>
      </c>
      <c r="D370" s="58" t="s">
        <v>1384</v>
      </c>
      <c r="E370" s="58" t="s">
        <v>424</v>
      </c>
      <c r="F370" s="58" t="s">
        <v>459</v>
      </c>
    </row>
    <row r="371" spans="1:7" x14ac:dyDescent="0.3">
      <c r="B371" s="58" t="s">
        <v>426</v>
      </c>
      <c r="C371" s="58">
        <v>1757407642435</v>
      </c>
      <c r="D371" s="58" t="s">
        <v>1385</v>
      </c>
      <c r="E371" s="58" t="s">
        <v>428</v>
      </c>
      <c r="F371" s="58" t="s">
        <v>523</v>
      </c>
    </row>
    <row r="372" spans="1:7" x14ac:dyDescent="0.3">
      <c r="B372" s="58" t="s">
        <v>426</v>
      </c>
      <c r="C372" s="58">
        <v>1757407657186</v>
      </c>
      <c r="D372" s="58" t="s">
        <v>1386</v>
      </c>
      <c r="E372" s="58" t="s">
        <v>428</v>
      </c>
      <c r="F372" s="58" t="s">
        <v>447</v>
      </c>
    </row>
    <row r="373" spans="1:7" x14ac:dyDescent="0.3">
      <c r="B373" s="58" t="s">
        <v>426</v>
      </c>
      <c r="C373" s="58">
        <v>1757407678564</v>
      </c>
      <c r="D373" s="58" t="s">
        <v>1387</v>
      </c>
      <c r="E373" s="58" t="s">
        <v>428</v>
      </c>
      <c r="F373" s="58" t="s">
        <v>455</v>
      </c>
    </row>
    <row r="374" spans="1:7" x14ac:dyDescent="0.3">
      <c r="B374" s="58" t="s">
        <v>1366</v>
      </c>
      <c r="C374" s="58">
        <v>1757407684620</v>
      </c>
      <c r="D374" s="58" t="s">
        <v>1388</v>
      </c>
      <c r="E374" s="58" t="s">
        <v>424</v>
      </c>
      <c r="F374" s="58" t="s">
        <v>461</v>
      </c>
    </row>
    <row r="375" spans="1:7" x14ac:dyDescent="0.3">
      <c r="B375" s="58" t="s">
        <v>1366</v>
      </c>
      <c r="C375" s="58">
        <v>1757407685819</v>
      </c>
      <c r="D375" s="58" t="s">
        <v>1389</v>
      </c>
      <c r="E375" s="58" t="s">
        <v>424</v>
      </c>
      <c r="F375" s="58" t="s">
        <v>449</v>
      </c>
    </row>
    <row r="376" spans="1:7" x14ac:dyDescent="0.3">
      <c r="B376" s="58" t="s">
        <v>1366</v>
      </c>
      <c r="C376" s="58">
        <v>1757407687656</v>
      </c>
      <c r="D376" s="58" t="s">
        <v>1390</v>
      </c>
      <c r="E376" s="58" t="s">
        <v>424</v>
      </c>
      <c r="F376" s="58" t="s">
        <v>451</v>
      </c>
    </row>
    <row r="377" spans="1:7" x14ac:dyDescent="0.3">
      <c r="B377" s="58" t="s">
        <v>1366</v>
      </c>
      <c r="C377" s="58">
        <v>1757407690152</v>
      </c>
      <c r="D377" s="58" t="s">
        <v>1391</v>
      </c>
      <c r="E377" s="58" t="s">
        <v>463</v>
      </c>
      <c r="F377" s="58" t="s">
        <v>464</v>
      </c>
    </row>
    <row r="378" spans="1:7" ht="21" x14ac:dyDescent="0.4">
      <c r="A378" s="69" t="s">
        <v>40</v>
      </c>
      <c r="B378" s="63" t="s">
        <v>1678</v>
      </c>
      <c r="C378" s="63">
        <v>1757411935304</v>
      </c>
      <c r="D378" s="63" t="s">
        <v>1679</v>
      </c>
      <c r="E378" s="63" t="s">
        <v>416</v>
      </c>
      <c r="F378" s="63" t="s">
        <v>417</v>
      </c>
      <c r="G378" s="63"/>
    </row>
    <row r="379" spans="1:7" x14ac:dyDescent="0.3">
      <c r="B379" s="63" t="s">
        <v>1678</v>
      </c>
      <c r="C379" s="63">
        <v>1757411935806</v>
      </c>
      <c r="D379" s="63" t="s">
        <v>1680</v>
      </c>
      <c r="E379" s="63" t="s">
        <v>419</v>
      </c>
      <c r="F379" s="63" t="s">
        <v>420</v>
      </c>
      <c r="G379" s="63"/>
    </row>
    <row r="380" spans="1:7" x14ac:dyDescent="0.3">
      <c r="B380" s="63" t="s">
        <v>1678</v>
      </c>
      <c r="C380" s="63">
        <v>1757411951456</v>
      </c>
      <c r="D380" s="63" t="s">
        <v>1681</v>
      </c>
      <c r="E380" s="63" t="s">
        <v>389</v>
      </c>
      <c r="F380" s="63" t="s">
        <v>1562</v>
      </c>
      <c r="G380" s="63"/>
    </row>
    <row r="381" spans="1:7" x14ac:dyDescent="0.3">
      <c r="B381" s="63" t="s">
        <v>1678</v>
      </c>
      <c r="C381" s="63">
        <v>1757411952311</v>
      </c>
      <c r="D381" s="63" t="s">
        <v>1682</v>
      </c>
      <c r="E381" s="63" t="s">
        <v>389</v>
      </c>
      <c r="F381" s="63" t="s">
        <v>1644</v>
      </c>
      <c r="G381" s="63"/>
    </row>
    <row r="382" spans="1:7" x14ac:dyDescent="0.3">
      <c r="B382" s="63" t="s">
        <v>1678</v>
      </c>
      <c r="C382" s="63">
        <v>1757411994514</v>
      </c>
      <c r="D382" s="63" t="s">
        <v>1683</v>
      </c>
      <c r="E382" s="63" t="s">
        <v>389</v>
      </c>
      <c r="F382" s="63" t="s">
        <v>1599</v>
      </c>
      <c r="G382" s="63"/>
    </row>
    <row r="383" spans="1:7" x14ac:dyDescent="0.3">
      <c r="B383" s="63" t="s">
        <v>1678</v>
      </c>
      <c r="C383" s="63">
        <v>1757411995086</v>
      </c>
      <c r="D383" s="63" t="s">
        <v>1684</v>
      </c>
      <c r="E383" s="63" t="s">
        <v>389</v>
      </c>
      <c r="F383" s="63" t="s">
        <v>1685</v>
      </c>
      <c r="G383" s="63"/>
    </row>
    <row r="384" spans="1:7" x14ac:dyDescent="0.3">
      <c r="B384" s="63" t="s">
        <v>1678</v>
      </c>
      <c r="C384" s="63">
        <v>1757411995819</v>
      </c>
      <c r="D384" s="63" t="s">
        <v>1686</v>
      </c>
      <c r="E384" s="63" t="s">
        <v>389</v>
      </c>
      <c r="F384" s="63" t="s">
        <v>1687</v>
      </c>
      <c r="G384" s="63"/>
    </row>
    <row r="385" spans="2:7" x14ac:dyDescent="0.3">
      <c r="B385" s="63" t="s">
        <v>1678</v>
      </c>
      <c r="C385" s="63">
        <v>1757411997237</v>
      </c>
      <c r="D385" s="63" t="s">
        <v>1688</v>
      </c>
      <c r="E385" s="63" t="s">
        <v>389</v>
      </c>
      <c r="F385" s="63" t="s">
        <v>1689</v>
      </c>
      <c r="G385" s="63"/>
    </row>
    <row r="386" spans="2:7" x14ac:dyDescent="0.3">
      <c r="B386" s="63" t="s">
        <v>1678</v>
      </c>
      <c r="C386" s="63">
        <v>1757411997731</v>
      </c>
      <c r="D386" s="63" t="s">
        <v>1690</v>
      </c>
      <c r="E386" s="63" t="s">
        <v>389</v>
      </c>
      <c r="F386" s="63" t="s">
        <v>979</v>
      </c>
      <c r="G386" s="63"/>
    </row>
    <row r="387" spans="2:7" x14ac:dyDescent="0.3">
      <c r="B387" s="63" t="s">
        <v>1678</v>
      </c>
      <c r="C387" s="63">
        <v>1757411998474</v>
      </c>
      <c r="D387" s="63" t="s">
        <v>1691</v>
      </c>
      <c r="E387" s="63" t="s">
        <v>389</v>
      </c>
      <c r="F387" s="63" t="s">
        <v>1592</v>
      </c>
      <c r="G387" s="63"/>
    </row>
    <row r="388" spans="2:7" x14ac:dyDescent="0.3">
      <c r="B388" s="63" t="s">
        <v>1678</v>
      </c>
      <c r="C388" s="63">
        <v>1757411998871</v>
      </c>
      <c r="D388" s="63" t="s">
        <v>1692</v>
      </c>
      <c r="E388" s="63" t="s">
        <v>389</v>
      </c>
      <c r="F388" s="63" t="s">
        <v>1464</v>
      </c>
      <c r="G388" s="63"/>
    </row>
    <row r="389" spans="2:7" x14ac:dyDescent="0.3">
      <c r="B389" s="63" t="s">
        <v>1678</v>
      </c>
      <c r="C389" s="63">
        <v>1757411999324</v>
      </c>
      <c r="D389" s="63" t="s">
        <v>1693</v>
      </c>
      <c r="E389" s="63" t="s">
        <v>389</v>
      </c>
      <c r="F389" s="63" t="s">
        <v>1694</v>
      </c>
      <c r="G389" s="63"/>
    </row>
    <row r="390" spans="2:7" x14ac:dyDescent="0.3">
      <c r="B390" s="63" t="s">
        <v>1678</v>
      </c>
      <c r="C390" s="63">
        <v>1757412001400</v>
      </c>
      <c r="D390" s="63" t="s">
        <v>1695</v>
      </c>
      <c r="E390" s="63" t="s">
        <v>389</v>
      </c>
      <c r="F390" s="63" t="s">
        <v>1601</v>
      </c>
      <c r="G390" s="63"/>
    </row>
    <row r="391" spans="2:7" x14ac:dyDescent="0.3">
      <c r="B391" s="63" t="s">
        <v>1678</v>
      </c>
      <c r="C391" s="63">
        <v>1757412009110</v>
      </c>
      <c r="D391" s="63" t="s">
        <v>1696</v>
      </c>
      <c r="E391" s="63" t="s">
        <v>422</v>
      </c>
      <c r="F391" s="63" t="s">
        <v>420</v>
      </c>
      <c r="G391" s="63"/>
    </row>
    <row r="392" spans="2:7" x14ac:dyDescent="0.3">
      <c r="B392" s="63" t="s">
        <v>426</v>
      </c>
      <c r="C392" s="63">
        <v>1757412026648</v>
      </c>
      <c r="D392" s="63" t="s">
        <v>1697</v>
      </c>
      <c r="E392" s="63" t="s">
        <v>428</v>
      </c>
      <c r="F392" s="63" t="s">
        <v>453</v>
      </c>
      <c r="G392" s="63"/>
    </row>
    <row r="393" spans="2:7" x14ac:dyDescent="0.3">
      <c r="B393" s="63" t="s">
        <v>1678</v>
      </c>
      <c r="C393" s="63">
        <v>1757412039427</v>
      </c>
      <c r="D393" s="63" t="s">
        <v>1698</v>
      </c>
      <c r="E393" s="63" t="s">
        <v>424</v>
      </c>
      <c r="F393" s="63" t="s">
        <v>457</v>
      </c>
      <c r="G393" s="63"/>
    </row>
    <row r="394" spans="2:7" x14ac:dyDescent="0.3">
      <c r="B394" s="63" t="s">
        <v>1678</v>
      </c>
      <c r="C394" s="63">
        <v>1757412040002</v>
      </c>
      <c r="D394" s="63" t="s">
        <v>1699</v>
      </c>
      <c r="E394" s="63" t="s">
        <v>424</v>
      </c>
      <c r="F394" s="63" t="s">
        <v>459</v>
      </c>
      <c r="G394" s="63"/>
    </row>
    <row r="395" spans="2:7" x14ac:dyDescent="0.3">
      <c r="B395" s="63" t="s">
        <v>1678</v>
      </c>
      <c r="C395" s="63">
        <v>1757412041793</v>
      </c>
      <c r="D395" s="63" t="s">
        <v>1700</v>
      </c>
      <c r="E395" s="63" t="s">
        <v>424</v>
      </c>
      <c r="F395" s="63" t="s">
        <v>461</v>
      </c>
      <c r="G395" s="63"/>
    </row>
    <row r="396" spans="2:7" x14ac:dyDescent="0.3">
      <c r="B396" s="63" t="s">
        <v>426</v>
      </c>
      <c r="C396" s="63">
        <v>1757412042117</v>
      </c>
      <c r="D396" s="63" t="s">
        <v>1701</v>
      </c>
      <c r="E396" s="63" t="s">
        <v>428</v>
      </c>
      <c r="F396" s="63" t="s">
        <v>435</v>
      </c>
      <c r="G396" s="63"/>
    </row>
    <row r="397" spans="2:7" x14ac:dyDescent="0.3">
      <c r="B397" s="63" t="s">
        <v>426</v>
      </c>
      <c r="C397" s="63">
        <v>1757412056900</v>
      </c>
      <c r="D397" s="63" t="s">
        <v>1702</v>
      </c>
      <c r="E397" s="63" t="s">
        <v>428</v>
      </c>
      <c r="F397" s="63" t="s">
        <v>437</v>
      </c>
      <c r="G397" s="63"/>
    </row>
    <row r="398" spans="2:7" x14ac:dyDescent="0.3">
      <c r="B398" s="63" t="s">
        <v>426</v>
      </c>
      <c r="C398" s="63">
        <v>1757412073178</v>
      </c>
      <c r="D398" s="63" t="s">
        <v>1703</v>
      </c>
      <c r="E398" s="63" t="s">
        <v>428</v>
      </c>
      <c r="F398" s="63" t="s">
        <v>439</v>
      </c>
      <c r="G398" s="63"/>
    </row>
    <row r="399" spans="2:7" x14ac:dyDescent="0.3">
      <c r="B399" s="63" t="s">
        <v>426</v>
      </c>
      <c r="C399" s="63">
        <v>1757412090836</v>
      </c>
      <c r="D399" s="63" t="s">
        <v>1704</v>
      </c>
      <c r="E399" s="63" t="s">
        <v>428</v>
      </c>
      <c r="F399" s="63" t="s">
        <v>429</v>
      </c>
      <c r="G399" s="63"/>
    </row>
    <row r="400" spans="2:7" x14ac:dyDescent="0.3">
      <c r="B400" s="63" t="s">
        <v>1678</v>
      </c>
      <c r="C400" s="63">
        <v>1757412101443</v>
      </c>
      <c r="D400" s="63" t="s">
        <v>1705</v>
      </c>
      <c r="E400" s="63" t="s">
        <v>424</v>
      </c>
      <c r="F400" s="63" t="s">
        <v>570</v>
      </c>
      <c r="G400" s="63"/>
    </row>
    <row r="401" spans="2:7" x14ac:dyDescent="0.3">
      <c r="B401" s="63" t="s">
        <v>1678</v>
      </c>
      <c r="C401" s="63">
        <v>1757412102637</v>
      </c>
      <c r="D401" s="63" t="s">
        <v>1706</v>
      </c>
      <c r="E401" s="63" t="s">
        <v>424</v>
      </c>
      <c r="F401" s="63" t="s">
        <v>425</v>
      </c>
      <c r="G401" s="63"/>
    </row>
    <row r="402" spans="2:7" x14ac:dyDescent="0.3">
      <c r="B402" s="63" t="s">
        <v>1678</v>
      </c>
      <c r="C402" s="63">
        <v>1757412105161</v>
      </c>
      <c r="D402" s="63" t="s">
        <v>1707</v>
      </c>
      <c r="E402" s="63" t="s">
        <v>424</v>
      </c>
      <c r="F402" s="63" t="s">
        <v>441</v>
      </c>
      <c r="G402" s="63"/>
    </row>
    <row r="403" spans="2:7" x14ac:dyDescent="0.3">
      <c r="B403" s="63" t="s">
        <v>426</v>
      </c>
      <c r="C403" s="63">
        <v>1757412107828</v>
      </c>
      <c r="D403" s="63" t="s">
        <v>1708</v>
      </c>
      <c r="E403" s="63" t="s">
        <v>428</v>
      </c>
      <c r="F403" s="63" t="s">
        <v>431</v>
      </c>
      <c r="G403" s="63"/>
    </row>
    <row r="404" spans="2:7" x14ac:dyDescent="0.3">
      <c r="B404" s="63" t="s">
        <v>1678</v>
      </c>
      <c r="C404" s="63">
        <v>1757412110858</v>
      </c>
      <c r="D404" s="63" t="s">
        <v>1709</v>
      </c>
      <c r="E404" s="63" t="s">
        <v>424</v>
      </c>
      <c r="F404" s="63" t="s">
        <v>433</v>
      </c>
      <c r="G404" s="63"/>
    </row>
    <row r="405" spans="2:7" x14ac:dyDescent="0.3">
      <c r="B405" s="63" t="s">
        <v>426</v>
      </c>
      <c r="C405" s="63">
        <v>1757412123321</v>
      </c>
      <c r="D405" s="63" t="s">
        <v>1710</v>
      </c>
      <c r="E405" s="63" t="s">
        <v>428</v>
      </c>
      <c r="F405" s="63" t="s">
        <v>447</v>
      </c>
      <c r="G405" s="63"/>
    </row>
    <row r="406" spans="2:7" x14ac:dyDescent="0.3">
      <c r="B406" s="63" t="s">
        <v>1678</v>
      </c>
      <c r="C406" s="63">
        <v>1757412125169</v>
      </c>
      <c r="D406" s="63" t="s">
        <v>1711</v>
      </c>
      <c r="E406" s="63" t="s">
        <v>424</v>
      </c>
      <c r="F406" s="63" t="s">
        <v>449</v>
      </c>
      <c r="G406" s="63"/>
    </row>
    <row r="407" spans="2:7" x14ac:dyDescent="0.3">
      <c r="B407" s="63" t="s">
        <v>1678</v>
      </c>
      <c r="C407" s="63">
        <v>1757412126216</v>
      </c>
      <c r="D407" s="63" t="s">
        <v>1712</v>
      </c>
      <c r="E407" s="63" t="s">
        <v>424</v>
      </c>
      <c r="F407" s="63" t="s">
        <v>451</v>
      </c>
      <c r="G407" s="63"/>
    </row>
    <row r="408" spans="2:7" x14ac:dyDescent="0.3">
      <c r="B408" s="63" t="s">
        <v>426</v>
      </c>
      <c r="C408" s="63">
        <v>1757412138825</v>
      </c>
      <c r="D408" s="63" t="s">
        <v>1713</v>
      </c>
      <c r="E408" s="63" t="s">
        <v>428</v>
      </c>
      <c r="F408" s="63" t="s">
        <v>538</v>
      </c>
      <c r="G408" s="63"/>
    </row>
    <row r="409" spans="2:7" x14ac:dyDescent="0.3">
      <c r="B409" s="63" t="s">
        <v>426</v>
      </c>
      <c r="C409" s="63">
        <v>1757412155807</v>
      </c>
      <c r="D409" s="63" t="s">
        <v>1714</v>
      </c>
      <c r="E409" s="63" t="s">
        <v>428</v>
      </c>
      <c r="F409" s="63" t="s">
        <v>672</v>
      </c>
      <c r="G409" s="63"/>
    </row>
    <row r="410" spans="2:7" x14ac:dyDescent="0.3">
      <c r="B410" s="63" t="s">
        <v>1678</v>
      </c>
      <c r="C410" s="63">
        <v>1757412158332</v>
      </c>
      <c r="D410" s="63" t="s">
        <v>1715</v>
      </c>
      <c r="E410" s="63" t="s">
        <v>463</v>
      </c>
      <c r="F410" s="63" t="s">
        <v>464</v>
      </c>
      <c r="G410" s="63"/>
    </row>
    <row r="411" spans="2:7" x14ac:dyDescent="0.3">
      <c r="B411" s="58" t="s">
        <v>1716</v>
      </c>
      <c r="C411" s="58">
        <v>1757412168702</v>
      </c>
      <c r="D411" s="58" t="s">
        <v>1717</v>
      </c>
      <c r="E411" s="58" t="s">
        <v>416</v>
      </c>
      <c r="F411" s="58" t="s">
        <v>466</v>
      </c>
      <c r="G411" s="58"/>
    </row>
    <row r="412" spans="2:7" x14ac:dyDescent="0.3">
      <c r="B412" s="58" t="s">
        <v>1716</v>
      </c>
      <c r="C412" s="58">
        <v>1757412168801</v>
      </c>
      <c r="D412" s="58" t="s">
        <v>1718</v>
      </c>
      <c r="E412" s="58" t="s">
        <v>468</v>
      </c>
      <c r="F412" s="58" t="s">
        <v>1719</v>
      </c>
      <c r="G412" s="58"/>
    </row>
    <row r="413" spans="2:7" x14ac:dyDescent="0.3">
      <c r="B413" s="58" t="s">
        <v>1716</v>
      </c>
      <c r="C413" s="58">
        <v>1757412183204</v>
      </c>
      <c r="D413" s="58" t="s">
        <v>1720</v>
      </c>
      <c r="E413" s="58" t="s">
        <v>419</v>
      </c>
      <c r="F413" s="58" t="s">
        <v>420</v>
      </c>
      <c r="G413" s="58"/>
    </row>
    <row r="414" spans="2:7" x14ac:dyDescent="0.3">
      <c r="B414" s="58" t="s">
        <v>1716</v>
      </c>
      <c r="C414" s="58">
        <v>1757412183266</v>
      </c>
      <c r="D414" s="58" t="s">
        <v>1721</v>
      </c>
      <c r="E414" s="58" t="s">
        <v>389</v>
      </c>
      <c r="F414" s="58" t="s">
        <v>1559</v>
      </c>
      <c r="G414" s="58"/>
    </row>
    <row r="415" spans="2:7" x14ac:dyDescent="0.3">
      <c r="B415" s="58" t="s">
        <v>1716</v>
      </c>
      <c r="C415" s="58">
        <v>1757412183324</v>
      </c>
      <c r="D415" s="58" t="s">
        <v>1722</v>
      </c>
      <c r="E415" s="58" t="s">
        <v>389</v>
      </c>
      <c r="F415" s="58" t="s">
        <v>1566</v>
      </c>
      <c r="G415" s="58"/>
    </row>
    <row r="416" spans="2:7" x14ac:dyDescent="0.3">
      <c r="B416" s="58" t="s">
        <v>1716</v>
      </c>
      <c r="C416" s="58">
        <v>1757412183389</v>
      </c>
      <c r="D416" s="58" t="s">
        <v>1723</v>
      </c>
      <c r="E416" s="58" t="s">
        <v>389</v>
      </c>
      <c r="F416" s="58" t="s">
        <v>1576</v>
      </c>
      <c r="G416" s="58"/>
    </row>
    <row r="417" spans="2:7" x14ac:dyDescent="0.3">
      <c r="B417" s="58" t="s">
        <v>1716</v>
      </c>
      <c r="C417" s="58">
        <v>1757412183469</v>
      </c>
      <c r="D417" s="58" t="s">
        <v>1724</v>
      </c>
      <c r="E417" s="58" t="s">
        <v>389</v>
      </c>
      <c r="F417" s="58" t="s">
        <v>1576</v>
      </c>
      <c r="G417" s="58"/>
    </row>
    <row r="418" spans="2:7" x14ac:dyDescent="0.3">
      <c r="B418" s="58" t="s">
        <v>1716</v>
      </c>
      <c r="C418" s="58">
        <v>1757412183538</v>
      </c>
      <c r="D418" s="58" t="s">
        <v>1725</v>
      </c>
      <c r="E418" s="58" t="s">
        <v>389</v>
      </c>
      <c r="F418" s="58" t="s">
        <v>1576</v>
      </c>
      <c r="G418" s="58"/>
    </row>
    <row r="419" spans="2:7" x14ac:dyDescent="0.3">
      <c r="B419" s="58" t="s">
        <v>1716</v>
      </c>
      <c r="C419" s="58">
        <v>1757412183610</v>
      </c>
      <c r="D419" s="58" t="s">
        <v>1726</v>
      </c>
      <c r="E419" s="58" t="s">
        <v>389</v>
      </c>
      <c r="F419" s="58" t="s">
        <v>661</v>
      </c>
      <c r="G419" s="58"/>
    </row>
    <row r="420" spans="2:7" x14ac:dyDescent="0.3">
      <c r="B420" s="58" t="s">
        <v>1716</v>
      </c>
      <c r="C420" s="58">
        <v>1757412187202</v>
      </c>
      <c r="D420" s="58" t="s">
        <v>1727</v>
      </c>
      <c r="E420" s="58" t="s">
        <v>389</v>
      </c>
      <c r="F420" s="58" t="s">
        <v>1728</v>
      </c>
      <c r="G420" s="58"/>
    </row>
    <row r="421" spans="2:7" x14ac:dyDescent="0.3">
      <c r="B421" s="58" t="s">
        <v>1716</v>
      </c>
      <c r="C421" s="58">
        <v>1757412208700</v>
      </c>
      <c r="D421" s="58" t="s">
        <v>1729</v>
      </c>
      <c r="E421" s="58" t="s">
        <v>422</v>
      </c>
      <c r="F421" s="58" t="s">
        <v>420</v>
      </c>
      <c r="G421" s="58"/>
    </row>
    <row r="422" spans="2:7" x14ac:dyDescent="0.3">
      <c r="B422" s="58" t="s">
        <v>426</v>
      </c>
      <c r="C422" s="58">
        <v>1757412223324</v>
      </c>
      <c r="D422" s="58" t="s">
        <v>1730</v>
      </c>
      <c r="E422" s="58" t="s">
        <v>428</v>
      </c>
      <c r="F422" s="58" t="s">
        <v>453</v>
      </c>
      <c r="G422" s="58"/>
    </row>
    <row r="423" spans="2:7" x14ac:dyDescent="0.3">
      <c r="B423" s="58" t="s">
        <v>426</v>
      </c>
      <c r="C423" s="58">
        <v>1757412242437</v>
      </c>
      <c r="D423" s="58" t="s">
        <v>1731</v>
      </c>
      <c r="E423" s="58" t="s">
        <v>428</v>
      </c>
      <c r="F423" s="58" t="s">
        <v>435</v>
      </c>
      <c r="G423" s="58"/>
    </row>
    <row r="424" spans="2:7" x14ac:dyDescent="0.3">
      <c r="B424" s="58" t="s">
        <v>426</v>
      </c>
      <c r="C424" s="58">
        <v>1757412261566</v>
      </c>
      <c r="D424" s="58" t="s">
        <v>1732</v>
      </c>
      <c r="E424" s="58" t="s">
        <v>428</v>
      </c>
      <c r="F424" s="58" t="s">
        <v>437</v>
      </c>
      <c r="G424" s="58"/>
    </row>
    <row r="425" spans="2:7" x14ac:dyDescent="0.3">
      <c r="B425" s="58" t="s">
        <v>426</v>
      </c>
      <c r="C425" s="58">
        <v>1757412279934</v>
      </c>
      <c r="D425" s="58" t="s">
        <v>1733</v>
      </c>
      <c r="E425" s="58" t="s">
        <v>428</v>
      </c>
      <c r="F425" s="58" t="s">
        <v>439</v>
      </c>
      <c r="G425" s="58"/>
    </row>
    <row r="426" spans="2:7" x14ac:dyDescent="0.3">
      <c r="B426" s="58" t="s">
        <v>1716</v>
      </c>
      <c r="C426" s="58">
        <v>1757412291852</v>
      </c>
      <c r="D426" s="58" t="s">
        <v>1734</v>
      </c>
      <c r="E426" s="58" t="s">
        <v>424</v>
      </c>
      <c r="F426" s="58" t="s">
        <v>457</v>
      </c>
      <c r="G426" s="58"/>
    </row>
    <row r="427" spans="2:7" x14ac:dyDescent="0.3">
      <c r="B427" s="58" t="s">
        <v>1716</v>
      </c>
      <c r="C427" s="58">
        <v>1757412292041</v>
      </c>
      <c r="D427" s="58" t="s">
        <v>1735</v>
      </c>
      <c r="E427" s="58" t="s">
        <v>424</v>
      </c>
      <c r="F427" s="58" t="s">
        <v>459</v>
      </c>
      <c r="G427" s="58"/>
    </row>
    <row r="428" spans="2:7" x14ac:dyDescent="0.3">
      <c r="B428" s="58" t="s">
        <v>1716</v>
      </c>
      <c r="C428" s="58">
        <v>1757412292634</v>
      </c>
      <c r="D428" s="58" t="s">
        <v>1736</v>
      </c>
      <c r="E428" s="58" t="s">
        <v>424</v>
      </c>
      <c r="F428" s="58" t="s">
        <v>461</v>
      </c>
      <c r="G428" s="58"/>
    </row>
    <row r="429" spans="2:7" x14ac:dyDescent="0.3">
      <c r="B429" s="58" t="s">
        <v>1716</v>
      </c>
      <c r="C429" s="58">
        <v>1757412293617</v>
      </c>
      <c r="D429" s="58" t="s">
        <v>1737</v>
      </c>
      <c r="E429" s="58" t="s">
        <v>424</v>
      </c>
      <c r="F429" s="58" t="s">
        <v>441</v>
      </c>
      <c r="G429" s="58"/>
    </row>
    <row r="430" spans="2:7" x14ac:dyDescent="0.3">
      <c r="B430" s="58" t="s">
        <v>1716</v>
      </c>
      <c r="C430" s="58">
        <v>1757412294799</v>
      </c>
      <c r="D430" s="58" t="s">
        <v>1738</v>
      </c>
      <c r="E430" s="58" t="s">
        <v>424</v>
      </c>
      <c r="F430" s="58" t="s">
        <v>433</v>
      </c>
      <c r="G430" s="58"/>
    </row>
    <row r="431" spans="2:7" x14ac:dyDescent="0.3">
      <c r="B431" s="58" t="s">
        <v>426</v>
      </c>
      <c r="C431" s="58">
        <v>1757412295482</v>
      </c>
      <c r="D431" s="58" t="s">
        <v>1739</v>
      </c>
      <c r="E431" s="58" t="s">
        <v>428</v>
      </c>
      <c r="F431" s="58" t="s">
        <v>429</v>
      </c>
      <c r="G431" s="58"/>
    </row>
    <row r="432" spans="2:7" x14ac:dyDescent="0.3">
      <c r="B432" s="58" t="s">
        <v>426</v>
      </c>
      <c r="C432" s="58">
        <v>1757412310910</v>
      </c>
      <c r="D432" s="58" t="s">
        <v>1740</v>
      </c>
      <c r="E432" s="58" t="s">
        <v>428</v>
      </c>
      <c r="F432" s="58" t="s">
        <v>431</v>
      </c>
      <c r="G432" s="58"/>
    </row>
    <row r="433" spans="1:7" x14ac:dyDescent="0.3">
      <c r="B433" s="58" t="s">
        <v>426</v>
      </c>
      <c r="C433" s="58">
        <v>1757412325609</v>
      </c>
      <c r="D433" s="58" t="s">
        <v>1741</v>
      </c>
      <c r="E433" s="58" t="s">
        <v>428</v>
      </c>
      <c r="F433" s="58" t="s">
        <v>447</v>
      </c>
      <c r="G433" s="58"/>
    </row>
    <row r="434" spans="1:7" x14ac:dyDescent="0.3">
      <c r="B434" s="58" t="s">
        <v>1716</v>
      </c>
      <c r="C434" s="58">
        <v>1757412334398</v>
      </c>
      <c r="D434" s="58" t="s">
        <v>1742</v>
      </c>
      <c r="E434" s="58" t="s">
        <v>424</v>
      </c>
      <c r="F434" s="58" t="s">
        <v>449</v>
      </c>
      <c r="G434" s="58"/>
    </row>
    <row r="435" spans="1:7" x14ac:dyDescent="0.3">
      <c r="B435" s="58" t="s">
        <v>1716</v>
      </c>
      <c r="C435" s="58">
        <v>1757412335032</v>
      </c>
      <c r="D435" s="58" t="s">
        <v>1743</v>
      </c>
      <c r="E435" s="58" t="s">
        <v>424</v>
      </c>
      <c r="F435" s="58" t="s">
        <v>451</v>
      </c>
      <c r="G435" s="58"/>
    </row>
    <row r="436" spans="1:7" x14ac:dyDescent="0.3">
      <c r="B436" s="58" t="s">
        <v>426</v>
      </c>
      <c r="C436" s="58">
        <v>1757412341821</v>
      </c>
      <c r="D436" s="58" t="s">
        <v>1744</v>
      </c>
      <c r="E436" s="58" t="s">
        <v>428</v>
      </c>
      <c r="F436" s="58" t="s">
        <v>538</v>
      </c>
      <c r="G436" s="58"/>
    </row>
    <row r="437" spans="1:7" x14ac:dyDescent="0.3">
      <c r="B437" s="58" t="s">
        <v>426</v>
      </c>
      <c r="C437" s="58">
        <v>1757412359598</v>
      </c>
      <c r="D437" s="58" t="s">
        <v>1745</v>
      </c>
      <c r="E437" s="58" t="s">
        <v>428</v>
      </c>
      <c r="F437" s="58" t="s">
        <v>672</v>
      </c>
      <c r="G437" s="58"/>
    </row>
    <row r="438" spans="1:7" x14ac:dyDescent="0.3">
      <c r="B438" s="58" t="s">
        <v>426</v>
      </c>
      <c r="C438" s="58">
        <v>1757412376511</v>
      </c>
      <c r="D438" s="58" t="s">
        <v>1746</v>
      </c>
      <c r="E438" s="58" t="s">
        <v>428</v>
      </c>
      <c r="F438" s="58" t="s">
        <v>523</v>
      </c>
      <c r="G438" s="58"/>
    </row>
    <row r="439" spans="1:7" x14ac:dyDescent="0.3">
      <c r="B439" s="58" t="s">
        <v>426</v>
      </c>
      <c r="C439" s="58">
        <v>1757412397073</v>
      </c>
      <c r="D439" s="58" t="s">
        <v>1747</v>
      </c>
      <c r="E439" s="58" t="s">
        <v>428</v>
      </c>
      <c r="F439" s="58" t="s">
        <v>455</v>
      </c>
      <c r="G439" s="58"/>
    </row>
    <row r="440" spans="1:7" x14ac:dyDescent="0.3">
      <c r="B440" s="58" t="s">
        <v>1716</v>
      </c>
      <c r="C440" s="58">
        <v>1757412400207</v>
      </c>
      <c r="D440" s="58" t="s">
        <v>1748</v>
      </c>
      <c r="E440" s="58" t="s">
        <v>463</v>
      </c>
      <c r="F440" s="58" t="s">
        <v>464</v>
      </c>
      <c r="G440" s="58"/>
    </row>
    <row r="441" spans="1:7" ht="21" x14ac:dyDescent="0.4">
      <c r="A441" s="69" t="s">
        <v>41</v>
      </c>
      <c r="B441" s="63" t="s">
        <v>1749</v>
      </c>
      <c r="C441" s="63">
        <v>1757418160971</v>
      </c>
      <c r="D441" s="63" t="s">
        <v>1750</v>
      </c>
      <c r="E441" s="63" t="s">
        <v>416</v>
      </c>
      <c r="F441" s="63" t="s">
        <v>417</v>
      </c>
    </row>
    <row r="442" spans="1:7" x14ac:dyDescent="0.3">
      <c r="B442" s="63" t="s">
        <v>1749</v>
      </c>
      <c r="C442" s="63">
        <v>1757418166897</v>
      </c>
      <c r="D442" s="63" t="s">
        <v>1751</v>
      </c>
      <c r="E442" s="63" t="s">
        <v>419</v>
      </c>
      <c r="F442" s="63" t="s">
        <v>420</v>
      </c>
    </row>
    <row r="443" spans="1:7" x14ac:dyDescent="0.3">
      <c r="B443" s="63" t="s">
        <v>1749</v>
      </c>
      <c r="C443" s="63">
        <v>1757418206255</v>
      </c>
      <c r="D443" s="63" t="s">
        <v>1752</v>
      </c>
      <c r="E443" s="63" t="s">
        <v>389</v>
      </c>
      <c r="F443" s="63" t="s">
        <v>502</v>
      </c>
    </row>
    <row r="444" spans="1:7" x14ac:dyDescent="0.3">
      <c r="B444" s="63" t="s">
        <v>1749</v>
      </c>
      <c r="C444" s="63">
        <v>1757418206997</v>
      </c>
      <c r="D444" s="63" t="s">
        <v>1753</v>
      </c>
      <c r="E444" s="63" t="s">
        <v>389</v>
      </c>
      <c r="F444" s="63" t="s">
        <v>504</v>
      </c>
    </row>
    <row r="445" spans="1:7" x14ac:dyDescent="0.3">
      <c r="B445" s="63" t="s">
        <v>1749</v>
      </c>
      <c r="C445" s="63">
        <v>1757418207846</v>
      </c>
      <c r="D445" s="63" t="s">
        <v>1754</v>
      </c>
      <c r="E445" s="63" t="s">
        <v>389</v>
      </c>
      <c r="F445" s="63" t="s">
        <v>506</v>
      </c>
    </row>
    <row r="446" spans="1:7" x14ac:dyDescent="0.3">
      <c r="B446" s="63" t="s">
        <v>1749</v>
      </c>
      <c r="C446" s="63">
        <v>1757418242688</v>
      </c>
      <c r="D446" s="63" t="s">
        <v>1755</v>
      </c>
      <c r="E446" s="63" t="s">
        <v>389</v>
      </c>
      <c r="F446" s="63" t="s">
        <v>406</v>
      </c>
    </row>
    <row r="447" spans="1:7" x14ac:dyDescent="0.3">
      <c r="B447" s="63" t="s">
        <v>1749</v>
      </c>
      <c r="C447" s="63">
        <v>1757418245729</v>
      </c>
      <c r="D447" s="63" t="s">
        <v>1756</v>
      </c>
      <c r="E447" s="63" t="s">
        <v>389</v>
      </c>
      <c r="F447" s="63" t="s">
        <v>390</v>
      </c>
    </row>
    <row r="448" spans="1:7" x14ac:dyDescent="0.3">
      <c r="B448" s="63" t="s">
        <v>1749</v>
      </c>
      <c r="C448" s="63">
        <v>1757418246650</v>
      </c>
      <c r="D448" s="63" t="s">
        <v>1757</v>
      </c>
      <c r="E448" s="63" t="s">
        <v>389</v>
      </c>
      <c r="F448" s="63" t="s">
        <v>392</v>
      </c>
    </row>
    <row r="449" spans="2:6" x14ac:dyDescent="0.3">
      <c r="B449" s="63" t="s">
        <v>1749</v>
      </c>
      <c r="C449" s="63">
        <v>1757418282952</v>
      </c>
      <c r="D449" s="63" t="s">
        <v>1758</v>
      </c>
      <c r="E449" s="63" t="s">
        <v>389</v>
      </c>
      <c r="F449" s="63" t="s">
        <v>508</v>
      </c>
    </row>
    <row r="450" spans="2:6" x14ac:dyDescent="0.3">
      <c r="B450" s="63" t="s">
        <v>1749</v>
      </c>
      <c r="C450" s="63">
        <v>1757418283689</v>
      </c>
      <c r="D450" s="63" t="s">
        <v>1759</v>
      </c>
      <c r="E450" s="63" t="s">
        <v>389</v>
      </c>
      <c r="F450" s="63" t="s">
        <v>660</v>
      </c>
    </row>
    <row r="451" spans="2:6" x14ac:dyDescent="0.3">
      <c r="B451" s="63" t="s">
        <v>1749</v>
      </c>
      <c r="C451" s="63">
        <v>1757418290972</v>
      </c>
      <c r="D451" s="63" t="s">
        <v>1760</v>
      </c>
      <c r="E451" s="63" t="s">
        <v>389</v>
      </c>
      <c r="F451" s="63" t="s">
        <v>495</v>
      </c>
    </row>
    <row r="452" spans="2:6" x14ac:dyDescent="0.3">
      <c r="B452" s="63" t="s">
        <v>1749</v>
      </c>
      <c r="C452" s="63">
        <v>1757418292373</v>
      </c>
      <c r="D452" s="63" t="s">
        <v>1761</v>
      </c>
      <c r="E452" s="63" t="s">
        <v>389</v>
      </c>
      <c r="F452" s="63" t="s">
        <v>414</v>
      </c>
    </row>
    <row r="453" spans="2:6" x14ac:dyDescent="0.3">
      <c r="B453" s="63" t="s">
        <v>1749</v>
      </c>
      <c r="C453" s="63">
        <v>1757418315044</v>
      </c>
      <c r="D453" s="63" t="s">
        <v>1762</v>
      </c>
      <c r="E453" s="63" t="s">
        <v>389</v>
      </c>
      <c r="F453" s="63" t="s">
        <v>1763</v>
      </c>
    </row>
    <row r="454" spans="2:6" x14ac:dyDescent="0.3">
      <c r="B454" s="63" t="s">
        <v>1749</v>
      </c>
      <c r="C454" s="63">
        <v>1757418315123</v>
      </c>
      <c r="D454" s="63" t="s">
        <v>1764</v>
      </c>
      <c r="E454" s="63" t="s">
        <v>389</v>
      </c>
      <c r="F454" s="63" t="s">
        <v>1765</v>
      </c>
    </row>
    <row r="455" spans="2:6" x14ac:dyDescent="0.3">
      <c r="B455" s="63" t="s">
        <v>1749</v>
      </c>
      <c r="C455" s="63">
        <v>1757418315242</v>
      </c>
      <c r="D455" s="63" t="s">
        <v>1766</v>
      </c>
      <c r="E455" s="63" t="s">
        <v>389</v>
      </c>
      <c r="F455" s="63" t="s">
        <v>1767</v>
      </c>
    </row>
    <row r="456" spans="2:6" x14ac:dyDescent="0.3">
      <c r="B456" s="63" t="s">
        <v>1749</v>
      </c>
      <c r="C456" s="63">
        <v>1757418315356</v>
      </c>
      <c r="D456" s="63" t="s">
        <v>1768</v>
      </c>
      <c r="E456" s="63" t="s">
        <v>389</v>
      </c>
      <c r="F456" s="63" t="s">
        <v>1763</v>
      </c>
    </row>
    <row r="457" spans="2:6" x14ac:dyDescent="0.3">
      <c r="B457" s="63" t="s">
        <v>1749</v>
      </c>
      <c r="C457" s="63">
        <v>1757418315463</v>
      </c>
      <c r="D457" s="63" t="s">
        <v>1769</v>
      </c>
      <c r="E457" s="63" t="s">
        <v>389</v>
      </c>
      <c r="F457" s="63" t="s">
        <v>1767</v>
      </c>
    </row>
    <row r="458" spans="2:6" x14ac:dyDescent="0.3">
      <c r="B458" s="63" t="s">
        <v>1749</v>
      </c>
      <c r="C458" s="63">
        <v>1757418315577</v>
      </c>
      <c r="D458" s="63" t="s">
        <v>1770</v>
      </c>
      <c r="E458" s="63" t="s">
        <v>389</v>
      </c>
      <c r="F458" s="63" t="s">
        <v>1763</v>
      </c>
    </row>
    <row r="459" spans="2:6" x14ac:dyDescent="0.3">
      <c r="B459" s="63" t="s">
        <v>1749</v>
      </c>
      <c r="C459" s="63">
        <v>1757418315674</v>
      </c>
      <c r="D459" s="63" t="s">
        <v>1771</v>
      </c>
      <c r="E459" s="63" t="s">
        <v>389</v>
      </c>
      <c r="F459" s="63" t="s">
        <v>1767</v>
      </c>
    </row>
    <row r="460" spans="2:6" x14ac:dyDescent="0.3">
      <c r="B460" s="63" t="s">
        <v>1749</v>
      </c>
      <c r="C460" s="63">
        <v>1757418315767</v>
      </c>
      <c r="D460" s="63" t="s">
        <v>1772</v>
      </c>
      <c r="E460" s="63" t="s">
        <v>389</v>
      </c>
      <c r="F460" s="63" t="s">
        <v>1763</v>
      </c>
    </row>
    <row r="461" spans="2:6" x14ac:dyDescent="0.3">
      <c r="B461" s="63" t="s">
        <v>1749</v>
      </c>
      <c r="C461" s="63">
        <v>1757418315865</v>
      </c>
      <c r="D461" s="63" t="s">
        <v>1773</v>
      </c>
      <c r="E461" s="63" t="s">
        <v>389</v>
      </c>
      <c r="F461" s="63" t="s">
        <v>1767</v>
      </c>
    </row>
    <row r="462" spans="2:6" x14ac:dyDescent="0.3">
      <c r="B462" s="63" t="s">
        <v>1749</v>
      </c>
      <c r="C462" s="63">
        <v>1757418315975</v>
      </c>
      <c r="D462" s="63" t="s">
        <v>1774</v>
      </c>
      <c r="E462" s="63" t="s">
        <v>389</v>
      </c>
      <c r="F462" s="63" t="s">
        <v>410</v>
      </c>
    </row>
    <row r="463" spans="2:6" x14ac:dyDescent="0.3">
      <c r="B463" s="63" t="s">
        <v>1749</v>
      </c>
      <c r="C463" s="63">
        <v>1757418316158</v>
      </c>
      <c r="D463" s="63" t="s">
        <v>1775</v>
      </c>
      <c r="E463" s="63" t="s">
        <v>389</v>
      </c>
      <c r="F463" s="63" t="s">
        <v>1776</v>
      </c>
    </row>
    <row r="464" spans="2:6" x14ac:dyDescent="0.3">
      <c r="B464" s="63" t="s">
        <v>1749</v>
      </c>
      <c r="C464" s="63">
        <v>1757418316300</v>
      </c>
      <c r="D464" s="63" t="s">
        <v>1777</v>
      </c>
      <c r="E464" s="63" t="s">
        <v>389</v>
      </c>
      <c r="F464" s="63" t="s">
        <v>1778</v>
      </c>
    </row>
    <row r="465" spans="2:6" x14ac:dyDescent="0.3">
      <c r="B465" s="63" t="s">
        <v>1749</v>
      </c>
      <c r="C465" s="63">
        <v>1757418316377</v>
      </c>
      <c r="D465" s="63" t="s">
        <v>1779</v>
      </c>
      <c r="E465" s="63" t="s">
        <v>389</v>
      </c>
      <c r="F465" s="63" t="s">
        <v>811</v>
      </c>
    </row>
    <row r="466" spans="2:6" x14ac:dyDescent="0.3">
      <c r="B466" s="63" t="s">
        <v>1749</v>
      </c>
      <c r="C466" s="63">
        <v>1757418316755</v>
      </c>
      <c r="D466" s="63" t="s">
        <v>1780</v>
      </c>
      <c r="E466" s="63" t="s">
        <v>389</v>
      </c>
      <c r="F466" s="63" t="s">
        <v>410</v>
      </c>
    </row>
    <row r="467" spans="2:6" x14ac:dyDescent="0.3">
      <c r="B467" s="63" t="s">
        <v>1749</v>
      </c>
      <c r="C467" s="63">
        <v>1757418323694</v>
      </c>
      <c r="D467" s="63" t="s">
        <v>1781</v>
      </c>
      <c r="E467" s="63" t="s">
        <v>422</v>
      </c>
      <c r="F467" s="63" t="s">
        <v>420</v>
      </c>
    </row>
    <row r="468" spans="2:6" x14ac:dyDescent="0.3">
      <c r="B468" s="63" t="s">
        <v>1749</v>
      </c>
      <c r="C468" s="63">
        <v>1757418331289</v>
      </c>
      <c r="D468" s="63" t="s">
        <v>1782</v>
      </c>
      <c r="E468" s="63" t="s">
        <v>424</v>
      </c>
      <c r="F468" s="63" t="s">
        <v>549</v>
      </c>
    </row>
    <row r="469" spans="2:6" x14ac:dyDescent="0.3">
      <c r="B469" s="63" t="s">
        <v>1749</v>
      </c>
      <c r="C469" s="63">
        <v>1757418335939</v>
      </c>
      <c r="D469" s="63" t="s">
        <v>1783</v>
      </c>
      <c r="E469" s="63" t="s">
        <v>424</v>
      </c>
      <c r="F469" s="63" t="s">
        <v>551</v>
      </c>
    </row>
    <row r="470" spans="2:6" x14ac:dyDescent="0.3">
      <c r="B470" s="63" t="s">
        <v>1749</v>
      </c>
      <c r="C470" s="63">
        <v>1757418340289</v>
      </c>
      <c r="D470" s="63" t="s">
        <v>1784</v>
      </c>
      <c r="E470" s="63" t="s">
        <v>424</v>
      </c>
      <c r="F470" s="63" t="s">
        <v>553</v>
      </c>
    </row>
    <row r="471" spans="2:6" x14ac:dyDescent="0.3">
      <c r="B471" s="63" t="s">
        <v>426</v>
      </c>
      <c r="C471" s="63">
        <v>1757418341292</v>
      </c>
      <c r="D471" s="63" t="s">
        <v>1785</v>
      </c>
      <c r="E471" s="63" t="s">
        <v>428</v>
      </c>
      <c r="F471" s="63" t="s">
        <v>453</v>
      </c>
    </row>
    <row r="472" spans="2:6" x14ac:dyDescent="0.3">
      <c r="B472" s="63" t="s">
        <v>1749</v>
      </c>
      <c r="C472" s="63">
        <v>1757418355185</v>
      </c>
      <c r="D472" s="63" t="s">
        <v>1786</v>
      </c>
      <c r="E472" s="63" t="s">
        <v>424</v>
      </c>
      <c r="F472" s="63" t="s">
        <v>441</v>
      </c>
    </row>
    <row r="473" spans="2:6" x14ac:dyDescent="0.3">
      <c r="B473" s="63" t="s">
        <v>426</v>
      </c>
      <c r="C473" s="63">
        <v>1757418358971</v>
      </c>
      <c r="D473" s="63" t="s">
        <v>1787</v>
      </c>
      <c r="E473" s="63" t="s">
        <v>428</v>
      </c>
      <c r="F473" s="63" t="s">
        <v>429</v>
      </c>
    </row>
    <row r="474" spans="2:6" x14ac:dyDescent="0.3">
      <c r="B474" s="63" t="s">
        <v>426</v>
      </c>
      <c r="C474" s="63">
        <v>1757418375920</v>
      </c>
      <c r="D474" s="63" t="s">
        <v>1788</v>
      </c>
      <c r="E474" s="63" t="s">
        <v>428</v>
      </c>
      <c r="F474" s="63" t="s">
        <v>431</v>
      </c>
    </row>
    <row r="475" spans="2:6" x14ac:dyDescent="0.3">
      <c r="B475" s="63" t="s">
        <v>1749</v>
      </c>
      <c r="C475" s="63">
        <v>1757418377219</v>
      </c>
      <c r="D475" s="63" t="s">
        <v>1789</v>
      </c>
      <c r="E475" s="63" t="s">
        <v>424</v>
      </c>
      <c r="F475" s="63" t="s">
        <v>457</v>
      </c>
    </row>
    <row r="476" spans="2:6" x14ac:dyDescent="0.3">
      <c r="B476" s="63" t="s">
        <v>426</v>
      </c>
      <c r="C476" s="63">
        <v>1757418391407</v>
      </c>
      <c r="D476" s="63" t="s">
        <v>1790</v>
      </c>
      <c r="E476" s="63" t="s">
        <v>428</v>
      </c>
      <c r="F476" s="63" t="s">
        <v>447</v>
      </c>
    </row>
    <row r="477" spans="2:6" x14ac:dyDescent="0.3">
      <c r="B477" s="63" t="s">
        <v>1749</v>
      </c>
      <c r="C477" s="63">
        <v>1757418393945</v>
      </c>
      <c r="D477" s="63" t="s">
        <v>1791</v>
      </c>
      <c r="E477" s="63" t="s">
        <v>424</v>
      </c>
      <c r="F477" s="63" t="s">
        <v>459</v>
      </c>
    </row>
    <row r="478" spans="2:6" x14ac:dyDescent="0.3">
      <c r="B478" s="63" t="s">
        <v>1749</v>
      </c>
      <c r="C478" s="63">
        <v>1757418395132</v>
      </c>
      <c r="D478" s="63" t="s">
        <v>1792</v>
      </c>
      <c r="E478" s="63" t="s">
        <v>424</v>
      </c>
      <c r="F478" s="63" t="s">
        <v>461</v>
      </c>
    </row>
    <row r="479" spans="2:6" x14ac:dyDescent="0.3">
      <c r="B479" s="63" t="s">
        <v>1749</v>
      </c>
      <c r="C479" s="63">
        <v>1757418406594</v>
      </c>
      <c r="D479" s="63" t="s">
        <v>1793</v>
      </c>
      <c r="E479" s="63" t="s">
        <v>424</v>
      </c>
      <c r="F479" s="63" t="s">
        <v>433</v>
      </c>
    </row>
    <row r="480" spans="2:6" x14ac:dyDescent="0.3">
      <c r="B480" s="63" t="s">
        <v>426</v>
      </c>
      <c r="C480" s="63">
        <v>1757418406893</v>
      </c>
      <c r="D480" s="63" t="s">
        <v>1794</v>
      </c>
      <c r="E480" s="63" t="s">
        <v>428</v>
      </c>
      <c r="F480" s="63" t="s">
        <v>538</v>
      </c>
    </row>
    <row r="481" spans="2:6" x14ac:dyDescent="0.3">
      <c r="B481" s="63" t="s">
        <v>1749</v>
      </c>
      <c r="C481" s="63">
        <v>1757418422050</v>
      </c>
      <c r="D481" s="63" t="s">
        <v>1795</v>
      </c>
      <c r="E481" s="63" t="s">
        <v>424</v>
      </c>
      <c r="F481" s="63" t="s">
        <v>449</v>
      </c>
    </row>
    <row r="482" spans="2:6" x14ac:dyDescent="0.3">
      <c r="B482" s="63" t="s">
        <v>426</v>
      </c>
      <c r="C482" s="63">
        <v>1757418423837</v>
      </c>
      <c r="D482" s="63" t="s">
        <v>1796</v>
      </c>
      <c r="E482" s="63" t="s">
        <v>428</v>
      </c>
      <c r="F482" s="63" t="s">
        <v>672</v>
      </c>
    </row>
    <row r="483" spans="2:6" x14ac:dyDescent="0.3">
      <c r="B483" s="63" t="s">
        <v>1749</v>
      </c>
      <c r="C483" s="63">
        <v>1757418425883</v>
      </c>
      <c r="D483" s="63" t="s">
        <v>1797</v>
      </c>
      <c r="E483" s="63" t="s">
        <v>424</v>
      </c>
      <c r="F483" s="63" t="s">
        <v>451</v>
      </c>
    </row>
    <row r="484" spans="2:6" x14ac:dyDescent="0.3">
      <c r="B484" s="63" t="s">
        <v>426</v>
      </c>
      <c r="C484" s="63">
        <v>1757418440742</v>
      </c>
      <c r="D484" s="63" t="s">
        <v>1798</v>
      </c>
      <c r="E484" s="63" t="s">
        <v>428</v>
      </c>
      <c r="F484" s="63" t="s">
        <v>523</v>
      </c>
    </row>
    <row r="485" spans="2:6" x14ac:dyDescent="0.3">
      <c r="B485" s="63" t="s">
        <v>1749</v>
      </c>
      <c r="C485" s="63">
        <v>1757418457381</v>
      </c>
      <c r="D485" s="63" t="s">
        <v>1799</v>
      </c>
      <c r="E485" s="63" t="s">
        <v>463</v>
      </c>
      <c r="F485" s="63" t="s">
        <v>464</v>
      </c>
    </row>
    <row r="486" spans="2:6" x14ac:dyDescent="0.3">
      <c r="B486" s="63" t="s">
        <v>426</v>
      </c>
      <c r="C486" s="63">
        <v>1757418462101</v>
      </c>
      <c r="D486" s="63" t="s">
        <v>1800</v>
      </c>
      <c r="E486" s="63" t="s">
        <v>428</v>
      </c>
      <c r="F486" s="63" t="s">
        <v>455</v>
      </c>
    </row>
    <row r="487" spans="2:6" x14ac:dyDescent="0.3">
      <c r="B487" s="58" t="s">
        <v>1801</v>
      </c>
      <c r="C487" s="58">
        <v>1757418471391</v>
      </c>
      <c r="D487" s="58" t="s">
        <v>1802</v>
      </c>
      <c r="E487" s="58" t="s">
        <v>416</v>
      </c>
      <c r="F487" s="58" t="s">
        <v>466</v>
      </c>
    </row>
    <row r="488" spans="2:6" x14ac:dyDescent="0.3">
      <c r="B488" s="58" t="s">
        <v>1801</v>
      </c>
      <c r="C488" s="58">
        <v>1757418471493</v>
      </c>
      <c r="D488" s="58" t="s">
        <v>1803</v>
      </c>
      <c r="E488" s="58" t="s">
        <v>468</v>
      </c>
      <c r="F488" s="58" t="s">
        <v>1804</v>
      </c>
    </row>
    <row r="489" spans="2:6" x14ac:dyDescent="0.3">
      <c r="B489" s="58" t="s">
        <v>1801</v>
      </c>
      <c r="C489" s="58">
        <v>1757418472000</v>
      </c>
      <c r="D489" s="58" t="s">
        <v>1805</v>
      </c>
      <c r="E489" s="58" t="s">
        <v>419</v>
      </c>
      <c r="F489" s="58" t="s">
        <v>420</v>
      </c>
    </row>
    <row r="490" spans="2:6" x14ac:dyDescent="0.3">
      <c r="B490" s="58" t="s">
        <v>1801</v>
      </c>
      <c r="C490" s="58">
        <v>1757418528467</v>
      </c>
      <c r="D490" s="58" t="s">
        <v>1806</v>
      </c>
      <c r="E490" s="58" t="s">
        <v>389</v>
      </c>
      <c r="F490" s="58" t="s">
        <v>515</v>
      </c>
    </row>
    <row r="491" spans="2:6" x14ac:dyDescent="0.3">
      <c r="B491" s="58" t="s">
        <v>1801</v>
      </c>
      <c r="C491" s="58">
        <v>1757418532299</v>
      </c>
      <c r="D491" s="58" t="s">
        <v>1807</v>
      </c>
      <c r="E491" s="58" t="s">
        <v>389</v>
      </c>
      <c r="F491" s="58" t="s">
        <v>394</v>
      </c>
    </row>
    <row r="492" spans="2:6" x14ac:dyDescent="0.3">
      <c r="B492" s="58" t="s">
        <v>1801</v>
      </c>
      <c r="C492" s="58">
        <v>1757418546931</v>
      </c>
      <c r="D492" s="58" t="s">
        <v>1808</v>
      </c>
      <c r="E492" s="58" t="s">
        <v>422</v>
      </c>
      <c r="F492" s="58" t="s">
        <v>420</v>
      </c>
    </row>
    <row r="493" spans="2:6" x14ac:dyDescent="0.3">
      <c r="B493" s="58" t="s">
        <v>1801</v>
      </c>
      <c r="C493" s="58">
        <v>1757418555592</v>
      </c>
      <c r="D493" s="58" t="s">
        <v>1809</v>
      </c>
      <c r="E493" s="58" t="s">
        <v>424</v>
      </c>
      <c r="F493" s="58" t="s">
        <v>549</v>
      </c>
    </row>
    <row r="494" spans="2:6" x14ac:dyDescent="0.3">
      <c r="B494" s="58" t="s">
        <v>1801</v>
      </c>
      <c r="C494" s="58">
        <v>1757418561207</v>
      </c>
      <c r="D494" s="58" t="s">
        <v>1810</v>
      </c>
      <c r="E494" s="58" t="s">
        <v>424</v>
      </c>
      <c r="F494" s="58" t="s">
        <v>551</v>
      </c>
    </row>
    <row r="495" spans="2:6" x14ac:dyDescent="0.3">
      <c r="B495" s="58" t="s">
        <v>426</v>
      </c>
      <c r="C495" s="58">
        <v>1757418562347</v>
      </c>
      <c r="D495" s="58" t="s">
        <v>1811</v>
      </c>
      <c r="E495" s="58" t="s">
        <v>428</v>
      </c>
      <c r="F495" s="58" t="s">
        <v>429</v>
      </c>
    </row>
    <row r="496" spans="2:6" x14ac:dyDescent="0.3">
      <c r="B496" s="58" t="s">
        <v>426</v>
      </c>
      <c r="C496" s="58">
        <v>1757418577839</v>
      </c>
      <c r="D496" s="58" t="s">
        <v>1812</v>
      </c>
      <c r="E496" s="58" t="s">
        <v>428</v>
      </c>
      <c r="F496" s="58" t="s">
        <v>431</v>
      </c>
    </row>
    <row r="497" spans="1:7" x14ac:dyDescent="0.3">
      <c r="B497" s="58" t="s">
        <v>1801</v>
      </c>
      <c r="C497" s="58">
        <v>1757418581660</v>
      </c>
      <c r="D497" s="58" t="s">
        <v>1813</v>
      </c>
      <c r="E497" s="58" t="s">
        <v>424</v>
      </c>
      <c r="F497" s="58" t="s">
        <v>553</v>
      </c>
    </row>
    <row r="498" spans="1:7" x14ac:dyDescent="0.3">
      <c r="B498" s="58" t="s">
        <v>1801</v>
      </c>
      <c r="C498" s="58">
        <v>1757418584239</v>
      </c>
      <c r="D498" s="58" t="s">
        <v>1814</v>
      </c>
      <c r="E498" s="58" t="s">
        <v>424</v>
      </c>
      <c r="F498" s="58" t="s">
        <v>441</v>
      </c>
    </row>
    <row r="499" spans="1:7" x14ac:dyDescent="0.3">
      <c r="B499" s="58" t="s">
        <v>1801</v>
      </c>
      <c r="C499" s="58">
        <v>1757418593603</v>
      </c>
      <c r="D499" s="58" t="s">
        <v>1815</v>
      </c>
      <c r="E499" s="58" t="s">
        <v>424</v>
      </c>
      <c r="F499" s="58" t="s">
        <v>433</v>
      </c>
    </row>
    <row r="500" spans="1:7" x14ac:dyDescent="0.3">
      <c r="B500" s="58" t="s">
        <v>426</v>
      </c>
      <c r="C500" s="58">
        <v>1757418594035</v>
      </c>
      <c r="D500" s="58" t="s">
        <v>1816</v>
      </c>
      <c r="E500" s="58" t="s">
        <v>428</v>
      </c>
      <c r="F500" s="58" t="s">
        <v>538</v>
      </c>
    </row>
    <row r="501" spans="1:7" x14ac:dyDescent="0.3">
      <c r="B501" s="58" t="s">
        <v>426</v>
      </c>
      <c r="C501" s="58">
        <v>1757418611737</v>
      </c>
      <c r="D501" s="58" t="s">
        <v>1817</v>
      </c>
      <c r="E501" s="58" t="s">
        <v>428</v>
      </c>
      <c r="F501" s="58" t="s">
        <v>672</v>
      </c>
    </row>
    <row r="502" spans="1:7" x14ac:dyDescent="0.3">
      <c r="B502" s="58" t="s">
        <v>426</v>
      </c>
      <c r="C502" s="58">
        <v>1757418626493</v>
      </c>
      <c r="D502" s="58" t="s">
        <v>1818</v>
      </c>
      <c r="E502" s="58" t="s">
        <v>428</v>
      </c>
      <c r="F502" s="58" t="s">
        <v>453</v>
      </c>
    </row>
    <row r="503" spans="1:7" x14ac:dyDescent="0.3">
      <c r="B503" s="58" t="s">
        <v>1801</v>
      </c>
      <c r="C503" s="58">
        <v>1757418639201</v>
      </c>
      <c r="D503" s="58" t="s">
        <v>1819</v>
      </c>
      <c r="E503" s="58" t="s">
        <v>424</v>
      </c>
      <c r="F503" s="58" t="s">
        <v>457</v>
      </c>
    </row>
    <row r="504" spans="1:7" x14ac:dyDescent="0.3">
      <c r="B504" s="58" t="s">
        <v>426</v>
      </c>
      <c r="C504" s="58">
        <v>1757418641236</v>
      </c>
      <c r="D504" s="58" t="s">
        <v>1820</v>
      </c>
      <c r="E504" s="58" t="s">
        <v>428</v>
      </c>
      <c r="F504" s="58" t="s">
        <v>447</v>
      </c>
    </row>
    <row r="505" spans="1:7" x14ac:dyDescent="0.3">
      <c r="B505" s="58" t="s">
        <v>1801</v>
      </c>
      <c r="C505" s="58">
        <v>1757418656748</v>
      </c>
      <c r="D505" s="58" t="s">
        <v>1821</v>
      </c>
      <c r="E505" s="58" t="s">
        <v>424</v>
      </c>
      <c r="F505" s="58" t="s">
        <v>459</v>
      </c>
    </row>
    <row r="506" spans="1:7" x14ac:dyDescent="0.3">
      <c r="B506" s="58" t="s">
        <v>1801</v>
      </c>
      <c r="C506" s="58">
        <v>1757418657634</v>
      </c>
      <c r="D506" s="58" t="s">
        <v>1822</v>
      </c>
      <c r="E506" s="58" t="s">
        <v>424</v>
      </c>
      <c r="F506" s="58" t="s">
        <v>461</v>
      </c>
    </row>
    <row r="507" spans="1:7" x14ac:dyDescent="0.3">
      <c r="B507" s="58" t="s">
        <v>1801</v>
      </c>
      <c r="C507" s="58">
        <v>1757418662420</v>
      </c>
      <c r="D507" s="58" t="s">
        <v>1823</v>
      </c>
      <c r="E507" s="58" t="s">
        <v>424</v>
      </c>
      <c r="F507" s="58" t="s">
        <v>425</v>
      </c>
    </row>
    <row r="508" spans="1:7" x14ac:dyDescent="0.3">
      <c r="B508" s="58" t="s">
        <v>1801</v>
      </c>
      <c r="C508" s="58">
        <v>1757418669042</v>
      </c>
      <c r="D508" s="58" t="s">
        <v>1824</v>
      </c>
      <c r="E508" s="58" t="s">
        <v>424</v>
      </c>
      <c r="F508" s="58" t="s">
        <v>449</v>
      </c>
    </row>
    <row r="509" spans="1:7" x14ac:dyDescent="0.3">
      <c r="B509" s="58" t="s">
        <v>1801</v>
      </c>
      <c r="C509" s="58">
        <v>1757418673001</v>
      </c>
      <c r="D509" s="58" t="s">
        <v>1825</v>
      </c>
      <c r="E509" s="58" t="s">
        <v>424</v>
      </c>
      <c r="F509" s="58" t="s">
        <v>451</v>
      </c>
    </row>
    <row r="510" spans="1:7" x14ac:dyDescent="0.3">
      <c r="B510" s="58" t="s">
        <v>1801</v>
      </c>
      <c r="C510" s="58">
        <v>1757418676799</v>
      </c>
      <c r="D510" s="58" t="s">
        <v>1826</v>
      </c>
      <c r="E510" s="58" t="s">
        <v>424</v>
      </c>
      <c r="F510" s="58" t="s">
        <v>570</v>
      </c>
    </row>
    <row r="511" spans="1:7" x14ac:dyDescent="0.3">
      <c r="B511" s="58" t="s">
        <v>1801</v>
      </c>
      <c r="C511" s="58">
        <v>1757418677751</v>
      </c>
      <c r="D511" s="58" t="s">
        <v>1827</v>
      </c>
      <c r="E511" s="58" t="s">
        <v>463</v>
      </c>
      <c r="F511" s="58" t="s">
        <v>464</v>
      </c>
    </row>
    <row r="512" spans="1:7" ht="21" x14ac:dyDescent="0.4">
      <c r="A512" s="69" t="s">
        <v>42</v>
      </c>
      <c r="B512" s="63" t="s">
        <v>2008</v>
      </c>
      <c r="C512" s="63">
        <v>1757422474697</v>
      </c>
      <c r="D512" s="63" t="s">
        <v>2009</v>
      </c>
      <c r="E512" s="63" t="s">
        <v>416</v>
      </c>
      <c r="F512" s="63" t="s">
        <v>417</v>
      </c>
      <c r="G512" s="63"/>
    </row>
    <row r="513" spans="2:7" x14ac:dyDescent="0.3">
      <c r="B513" s="63" t="s">
        <v>2008</v>
      </c>
      <c r="C513" s="63">
        <v>1757422489231</v>
      </c>
      <c r="D513" s="63" t="s">
        <v>2010</v>
      </c>
      <c r="E513" s="63" t="s">
        <v>419</v>
      </c>
      <c r="F513" s="63" t="s">
        <v>420</v>
      </c>
      <c r="G513" s="63"/>
    </row>
    <row r="514" spans="2:7" x14ac:dyDescent="0.3">
      <c r="B514" s="63" t="s">
        <v>2008</v>
      </c>
      <c r="C514" s="63">
        <v>1757422489309</v>
      </c>
      <c r="D514" s="63" t="s">
        <v>2011</v>
      </c>
      <c r="E514" s="63" t="s">
        <v>389</v>
      </c>
      <c r="F514" s="63" t="s">
        <v>1464</v>
      </c>
      <c r="G514" s="63"/>
    </row>
    <row r="515" spans="2:7" x14ac:dyDescent="0.3">
      <c r="B515" s="63" t="s">
        <v>2008</v>
      </c>
      <c r="C515" s="63">
        <v>1757422489366</v>
      </c>
      <c r="D515" s="63" t="s">
        <v>2012</v>
      </c>
      <c r="E515" s="63" t="s">
        <v>389</v>
      </c>
      <c r="F515" s="63" t="s">
        <v>1694</v>
      </c>
      <c r="G515" s="63"/>
    </row>
    <row r="516" spans="2:7" x14ac:dyDescent="0.3">
      <c r="B516" s="63" t="s">
        <v>2008</v>
      </c>
      <c r="C516" s="63">
        <v>1757422489406</v>
      </c>
      <c r="D516" s="63" t="s">
        <v>2013</v>
      </c>
      <c r="E516" s="63" t="s">
        <v>389</v>
      </c>
      <c r="F516" s="63" t="s">
        <v>2014</v>
      </c>
      <c r="G516" s="63"/>
    </row>
    <row r="517" spans="2:7" x14ac:dyDescent="0.3">
      <c r="B517" s="63" t="s">
        <v>2008</v>
      </c>
      <c r="C517" s="63">
        <v>1757422492823</v>
      </c>
      <c r="D517" s="63" t="s">
        <v>2015</v>
      </c>
      <c r="E517" s="63" t="s">
        <v>389</v>
      </c>
      <c r="F517" s="63" t="s">
        <v>968</v>
      </c>
      <c r="G517" s="63"/>
    </row>
    <row r="518" spans="2:7" x14ac:dyDescent="0.3">
      <c r="B518" s="63" t="s">
        <v>2008</v>
      </c>
      <c r="C518" s="63">
        <v>1757422493553</v>
      </c>
      <c r="D518" s="63" t="s">
        <v>2016</v>
      </c>
      <c r="E518" s="63" t="s">
        <v>389</v>
      </c>
      <c r="F518" s="63" t="s">
        <v>2017</v>
      </c>
      <c r="G518" s="63"/>
    </row>
    <row r="519" spans="2:7" x14ac:dyDescent="0.3">
      <c r="B519" s="63" t="s">
        <v>2008</v>
      </c>
      <c r="C519" s="63">
        <v>1757422502334</v>
      </c>
      <c r="D519" s="63" t="s">
        <v>2018</v>
      </c>
      <c r="E519" s="63" t="s">
        <v>389</v>
      </c>
      <c r="F519" s="63" t="s">
        <v>1601</v>
      </c>
      <c r="G519" s="63"/>
    </row>
    <row r="520" spans="2:7" x14ac:dyDescent="0.3">
      <c r="B520" s="63" t="s">
        <v>2008</v>
      </c>
      <c r="C520" s="63">
        <v>1757422506834</v>
      </c>
      <c r="D520" s="63" t="s">
        <v>2019</v>
      </c>
      <c r="E520" s="63" t="s">
        <v>389</v>
      </c>
      <c r="F520" s="63" t="s">
        <v>2020</v>
      </c>
      <c r="G520" s="63"/>
    </row>
    <row r="521" spans="2:7" x14ac:dyDescent="0.3">
      <c r="B521" s="63" t="s">
        <v>2008</v>
      </c>
      <c r="C521" s="63">
        <v>1757422507298</v>
      </c>
      <c r="D521" s="63" t="s">
        <v>2021</v>
      </c>
      <c r="E521" s="63" t="s">
        <v>389</v>
      </c>
      <c r="F521" s="63" t="s">
        <v>1597</v>
      </c>
      <c r="G521" s="63"/>
    </row>
    <row r="522" spans="2:7" x14ac:dyDescent="0.3">
      <c r="B522" s="63" t="s">
        <v>2008</v>
      </c>
      <c r="C522" s="63">
        <v>1757422508111</v>
      </c>
      <c r="D522" s="63" t="s">
        <v>2022</v>
      </c>
      <c r="E522" s="63" t="s">
        <v>389</v>
      </c>
      <c r="F522" s="63" t="s">
        <v>1728</v>
      </c>
      <c r="G522" s="63"/>
    </row>
    <row r="523" spans="2:7" x14ac:dyDescent="0.3">
      <c r="B523" s="63" t="s">
        <v>2008</v>
      </c>
      <c r="C523" s="63">
        <v>1757422522077</v>
      </c>
      <c r="D523" s="63" t="s">
        <v>2023</v>
      </c>
      <c r="E523" s="63" t="s">
        <v>389</v>
      </c>
      <c r="F523" s="63" t="s">
        <v>1576</v>
      </c>
      <c r="G523" s="63"/>
    </row>
    <row r="524" spans="2:7" x14ac:dyDescent="0.3">
      <c r="B524" s="63" t="s">
        <v>2008</v>
      </c>
      <c r="C524" s="63">
        <v>1757422522876</v>
      </c>
      <c r="D524" s="63" t="s">
        <v>2024</v>
      </c>
      <c r="E524" s="63" t="s">
        <v>389</v>
      </c>
      <c r="F524" s="63" t="s">
        <v>1581</v>
      </c>
      <c r="G524" s="63"/>
    </row>
    <row r="525" spans="2:7" x14ac:dyDescent="0.3">
      <c r="B525" s="63" t="s">
        <v>2008</v>
      </c>
      <c r="C525" s="63">
        <v>1757422551220</v>
      </c>
      <c r="D525" s="63" t="s">
        <v>2025</v>
      </c>
      <c r="E525" s="63" t="s">
        <v>389</v>
      </c>
      <c r="F525" s="63" t="s">
        <v>1765</v>
      </c>
      <c r="G525" s="63"/>
    </row>
    <row r="526" spans="2:7" x14ac:dyDescent="0.3">
      <c r="B526" s="63" t="s">
        <v>2008</v>
      </c>
      <c r="C526" s="63">
        <v>1757422553590</v>
      </c>
      <c r="D526" s="63" t="s">
        <v>2026</v>
      </c>
      <c r="E526" s="63" t="s">
        <v>422</v>
      </c>
      <c r="F526" s="63" t="s">
        <v>420</v>
      </c>
      <c r="G526" s="63"/>
    </row>
    <row r="527" spans="2:7" x14ac:dyDescent="0.3">
      <c r="B527" s="63" t="s">
        <v>426</v>
      </c>
      <c r="C527" s="63">
        <v>1757422569009</v>
      </c>
      <c r="D527" s="63" t="s">
        <v>2027</v>
      </c>
      <c r="E527" s="63" t="s">
        <v>428</v>
      </c>
      <c r="F527" s="63" t="s">
        <v>435</v>
      </c>
      <c r="G527" s="63"/>
    </row>
    <row r="528" spans="2:7" x14ac:dyDescent="0.3">
      <c r="B528" s="63" t="s">
        <v>426</v>
      </c>
      <c r="C528" s="63">
        <v>1757422583664</v>
      </c>
      <c r="D528" s="63" t="s">
        <v>2028</v>
      </c>
      <c r="E528" s="63" t="s">
        <v>428</v>
      </c>
      <c r="F528" s="63" t="s">
        <v>437</v>
      </c>
      <c r="G528" s="63"/>
    </row>
    <row r="529" spans="2:7" x14ac:dyDescent="0.3">
      <c r="B529" s="63" t="s">
        <v>426</v>
      </c>
      <c r="C529" s="63">
        <v>1757422599832</v>
      </c>
      <c r="D529" s="63" t="s">
        <v>2029</v>
      </c>
      <c r="E529" s="63" t="s">
        <v>428</v>
      </c>
      <c r="F529" s="63" t="s">
        <v>439</v>
      </c>
      <c r="G529" s="63"/>
    </row>
    <row r="530" spans="2:7" x14ac:dyDescent="0.3">
      <c r="B530" s="63" t="s">
        <v>2008</v>
      </c>
      <c r="C530" s="63">
        <v>1757422604126</v>
      </c>
      <c r="D530" s="63" t="s">
        <v>2030</v>
      </c>
      <c r="E530" s="63" t="s">
        <v>424</v>
      </c>
      <c r="F530" s="63" t="s">
        <v>441</v>
      </c>
      <c r="G530" s="63"/>
    </row>
    <row r="531" spans="2:7" x14ac:dyDescent="0.3">
      <c r="B531" s="63" t="s">
        <v>426</v>
      </c>
      <c r="C531" s="63">
        <v>1757422617465</v>
      </c>
      <c r="D531" s="63" t="s">
        <v>2031</v>
      </c>
      <c r="E531" s="63" t="s">
        <v>428</v>
      </c>
      <c r="F531" s="63" t="s">
        <v>453</v>
      </c>
      <c r="G531" s="63"/>
    </row>
    <row r="532" spans="2:7" x14ac:dyDescent="0.3">
      <c r="B532" s="63" t="s">
        <v>426</v>
      </c>
      <c r="C532" s="63">
        <v>1757422632959</v>
      </c>
      <c r="D532" s="63" t="s">
        <v>2032</v>
      </c>
      <c r="E532" s="63" t="s">
        <v>428</v>
      </c>
      <c r="F532" s="63" t="s">
        <v>538</v>
      </c>
      <c r="G532" s="63"/>
    </row>
    <row r="533" spans="2:7" x14ac:dyDescent="0.3">
      <c r="B533" s="63" t="s">
        <v>426</v>
      </c>
      <c r="C533" s="63">
        <v>1757422649877</v>
      </c>
      <c r="D533" s="63" t="s">
        <v>2033</v>
      </c>
      <c r="E533" s="63" t="s">
        <v>428</v>
      </c>
      <c r="F533" s="63" t="s">
        <v>672</v>
      </c>
      <c r="G533" s="63"/>
    </row>
    <row r="534" spans="2:7" x14ac:dyDescent="0.3">
      <c r="B534" s="63" t="s">
        <v>2008</v>
      </c>
      <c r="C534" s="63">
        <v>1757422653028</v>
      </c>
      <c r="D534" s="63" t="s">
        <v>2034</v>
      </c>
      <c r="E534" s="63" t="s">
        <v>424</v>
      </c>
      <c r="F534" s="63" t="s">
        <v>457</v>
      </c>
      <c r="G534" s="63"/>
    </row>
    <row r="535" spans="2:7" x14ac:dyDescent="0.3">
      <c r="B535" s="63" t="s">
        <v>2008</v>
      </c>
      <c r="C535" s="63">
        <v>1757422653904</v>
      </c>
      <c r="D535" s="63" t="s">
        <v>2035</v>
      </c>
      <c r="E535" s="63" t="s">
        <v>424</v>
      </c>
      <c r="F535" s="63" t="s">
        <v>459</v>
      </c>
      <c r="G535" s="63"/>
    </row>
    <row r="536" spans="2:7" x14ac:dyDescent="0.3">
      <c r="B536" s="63" t="s">
        <v>2008</v>
      </c>
      <c r="C536" s="63">
        <v>1757422654556</v>
      </c>
      <c r="D536" s="63" t="s">
        <v>2036</v>
      </c>
      <c r="E536" s="63" t="s">
        <v>424</v>
      </c>
      <c r="F536" s="63" t="s">
        <v>461</v>
      </c>
      <c r="G536" s="63"/>
    </row>
    <row r="537" spans="2:7" x14ac:dyDescent="0.3">
      <c r="B537" s="63" t="s">
        <v>426</v>
      </c>
      <c r="C537" s="63">
        <v>1757422666731</v>
      </c>
      <c r="D537" s="63" t="s">
        <v>2037</v>
      </c>
      <c r="E537" s="63" t="s">
        <v>428</v>
      </c>
      <c r="F537" s="63" t="s">
        <v>523</v>
      </c>
      <c r="G537" s="63"/>
    </row>
    <row r="538" spans="2:7" x14ac:dyDescent="0.3">
      <c r="B538" s="63" t="s">
        <v>426</v>
      </c>
      <c r="C538" s="63">
        <v>1757422682152</v>
      </c>
      <c r="D538" s="63" t="s">
        <v>2038</v>
      </c>
      <c r="E538" s="63" t="s">
        <v>428</v>
      </c>
      <c r="F538" s="63" t="s">
        <v>447</v>
      </c>
      <c r="G538" s="63"/>
    </row>
    <row r="539" spans="2:7" x14ac:dyDescent="0.3">
      <c r="B539" s="63" t="s">
        <v>426</v>
      </c>
      <c r="C539" s="63">
        <v>1757422699883</v>
      </c>
      <c r="D539" s="63" t="s">
        <v>2039</v>
      </c>
      <c r="E539" s="63" t="s">
        <v>428</v>
      </c>
      <c r="F539" s="63" t="s">
        <v>429</v>
      </c>
      <c r="G539" s="63"/>
    </row>
    <row r="540" spans="2:7" x14ac:dyDescent="0.3">
      <c r="B540" s="63" t="s">
        <v>426</v>
      </c>
      <c r="C540" s="63">
        <v>1757422716788</v>
      </c>
      <c r="D540" s="63" t="s">
        <v>2040</v>
      </c>
      <c r="E540" s="63" t="s">
        <v>428</v>
      </c>
      <c r="F540" s="63" t="s">
        <v>431</v>
      </c>
      <c r="G540" s="63"/>
    </row>
    <row r="541" spans="2:7" x14ac:dyDescent="0.3">
      <c r="B541" s="63" t="s">
        <v>2008</v>
      </c>
      <c r="C541" s="63">
        <v>1757422732781</v>
      </c>
      <c r="D541" s="63" t="s">
        <v>2041</v>
      </c>
      <c r="E541" s="63" t="s">
        <v>424</v>
      </c>
      <c r="F541" s="63" t="s">
        <v>449</v>
      </c>
      <c r="G541" s="63"/>
    </row>
    <row r="542" spans="2:7" x14ac:dyDescent="0.3">
      <c r="B542" s="63" t="s">
        <v>2008</v>
      </c>
      <c r="C542" s="63">
        <v>1757422734444</v>
      </c>
      <c r="D542" s="63" t="s">
        <v>2042</v>
      </c>
      <c r="E542" s="63" t="s">
        <v>424</v>
      </c>
      <c r="F542" s="63" t="s">
        <v>451</v>
      </c>
      <c r="G542" s="63"/>
    </row>
    <row r="543" spans="2:7" x14ac:dyDescent="0.3">
      <c r="B543" s="63" t="s">
        <v>2008</v>
      </c>
      <c r="C543" s="63">
        <v>1757422735652</v>
      </c>
      <c r="D543" s="63" t="s">
        <v>2043</v>
      </c>
      <c r="E543" s="63" t="s">
        <v>424</v>
      </c>
      <c r="F543" s="63" t="s">
        <v>433</v>
      </c>
      <c r="G543" s="63"/>
    </row>
    <row r="544" spans="2:7" x14ac:dyDescent="0.3">
      <c r="B544" s="63" t="s">
        <v>2008</v>
      </c>
      <c r="C544" s="63">
        <v>1757422736297</v>
      </c>
      <c r="D544" s="63" t="s">
        <v>2044</v>
      </c>
      <c r="E544" s="63" t="s">
        <v>463</v>
      </c>
      <c r="F544" s="63" t="s">
        <v>464</v>
      </c>
      <c r="G544" s="63"/>
    </row>
    <row r="545" spans="2:7" x14ac:dyDescent="0.3">
      <c r="B545" s="63" t="s">
        <v>426</v>
      </c>
      <c r="C545" s="63">
        <v>1757422738084</v>
      </c>
      <c r="D545" s="63" t="s">
        <v>2045</v>
      </c>
      <c r="E545" s="63" t="s">
        <v>428</v>
      </c>
      <c r="F545" s="63" t="s">
        <v>455</v>
      </c>
      <c r="G545" s="63"/>
    </row>
    <row r="546" spans="2:7" x14ac:dyDescent="0.3">
      <c r="B546" s="58" t="s">
        <v>2046</v>
      </c>
      <c r="C546" s="58">
        <v>1757422751196</v>
      </c>
      <c r="D546" s="58" t="s">
        <v>2047</v>
      </c>
      <c r="E546" s="58" t="s">
        <v>416</v>
      </c>
      <c r="F546" s="58" t="s">
        <v>466</v>
      </c>
      <c r="G546" s="58"/>
    </row>
    <row r="547" spans="2:7" x14ac:dyDescent="0.3">
      <c r="B547" s="58" t="s">
        <v>2046</v>
      </c>
      <c r="C547" s="58">
        <v>1757422751301</v>
      </c>
      <c r="D547" s="58" t="s">
        <v>2048</v>
      </c>
      <c r="E547" s="58" t="s">
        <v>468</v>
      </c>
      <c r="F547" s="58" t="s">
        <v>2049</v>
      </c>
      <c r="G547" s="58"/>
    </row>
    <row r="548" spans="2:7" x14ac:dyDescent="0.3">
      <c r="B548" s="58" t="s">
        <v>2046</v>
      </c>
      <c r="C548" s="58">
        <v>1757422751817</v>
      </c>
      <c r="D548" s="58" t="s">
        <v>2050</v>
      </c>
      <c r="E548" s="58" t="s">
        <v>419</v>
      </c>
      <c r="F548" s="58" t="s">
        <v>420</v>
      </c>
      <c r="G548" s="58"/>
    </row>
    <row r="549" spans="2:7" x14ac:dyDescent="0.3">
      <c r="B549" s="58" t="s">
        <v>2046</v>
      </c>
      <c r="C549" s="58">
        <v>1757422768267</v>
      </c>
      <c r="D549" s="58" t="s">
        <v>2051</v>
      </c>
      <c r="E549" s="58" t="s">
        <v>389</v>
      </c>
      <c r="F549" s="58" t="s">
        <v>1470</v>
      </c>
      <c r="G549" s="58"/>
    </row>
    <row r="550" spans="2:7" x14ac:dyDescent="0.3">
      <c r="B550" s="58" t="s">
        <v>2046</v>
      </c>
      <c r="C550" s="58">
        <v>1757422769479</v>
      </c>
      <c r="D550" s="58" t="s">
        <v>2052</v>
      </c>
      <c r="E550" s="58" t="s">
        <v>389</v>
      </c>
      <c r="F550" s="58" t="s">
        <v>506</v>
      </c>
      <c r="G550" s="58"/>
    </row>
    <row r="551" spans="2:7" x14ac:dyDescent="0.3">
      <c r="B551" s="58" t="s">
        <v>2046</v>
      </c>
      <c r="C551" s="58">
        <v>1757422779900</v>
      </c>
      <c r="D551" s="58" t="s">
        <v>2053</v>
      </c>
      <c r="E551" s="58" t="s">
        <v>389</v>
      </c>
      <c r="F551" s="58" t="s">
        <v>394</v>
      </c>
      <c r="G551" s="58"/>
    </row>
    <row r="552" spans="2:7" x14ac:dyDescent="0.3">
      <c r="B552" s="58" t="s">
        <v>2046</v>
      </c>
      <c r="C552" s="58">
        <v>1757422789356</v>
      </c>
      <c r="D552" s="58" t="s">
        <v>2054</v>
      </c>
      <c r="E552" s="58" t="s">
        <v>422</v>
      </c>
      <c r="F552" s="58" t="s">
        <v>420</v>
      </c>
      <c r="G552" s="58"/>
    </row>
    <row r="553" spans="2:7" x14ac:dyDescent="0.3">
      <c r="B553" s="58" t="s">
        <v>426</v>
      </c>
      <c r="C553" s="58">
        <v>1757422803904</v>
      </c>
      <c r="D553" s="58" t="s">
        <v>2055</v>
      </c>
      <c r="E553" s="58" t="s">
        <v>428</v>
      </c>
      <c r="F553" s="58" t="s">
        <v>453</v>
      </c>
      <c r="G553" s="58"/>
    </row>
    <row r="554" spans="2:7" x14ac:dyDescent="0.3">
      <c r="B554" s="58" t="s">
        <v>426</v>
      </c>
      <c r="C554" s="58">
        <v>1757422822979</v>
      </c>
      <c r="D554" s="58" t="s">
        <v>2056</v>
      </c>
      <c r="E554" s="58" t="s">
        <v>428</v>
      </c>
      <c r="F554" s="58" t="s">
        <v>435</v>
      </c>
      <c r="G554" s="58"/>
    </row>
    <row r="555" spans="2:7" x14ac:dyDescent="0.3">
      <c r="B555" s="58" t="s">
        <v>426</v>
      </c>
      <c r="C555" s="58">
        <v>1757422838391</v>
      </c>
      <c r="D555" s="58" t="s">
        <v>2057</v>
      </c>
      <c r="E555" s="58" t="s">
        <v>428</v>
      </c>
      <c r="F555" s="58" t="s">
        <v>429</v>
      </c>
      <c r="G555" s="58"/>
    </row>
    <row r="556" spans="2:7" x14ac:dyDescent="0.3">
      <c r="B556" s="58" t="s">
        <v>2046</v>
      </c>
      <c r="C556" s="58">
        <v>1757422849033</v>
      </c>
      <c r="D556" s="58" t="s">
        <v>2058</v>
      </c>
      <c r="E556" s="58" t="s">
        <v>424</v>
      </c>
      <c r="F556" s="58" t="s">
        <v>457</v>
      </c>
      <c r="G556" s="58"/>
    </row>
    <row r="557" spans="2:7" x14ac:dyDescent="0.3">
      <c r="B557" s="58" t="s">
        <v>2046</v>
      </c>
      <c r="C557" s="58">
        <v>1757422849600</v>
      </c>
      <c r="D557" s="58" t="s">
        <v>2059</v>
      </c>
      <c r="E557" s="58" t="s">
        <v>424</v>
      </c>
      <c r="F557" s="58" t="s">
        <v>459</v>
      </c>
      <c r="G557" s="58"/>
    </row>
    <row r="558" spans="2:7" x14ac:dyDescent="0.3">
      <c r="B558" s="58" t="s">
        <v>2046</v>
      </c>
      <c r="C558" s="58">
        <v>1757422850268</v>
      </c>
      <c r="D558" s="58" t="s">
        <v>2060</v>
      </c>
      <c r="E558" s="58" t="s">
        <v>424</v>
      </c>
      <c r="F558" s="58" t="s">
        <v>461</v>
      </c>
      <c r="G558" s="58"/>
    </row>
    <row r="559" spans="2:7" x14ac:dyDescent="0.3">
      <c r="B559" s="58" t="s">
        <v>2046</v>
      </c>
      <c r="C559" s="58">
        <v>1757422850717</v>
      </c>
      <c r="D559" s="58" t="s">
        <v>2061</v>
      </c>
      <c r="E559" s="58" t="s">
        <v>424</v>
      </c>
      <c r="F559" s="58" t="s">
        <v>551</v>
      </c>
      <c r="G559" s="58"/>
    </row>
    <row r="560" spans="2:7" x14ac:dyDescent="0.3">
      <c r="B560" s="58" t="s">
        <v>2046</v>
      </c>
      <c r="C560" s="58">
        <v>1757422851144</v>
      </c>
      <c r="D560" s="58" t="s">
        <v>2062</v>
      </c>
      <c r="E560" s="58" t="s">
        <v>424</v>
      </c>
      <c r="F560" s="58" t="s">
        <v>553</v>
      </c>
      <c r="G560" s="58"/>
    </row>
    <row r="561" spans="1:7" x14ac:dyDescent="0.3">
      <c r="B561" s="58" t="s">
        <v>2046</v>
      </c>
      <c r="C561" s="58">
        <v>1757422851880</v>
      </c>
      <c r="D561" s="58" t="s">
        <v>2063</v>
      </c>
      <c r="E561" s="58" t="s">
        <v>424</v>
      </c>
      <c r="F561" s="58" t="s">
        <v>441</v>
      </c>
      <c r="G561" s="58"/>
    </row>
    <row r="562" spans="1:7" x14ac:dyDescent="0.3">
      <c r="B562" s="58" t="s">
        <v>426</v>
      </c>
      <c r="C562" s="58">
        <v>1757422853064</v>
      </c>
      <c r="D562" s="58" t="s">
        <v>2064</v>
      </c>
      <c r="E562" s="58" t="s">
        <v>428</v>
      </c>
      <c r="F562" s="58" t="s">
        <v>431</v>
      </c>
      <c r="G562" s="58"/>
    </row>
    <row r="563" spans="1:7" x14ac:dyDescent="0.3">
      <c r="B563" s="58" t="s">
        <v>2046</v>
      </c>
      <c r="C563" s="58">
        <v>1757422858113</v>
      </c>
      <c r="D563" s="58" t="s">
        <v>2065</v>
      </c>
      <c r="E563" s="58" t="s">
        <v>424</v>
      </c>
      <c r="F563" s="58" t="s">
        <v>433</v>
      </c>
      <c r="G563" s="58"/>
    </row>
    <row r="564" spans="1:7" x14ac:dyDescent="0.3">
      <c r="B564" s="58" t="s">
        <v>2046</v>
      </c>
      <c r="C564" s="58">
        <v>1757422865514</v>
      </c>
      <c r="D564" s="58" t="s">
        <v>2066</v>
      </c>
      <c r="E564" s="58" t="s">
        <v>424</v>
      </c>
      <c r="F564" s="58" t="s">
        <v>425</v>
      </c>
      <c r="G564" s="58"/>
    </row>
    <row r="565" spans="1:7" x14ac:dyDescent="0.3">
      <c r="B565" s="58" t="s">
        <v>426</v>
      </c>
      <c r="C565" s="58">
        <v>1757422869190</v>
      </c>
      <c r="D565" s="58" t="s">
        <v>2067</v>
      </c>
      <c r="E565" s="58" t="s">
        <v>428</v>
      </c>
      <c r="F565" s="58" t="s">
        <v>538</v>
      </c>
      <c r="G565" s="58"/>
    </row>
    <row r="566" spans="1:7" x14ac:dyDescent="0.3">
      <c r="B566" s="58" t="s">
        <v>426</v>
      </c>
      <c r="C566" s="58">
        <v>1757422886837</v>
      </c>
      <c r="D566" s="58" t="s">
        <v>2068</v>
      </c>
      <c r="E566" s="58" t="s">
        <v>428</v>
      </c>
      <c r="F566" s="58" t="s">
        <v>672</v>
      </c>
      <c r="G566" s="58"/>
    </row>
    <row r="567" spans="1:7" x14ac:dyDescent="0.3">
      <c r="B567" s="58" t="s">
        <v>426</v>
      </c>
      <c r="C567" s="58">
        <v>1757422901546</v>
      </c>
      <c r="D567" s="58" t="s">
        <v>2069</v>
      </c>
      <c r="E567" s="58" t="s">
        <v>428</v>
      </c>
      <c r="F567" s="58" t="s">
        <v>447</v>
      </c>
      <c r="G567" s="58"/>
    </row>
    <row r="568" spans="1:7" x14ac:dyDescent="0.3">
      <c r="B568" s="58" t="s">
        <v>2046</v>
      </c>
      <c r="C568" s="58">
        <v>1757422908944</v>
      </c>
      <c r="D568" s="58" t="s">
        <v>2070</v>
      </c>
      <c r="E568" s="58" t="s">
        <v>424</v>
      </c>
      <c r="F568" s="58" t="s">
        <v>449</v>
      </c>
      <c r="G568" s="58"/>
    </row>
    <row r="569" spans="1:7" x14ac:dyDescent="0.3">
      <c r="B569" s="58" t="s">
        <v>2046</v>
      </c>
      <c r="C569" s="58">
        <v>1757422909575</v>
      </c>
      <c r="D569" s="58" t="s">
        <v>2071</v>
      </c>
      <c r="E569" s="58" t="s">
        <v>424</v>
      </c>
      <c r="F569" s="58" t="s">
        <v>451</v>
      </c>
      <c r="G569" s="58"/>
    </row>
    <row r="570" spans="1:7" x14ac:dyDescent="0.3">
      <c r="B570" s="58" t="s">
        <v>2046</v>
      </c>
      <c r="C570" s="58">
        <v>1757422917355</v>
      </c>
      <c r="D570" s="58" t="s">
        <v>2072</v>
      </c>
      <c r="E570" s="58" t="s">
        <v>463</v>
      </c>
      <c r="F570" s="58" t="s">
        <v>464</v>
      </c>
      <c r="G570" s="58"/>
    </row>
    <row r="571" spans="1:7" x14ac:dyDescent="0.3">
      <c r="B571" s="58" t="s">
        <v>426</v>
      </c>
      <c r="C571" s="58">
        <v>1757422922845</v>
      </c>
      <c r="D571" s="58" t="s">
        <v>2073</v>
      </c>
      <c r="E571" s="58" t="s">
        <v>428</v>
      </c>
      <c r="F571" s="58" t="s">
        <v>455</v>
      </c>
      <c r="G571" s="58"/>
    </row>
    <row r="572" spans="1:7" ht="21" x14ac:dyDescent="0.4">
      <c r="A572" s="69" t="s">
        <v>44</v>
      </c>
      <c r="B572" s="63" t="s">
        <v>2157</v>
      </c>
      <c r="C572" s="63">
        <v>1757426070357</v>
      </c>
      <c r="D572" s="63" t="s">
        <v>2158</v>
      </c>
      <c r="E572" s="63" t="s">
        <v>416</v>
      </c>
      <c r="F572" t="s">
        <v>417</v>
      </c>
    </row>
    <row r="573" spans="1:7" x14ac:dyDescent="0.3">
      <c r="B573" s="63" t="s">
        <v>2157</v>
      </c>
      <c r="C573" s="63">
        <v>1757426076214</v>
      </c>
      <c r="D573" s="63" t="s">
        <v>2159</v>
      </c>
      <c r="E573" s="63" t="s">
        <v>419</v>
      </c>
      <c r="F573" t="s">
        <v>420</v>
      </c>
    </row>
    <row r="574" spans="1:7" x14ac:dyDescent="0.3">
      <c r="B574" s="63" t="s">
        <v>2157</v>
      </c>
      <c r="C574" s="63">
        <v>1757426093595</v>
      </c>
      <c r="D574" s="63" t="s">
        <v>2160</v>
      </c>
      <c r="E574" s="63" t="s">
        <v>389</v>
      </c>
      <c r="F574" t="s">
        <v>402</v>
      </c>
    </row>
    <row r="575" spans="1:7" x14ac:dyDescent="0.3">
      <c r="B575" s="63" t="s">
        <v>2157</v>
      </c>
      <c r="C575" s="63">
        <v>1757426094466</v>
      </c>
      <c r="D575" s="63" t="s">
        <v>2161</v>
      </c>
      <c r="E575" s="63" t="s">
        <v>389</v>
      </c>
      <c r="F575" t="s">
        <v>404</v>
      </c>
    </row>
    <row r="576" spans="1:7" x14ac:dyDescent="0.3">
      <c r="B576" s="63" t="s">
        <v>2157</v>
      </c>
      <c r="C576" s="63">
        <v>1757426097647</v>
      </c>
      <c r="D576" s="63" t="s">
        <v>2162</v>
      </c>
      <c r="E576" s="63" t="s">
        <v>389</v>
      </c>
      <c r="F576" t="s">
        <v>511</v>
      </c>
    </row>
    <row r="577" spans="2:6" x14ac:dyDescent="0.3">
      <c r="B577" s="63" t="s">
        <v>2157</v>
      </c>
      <c r="C577" s="63">
        <v>1757426100991</v>
      </c>
      <c r="D577" s="63" t="s">
        <v>2163</v>
      </c>
      <c r="E577" s="63" t="s">
        <v>389</v>
      </c>
      <c r="F577" t="s">
        <v>495</v>
      </c>
    </row>
    <row r="578" spans="2:6" x14ac:dyDescent="0.3">
      <c r="B578" s="63" t="s">
        <v>2157</v>
      </c>
      <c r="C578" s="63">
        <v>1757426104635</v>
      </c>
      <c r="D578" s="63" t="s">
        <v>2164</v>
      </c>
      <c r="E578" s="63" t="s">
        <v>389</v>
      </c>
      <c r="F578" t="s">
        <v>811</v>
      </c>
    </row>
    <row r="579" spans="2:6" x14ac:dyDescent="0.3">
      <c r="B579" s="63" t="s">
        <v>2157</v>
      </c>
      <c r="C579" s="63">
        <v>1757426107001</v>
      </c>
      <c r="D579" s="63" t="s">
        <v>2165</v>
      </c>
      <c r="E579" s="63" t="s">
        <v>389</v>
      </c>
      <c r="F579" t="s">
        <v>414</v>
      </c>
    </row>
    <row r="580" spans="2:6" x14ac:dyDescent="0.3">
      <c r="B580" s="63" t="s">
        <v>2157</v>
      </c>
      <c r="C580" s="63">
        <v>1757426116884</v>
      </c>
      <c r="D580" s="63" t="s">
        <v>2166</v>
      </c>
      <c r="E580" s="63" t="s">
        <v>389</v>
      </c>
      <c r="F580" t="s">
        <v>390</v>
      </c>
    </row>
    <row r="581" spans="2:6" x14ac:dyDescent="0.3">
      <c r="B581" s="63" t="s">
        <v>2157</v>
      </c>
      <c r="C581" s="63">
        <v>1757426117505</v>
      </c>
      <c r="D581" s="63" t="s">
        <v>2167</v>
      </c>
      <c r="E581" s="63" t="s">
        <v>389</v>
      </c>
      <c r="F581" t="s">
        <v>392</v>
      </c>
    </row>
    <row r="582" spans="2:6" x14ac:dyDescent="0.3">
      <c r="B582" s="63" t="s">
        <v>2157</v>
      </c>
      <c r="C582" s="63">
        <v>1757426130232</v>
      </c>
      <c r="D582" s="63" t="s">
        <v>2168</v>
      </c>
      <c r="E582" s="63" t="s">
        <v>389</v>
      </c>
      <c r="F582" t="s">
        <v>502</v>
      </c>
    </row>
    <row r="583" spans="2:6" x14ac:dyDescent="0.3">
      <c r="B583" s="63" t="s">
        <v>2157</v>
      </c>
      <c r="C583" s="63">
        <v>1757426131245</v>
      </c>
      <c r="D583" s="63" t="s">
        <v>2169</v>
      </c>
      <c r="E583" s="63" t="s">
        <v>389</v>
      </c>
      <c r="F583" t="s">
        <v>504</v>
      </c>
    </row>
    <row r="584" spans="2:6" x14ac:dyDescent="0.3">
      <c r="B584" s="63" t="s">
        <v>2157</v>
      </c>
      <c r="C584" s="63">
        <v>1757426131680</v>
      </c>
      <c r="D584" s="63" t="s">
        <v>2170</v>
      </c>
      <c r="E584" s="63" t="s">
        <v>389</v>
      </c>
      <c r="F584" t="s">
        <v>506</v>
      </c>
    </row>
    <row r="585" spans="2:6" x14ac:dyDescent="0.3">
      <c r="B585" s="63" t="s">
        <v>2157</v>
      </c>
      <c r="C585" s="63">
        <v>1757426138764</v>
      </c>
      <c r="D585" s="63" t="s">
        <v>2171</v>
      </c>
      <c r="E585" s="63" t="s">
        <v>422</v>
      </c>
      <c r="F585" t="s">
        <v>420</v>
      </c>
    </row>
    <row r="586" spans="2:6" x14ac:dyDescent="0.3">
      <c r="B586" s="63" t="s">
        <v>426</v>
      </c>
      <c r="C586" s="63">
        <v>1757426156433</v>
      </c>
      <c r="D586" s="63" t="s">
        <v>2172</v>
      </c>
      <c r="E586" s="63" t="s">
        <v>428</v>
      </c>
      <c r="F586" t="s">
        <v>429</v>
      </c>
    </row>
    <row r="587" spans="2:6" x14ac:dyDescent="0.3">
      <c r="B587" s="63" t="s">
        <v>426</v>
      </c>
      <c r="C587" s="63">
        <v>1757426174103</v>
      </c>
      <c r="D587" s="63" t="s">
        <v>2173</v>
      </c>
      <c r="E587" s="63" t="s">
        <v>428</v>
      </c>
      <c r="F587" t="s">
        <v>431</v>
      </c>
    </row>
    <row r="588" spans="2:6" x14ac:dyDescent="0.3">
      <c r="B588" s="63" t="s">
        <v>2157</v>
      </c>
      <c r="C588" s="63">
        <v>1757426182931</v>
      </c>
      <c r="D588" s="63" t="s">
        <v>2174</v>
      </c>
      <c r="E588" s="63" t="s">
        <v>424</v>
      </c>
      <c r="F588" t="s">
        <v>549</v>
      </c>
    </row>
    <row r="589" spans="2:6" x14ac:dyDescent="0.3">
      <c r="B589" s="63" t="s">
        <v>2157</v>
      </c>
      <c r="C589" s="63">
        <v>1757426183416</v>
      </c>
      <c r="D589" s="63" t="s">
        <v>2175</v>
      </c>
      <c r="E589" s="63" t="s">
        <v>424</v>
      </c>
      <c r="F589" t="s">
        <v>551</v>
      </c>
    </row>
    <row r="590" spans="2:6" x14ac:dyDescent="0.3">
      <c r="B590" s="63" t="s">
        <v>2157</v>
      </c>
      <c r="C590" s="63">
        <v>1757426184473</v>
      </c>
      <c r="D590" s="63" t="s">
        <v>2176</v>
      </c>
      <c r="E590" s="63" t="s">
        <v>424</v>
      </c>
      <c r="F590" t="s">
        <v>553</v>
      </c>
    </row>
    <row r="591" spans="2:6" x14ac:dyDescent="0.3">
      <c r="B591" s="63" t="s">
        <v>2157</v>
      </c>
      <c r="C591" s="63">
        <v>1757426186161</v>
      </c>
      <c r="D591" s="63" t="s">
        <v>2177</v>
      </c>
      <c r="E591" s="63" t="s">
        <v>424</v>
      </c>
      <c r="F591" t="s">
        <v>441</v>
      </c>
    </row>
    <row r="592" spans="2:6" x14ac:dyDescent="0.3">
      <c r="B592" s="63" t="s">
        <v>2157</v>
      </c>
      <c r="C592" s="63">
        <v>1757426187092</v>
      </c>
      <c r="D592" s="63" t="s">
        <v>2178</v>
      </c>
      <c r="E592" s="63" t="s">
        <v>424</v>
      </c>
      <c r="F592" t="s">
        <v>433</v>
      </c>
    </row>
    <row r="593" spans="2:6" x14ac:dyDescent="0.3">
      <c r="B593" s="63" t="s">
        <v>426</v>
      </c>
      <c r="C593" s="63">
        <v>1757426191032</v>
      </c>
      <c r="D593" s="63" t="s">
        <v>2179</v>
      </c>
      <c r="E593" s="63" t="s">
        <v>428</v>
      </c>
      <c r="F593" t="s">
        <v>523</v>
      </c>
    </row>
    <row r="594" spans="2:6" x14ac:dyDescent="0.3">
      <c r="B594" s="63" t="s">
        <v>2157</v>
      </c>
      <c r="C594" s="63">
        <v>1757426206458</v>
      </c>
      <c r="D594" s="63" t="s">
        <v>2180</v>
      </c>
      <c r="E594" s="63" t="s">
        <v>424</v>
      </c>
      <c r="F594" t="s">
        <v>443</v>
      </c>
    </row>
    <row r="595" spans="2:6" x14ac:dyDescent="0.3">
      <c r="B595" s="63" t="s">
        <v>2157</v>
      </c>
      <c r="C595" s="63">
        <v>1757426207208</v>
      </c>
      <c r="D595" s="63" t="s">
        <v>2181</v>
      </c>
      <c r="E595" s="63" t="s">
        <v>424</v>
      </c>
      <c r="F595" t="s">
        <v>445</v>
      </c>
    </row>
    <row r="596" spans="2:6" x14ac:dyDescent="0.3">
      <c r="B596" s="63" t="s">
        <v>426</v>
      </c>
      <c r="C596" s="63">
        <v>1757426212374</v>
      </c>
      <c r="D596" s="63" t="s">
        <v>2182</v>
      </c>
      <c r="E596" s="63" t="s">
        <v>428</v>
      </c>
      <c r="F596" t="s">
        <v>455</v>
      </c>
    </row>
    <row r="597" spans="2:6" x14ac:dyDescent="0.3">
      <c r="B597" s="63" t="s">
        <v>2157</v>
      </c>
      <c r="C597" s="63">
        <v>1757426244820</v>
      </c>
      <c r="D597" s="63" t="s">
        <v>2183</v>
      </c>
      <c r="E597" s="63" t="s">
        <v>424</v>
      </c>
      <c r="F597" t="s">
        <v>518</v>
      </c>
    </row>
    <row r="598" spans="2:6" x14ac:dyDescent="0.3">
      <c r="B598" s="63" t="s">
        <v>2157</v>
      </c>
      <c r="C598" s="63">
        <v>1757426245428</v>
      </c>
      <c r="D598" s="63" t="s">
        <v>2184</v>
      </c>
      <c r="E598" s="63" t="s">
        <v>424</v>
      </c>
      <c r="F598" t="s">
        <v>457</v>
      </c>
    </row>
    <row r="599" spans="2:6" x14ac:dyDescent="0.3">
      <c r="B599" s="63" t="s">
        <v>2157</v>
      </c>
      <c r="C599" s="63">
        <v>1757426245983</v>
      </c>
      <c r="D599" s="63" t="s">
        <v>2185</v>
      </c>
      <c r="E599" s="63" t="s">
        <v>424</v>
      </c>
      <c r="F599" t="s">
        <v>459</v>
      </c>
    </row>
    <row r="600" spans="2:6" x14ac:dyDescent="0.3">
      <c r="B600" s="63" t="s">
        <v>2157</v>
      </c>
      <c r="C600" s="63">
        <v>1757426246500</v>
      </c>
      <c r="D600" s="63" t="s">
        <v>2186</v>
      </c>
      <c r="E600" s="63" t="s">
        <v>424</v>
      </c>
      <c r="F600" t="s">
        <v>461</v>
      </c>
    </row>
    <row r="601" spans="2:6" x14ac:dyDescent="0.3">
      <c r="B601" s="63" t="s">
        <v>2157</v>
      </c>
      <c r="C601" s="63">
        <v>1757426256986</v>
      </c>
      <c r="D601" s="63" t="s">
        <v>2187</v>
      </c>
      <c r="E601" s="63" t="s">
        <v>424</v>
      </c>
      <c r="F601" t="s">
        <v>841</v>
      </c>
    </row>
    <row r="602" spans="2:6" x14ac:dyDescent="0.3">
      <c r="B602" s="63" t="s">
        <v>2157</v>
      </c>
      <c r="C602" s="63">
        <v>1757426257578</v>
      </c>
      <c r="D602" s="63" t="s">
        <v>2188</v>
      </c>
      <c r="E602" s="63" t="s">
        <v>424</v>
      </c>
      <c r="F602" t="s">
        <v>449</v>
      </c>
    </row>
    <row r="603" spans="2:6" x14ac:dyDescent="0.3">
      <c r="B603" s="63" t="s">
        <v>2157</v>
      </c>
      <c r="C603" s="63">
        <v>1757426258615</v>
      </c>
      <c r="D603" s="63" t="s">
        <v>2189</v>
      </c>
      <c r="E603" s="63" t="s">
        <v>424</v>
      </c>
      <c r="F603" t="s">
        <v>451</v>
      </c>
    </row>
    <row r="604" spans="2:6" x14ac:dyDescent="0.3">
      <c r="B604" s="63" t="s">
        <v>2157</v>
      </c>
      <c r="C604" s="63">
        <v>1757426267038</v>
      </c>
      <c r="D604" s="63" t="s">
        <v>2190</v>
      </c>
      <c r="E604" s="63" t="s">
        <v>463</v>
      </c>
      <c r="F604" t="s">
        <v>464</v>
      </c>
    </row>
    <row r="605" spans="2:6" x14ac:dyDescent="0.3">
      <c r="B605" s="58" t="s">
        <v>2191</v>
      </c>
      <c r="C605" s="58">
        <v>1757426282478</v>
      </c>
      <c r="D605" s="58" t="s">
        <v>2192</v>
      </c>
      <c r="E605" s="58" t="s">
        <v>416</v>
      </c>
      <c r="F605" t="s">
        <v>466</v>
      </c>
    </row>
    <row r="606" spans="2:6" x14ac:dyDescent="0.3">
      <c r="B606" s="58" t="s">
        <v>2191</v>
      </c>
      <c r="C606" s="58">
        <v>1757426282674</v>
      </c>
      <c r="D606" s="58" t="s">
        <v>2193</v>
      </c>
      <c r="E606" s="58" t="s">
        <v>468</v>
      </c>
      <c r="F606" t="s">
        <v>2194</v>
      </c>
    </row>
    <row r="607" spans="2:6" x14ac:dyDescent="0.3">
      <c r="B607" s="58" t="s">
        <v>2191</v>
      </c>
      <c r="C607" s="58">
        <v>1757426297128</v>
      </c>
      <c r="D607" s="58" t="s">
        <v>2195</v>
      </c>
      <c r="E607" s="58" t="s">
        <v>419</v>
      </c>
      <c r="F607" t="s">
        <v>420</v>
      </c>
    </row>
    <row r="608" spans="2:6" x14ac:dyDescent="0.3">
      <c r="B608" s="58" t="s">
        <v>2191</v>
      </c>
      <c r="C608" s="58">
        <v>1757426297653</v>
      </c>
      <c r="D608" s="58" t="s">
        <v>2196</v>
      </c>
      <c r="E608" s="58" t="s">
        <v>389</v>
      </c>
      <c r="F608" t="s">
        <v>508</v>
      </c>
    </row>
    <row r="609" spans="2:6" x14ac:dyDescent="0.3">
      <c r="B609" s="58" t="s">
        <v>2191</v>
      </c>
      <c r="C609" s="58">
        <v>1757426298652</v>
      </c>
      <c r="D609" s="58" t="s">
        <v>2197</v>
      </c>
      <c r="E609" s="58" t="s">
        <v>389</v>
      </c>
      <c r="F609" t="s">
        <v>660</v>
      </c>
    </row>
    <row r="610" spans="2:6" x14ac:dyDescent="0.3">
      <c r="B610" s="58" t="s">
        <v>2191</v>
      </c>
      <c r="C610" s="58">
        <v>1757426328338</v>
      </c>
      <c r="D610" s="58" t="s">
        <v>2198</v>
      </c>
      <c r="E610" s="58" t="s">
        <v>422</v>
      </c>
      <c r="F610" t="s">
        <v>420</v>
      </c>
    </row>
    <row r="611" spans="2:6" x14ac:dyDescent="0.3">
      <c r="B611" s="58" t="s">
        <v>426</v>
      </c>
      <c r="C611" s="58">
        <v>1757426343764</v>
      </c>
      <c r="D611" s="58" t="s">
        <v>2199</v>
      </c>
      <c r="E611" s="58" t="s">
        <v>428</v>
      </c>
      <c r="F611" t="s">
        <v>429</v>
      </c>
    </row>
    <row r="612" spans="2:6" x14ac:dyDescent="0.3">
      <c r="B612" s="58" t="s">
        <v>426</v>
      </c>
      <c r="C612" s="58">
        <v>1757426358494</v>
      </c>
      <c r="D612" s="58" t="s">
        <v>2200</v>
      </c>
      <c r="E612" s="58" t="s">
        <v>428</v>
      </c>
      <c r="F612" t="s">
        <v>431</v>
      </c>
    </row>
    <row r="613" spans="2:6" x14ac:dyDescent="0.3">
      <c r="B613" s="58" t="s">
        <v>2191</v>
      </c>
      <c r="C613" s="58">
        <v>1757426373060</v>
      </c>
      <c r="D613" s="58" t="s">
        <v>2201</v>
      </c>
      <c r="E613" s="58" t="s">
        <v>424</v>
      </c>
      <c r="F613" t="s">
        <v>549</v>
      </c>
    </row>
    <row r="614" spans="2:6" x14ac:dyDescent="0.3">
      <c r="B614" s="58" t="s">
        <v>2191</v>
      </c>
      <c r="C614" s="58">
        <v>1757426373440</v>
      </c>
      <c r="D614" s="58" t="s">
        <v>2202</v>
      </c>
      <c r="E614" s="58" t="s">
        <v>424</v>
      </c>
      <c r="F614" t="s">
        <v>551</v>
      </c>
    </row>
    <row r="615" spans="2:6" x14ac:dyDescent="0.3">
      <c r="B615" s="58" t="s">
        <v>2191</v>
      </c>
      <c r="C615" s="58">
        <v>1757426374109</v>
      </c>
      <c r="D615" s="58" t="s">
        <v>2203</v>
      </c>
      <c r="E615" s="58" t="s">
        <v>424</v>
      </c>
      <c r="F615" t="s">
        <v>553</v>
      </c>
    </row>
    <row r="616" spans="2:6" x14ac:dyDescent="0.3">
      <c r="B616" s="58" t="s">
        <v>2191</v>
      </c>
      <c r="C616" s="58">
        <v>1757426374547</v>
      </c>
      <c r="D616" s="58" t="s">
        <v>2204</v>
      </c>
      <c r="E616" s="58" t="s">
        <v>424</v>
      </c>
      <c r="F616" t="s">
        <v>441</v>
      </c>
    </row>
    <row r="617" spans="2:6" x14ac:dyDescent="0.3">
      <c r="B617" s="58" t="s">
        <v>426</v>
      </c>
      <c r="C617" s="58">
        <v>1757426374704</v>
      </c>
      <c r="D617" s="58" t="s">
        <v>2205</v>
      </c>
      <c r="E617" s="58" t="s">
        <v>428</v>
      </c>
      <c r="F617" t="s">
        <v>538</v>
      </c>
    </row>
    <row r="618" spans="2:6" x14ac:dyDescent="0.3">
      <c r="B618" s="58" t="s">
        <v>2191</v>
      </c>
      <c r="C618" s="58">
        <v>1757426375301</v>
      </c>
      <c r="D618" s="58" t="s">
        <v>2206</v>
      </c>
      <c r="E618" s="58" t="s">
        <v>424</v>
      </c>
      <c r="F618" t="s">
        <v>433</v>
      </c>
    </row>
    <row r="619" spans="2:6" x14ac:dyDescent="0.3">
      <c r="B619" s="58" t="s">
        <v>426</v>
      </c>
      <c r="C619" s="58">
        <v>1757426392416</v>
      </c>
      <c r="D619" s="58" t="s">
        <v>2207</v>
      </c>
      <c r="E619" s="58" t="s">
        <v>428</v>
      </c>
      <c r="F619" t="s">
        <v>672</v>
      </c>
    </row>
    <row r="620" spans="2:6" x14ac:dyDescent="0.3">
      <c r="B620" s="58" t="s">
        <v>426</v>
      </c>
      <c r="C620" s="58">
        <v>1757426409367</v>
      </c>
      <c r="D620" s="58" t="s">
        <v>2208</v>
      </c>
      <c r="E620" s="58" t="s">
        <v>428</v>
      </c>
      <c r="F620" t="s">
        <v>523</v>
      </c>
    </row>
    <row r="621" spans="2:6" x14ac:dyDescent="0.3">
      <c r="B621" s="58" t="s">
        <v>426</v>
      </c>
      <c r="C621" s="58">
        <v>1757426430657</v>
      </c>
      <c r="D621" s="58" t="s">
        <v>2209</v>
      </c>
      <c r="E621" s="58" t="s">
        <v>428</v>
      </c>
      <c r="F621" t="s">
        <v>455</v>
      </c>
    </row>
    <row r="622" spans="2:6" x14ac:dyDescent="0.3">
      <c r="B622" s="58" t="s">
        <v>2191</v>
      </c>
      <c r="C622" s="58">
        <v>1757426435334</v>
      </c>
      <c r="D622" s="58" t="s">
        <v>2210</v>
      </c>
      <c r="E622" s="58" t="s">
        <v>424</v>
      </c>
      <c r="F622" t="s">
        <v>518</v>
      </c>
    </row>
    <row r="623" spans="2:6" x14ac:dyDescent="0.3">
      <c r="B623" s="58" t="s">
        <v>2191</v>
      </c>
      <c r="C623" s="58">
        <v>1757426435568</v>
      </c>
      <c r="D623" s="58" t="s">
        <v>2211</v>
      </c>
      <c r="E623" s="58" t="s">
        <v>424</v>
      </c>
      <c r="F623" t="s">
        <v>457</v>
      </c>
    </row>
    <row r="624" spans="2:6" x14ac:dyDescent="0.3">
      <c r="B624" s="58" t="s">
        <v>2191</v>
      </c>
      <c r="C624" s="58">
        <v>1757426435950</v>
      </c>
      <c r="D624" s="58" t="s">
        <v>2212</v>
      </c>
      <c r="E624" s="58" t="s">
        <v>424</v>
      </c>
      <c r="F624" t="s">
        <v>459</v>
      </c>
    </row>
    <row r="625" spans="1:7" x14ac:dyDescent="0.3">
      <c r="B625" s="58" t="s">
        <v>2191</v>
      </c>
      <c r="C625" s="58">
        <v>1757426436459</v>
      </c>
      <c r="D625" s="58" t="s">
        <v>2213</v>
      </c>
      <c r="E625" s="58" t="s">
        <v>424</v>
      </c>
      <c r="F625" t="s">
        <v>461</v>
      </c>
    </row>
    <row r="626" spans="1:7" x14ac:dyDescent="0.3">
      <c r="B626" s="58" t="s">
        <v>2191</v>
      </c>
      <c r="C626" s="58">
        <v>1757426436895</v>
      </c>
      <c r="D626" s="58" t="s">
        <v>2214</v>
      </c>
      <c r="E626" s="58" t="s">
        <v>424</v>
      </c>
      <c r="F626" t="s">
        <v>841</v>
      </c>
    </row>
    <row r="627" spans="1:7" x14ac:dyDescent="0.3">
      <c r="B627" s="58" t="s">
        <v>2191</v>
      </c>
      <c r="C627" s="58">
        <v>1757426437542</v>
      </c>
      <c r="D627" s="58" t="s">
        <v>2215</v>
      </c>
      <c r="E627" s="58" t="s">
        <v>424</v>
      </c>
      <c r="F627" t="s">
        <v>449</v>
      </c>
    </row>
    <row r="628" spans="1:7" x14ac:dyDescent="0.3">
      <c r="B628" s="58" t="s">
        <v>2191</v>
      </c>
      <c r="C628" s="58">
        <v>1757426438480</v>
      </c>
      <c r="D628" s="58" t="s">
        <v>2216</v>
      </c>
      <c r="E628" s="58" t="s">
        <v>424</v>
      </c>
      <c r="F628" t="s">
        <v>451</v>
      </c>
    </row>
    <row r="629" spans="1:7" x14ac:dyDescent="0.3">
      <c r="B629" s="58" t="s">
        <v>2191</v>
      </c>
      <c r="C629" s="58">
        <v>1757426443843</v>
      </c>
      <c r="D629" s="58" t="s">
        <v>2217</v>
      </c>
      <c r="E629" s="58" t="s">
        <v>463</v>
      </c>
      <c r="F629" t="s">
        <v>464</v>
      </c>
    </row>
    <row r="630" spans="1:7" ht="21" x14ac:dyDescent="0.4">
      <c r="A630" s="69" t="s">
        <v>45</v>
      </c>
      <c r="B630" s="63" t="s">
        <v>2451</v>
      </c>
      <c r="C630" s="63">
        <v>1757430767695</v>
      </c>
      <c r="D630" s="63" t="s">
        <v>2452</v>
      </c>
      <c r="E630" s="63" t="s">
        <v>416</v>
      </c>
      <c r="F630" s="63" t="s">
        <v>417</v>
      </c>
      <c r="G630" s="63"/>
    </row>
    <row r="631" spans="1:7" x14ac:dyDescent="0.3">
      <c r="B631" s="63" t="s">
        <v>2451</v>
      </c>
      <c r="C631" s="63">
        <v>1757430768197</v>
      </c>
      <c r="D631" s="63" t="s">
        <v>2453</v>
      </c>
      <c r="E631" s="63" t="s">
        <v>419</v>
      </c>
      <c r="F631" s="63" t="s">
        <v>420</v>
      </c>
      <c r="G631" s="63"/>
    </row>
    <row r="632" spans="1:7" x14ac:dyDescent="0.3">
      <c r="B632" s="63" t="s">
        <v>2451</v>
      </c>
      <c r="C632" s="63">
        <v>1757430789009</v>
      </c>
      <c r="D632" s="63" t="s">
        <v>2454</v>
      </c>
      <c r="E632" s="63" t="s">
        <v>389</v>
      </c>
      <c r="F632" s="63" t="s">
        <v>511</v>
      </c>
      <c r="G632" s="63"/>
    </row>
    <row r="633" spans="1:7" x14ac:dyDescent="0.3">
      <c r="B633" s="63" t="s">
        <v>2451</v>
      </c>
      <c r="C633" s="63">
        <v>1757430795669</v>
      </c>
      <c r="D633" s="63" t="s">
        <v>2455</v>
      </c>
      <c r="E633" s="63" t="s">
        <v>389</v>
      </c>
      <c r="F633" s="63" t="s">
        <v>396</v>
      </c>
      <c r="G633" s="63"/>
    </row>
    <row r="634" spans="1:7" x14ac:dyDescent="0.3">
      <c r="B634" s="63" t="s">
        <v>2451</v>
      </c>
      <c r="C634" s="63">
        <v>1757430796526</v>
      </c>
      <c r="D634" s="63" t="s">
        <v>2456</v>
      </c>
      <c r="E634" s="63" t="s">
        <v>389</v>
      </c>
      <c r="F634" s="63" t="s">
        <v>398</v>
      </c>
      <c r="G634" s="63"/>
    </row>
    <row r="635" spans="1:7" x14ac:dyDescent="0.3">
      <c r="B635" s="63" t="s">
        <v>2451</v>
      </c>
      <c r="C635" s="63">
        <v>1757430797484</v>
      </c>
      <c r="D635" s="63" t="s">
        <v>2457</v>
      </c>
      <c r="E635" s="63" t="s">
        <v>389</v>
      </c>
      <c r="F635" s="63" t="s">
        <v>400</v>
      </c>
      <c r="G635" s="63"/>
    </row>
    <row r="636" spans="1:7" x14ac:dyDescent="0.3">
      <c r="B636" s="63" t="s">
        <v>2451</v>
      </c>
      <c r="C636" s="63">
        <v>1757430803290</v>
      </c>
      <c r="D636" s="63" t="s">
        <v>2458</v>
      </c>
      <c r="E636" s="63" t="s">
        <v>389</v>
      </c>
      <c r="F636" s="63" t="s">
        <v>495</v>
      </c>
      <c r="G636" s="63"/>
    </row>
    <row r="637" spans="1:7" x14ac:dyDescent="0.3">
      <c r="B637" s="63" t="s">
        <v>2451</v>
      </c>
      <c r="C637" s="63">
        <v>1757430824110</v>
      </c>
      <c r="D637" s="63" t="s">
        <v>2459</v>
      </c>
      <c r="E637" s="63" t="s">
        <v>389</v>
      </c>
      <c r="F637" s="63" t="s">
        <v>414</v>
      </c>
      <c r="G637" s="63"/>
    </row>
    <row r="638" spans="1:7" x14ac:dyDescent="0.3">
      <c r="B638" s="63" t="s">
        <v>2451</v>
      </c>
      <c r="C638" s="63">
        <v>1757430824217</v>
      </c>
      <c r="D638" s="63" t="s">
        <v>2460</v>
      </c>
      <c r="E638" s="63" t="s">
        <v>389</v>
      </c>
      <c r="F638" s="63" t="s">
        <v>414</v>
      </c>
      <c r="G638" s="63"/>
    </row>
    <row r="639" spans="1:7" x14ac:dyDescent="0.3">
      <c r="B639" s="63" t="s">
        <v>2451</v>
      </c>
      <c r="C639" s="63">
        <v>1757430853833</v>
      </c>
      <c r="D639" s="63" t="s">
        <v>2461</v>
      </c>
      <c r="E639" s="63" t="s">
        <v>389</v>
      </c>
      <c r="F639" s="63" t="s">
        <v>390</v>
      </c>
      <c r="G639" s="63"/>
    </row>
    <row r="640" spans="1:7" x14ac:dyDescent="0.3">
      <c r="B640" s="63" t="s">
        <v>2451</v>
      </c>
      <c r="C640" s="63">
        <v>1757430855357</v>
      </c>
      <c r="D640" s="63" t="s">
        <v>2462</v>
      </c>
      <c r="E640" s="63" t="s">
        <v>389</v>
      </c>
      <c r="F640" s="63" t="s">
        <v>392</v>
      </c>
      <c r="G640" s="63"/>
    </row>
    <row r="641" spans="2:7" x14ac:dyDescent="0.3">
      <c r="B641" s="63" t="s">
        <v>2451</v>
      </c>
      <c r="C641" s="63">
        <v>1757430863374</v>
      </c>
      <c r="D641" s="63" t="s">
        <v>2463</v>
      </c>
      <c r="E641" s="63" t="s">
        <v>389</v>
      </c>
      <c r="F641" s="63" t="s">
        <v>402</v>
      </c>
      <c r="G641" s="63"/>
    </row>
    <row r="642" spans="2:7" x14ac:dyDescent="0.3">
      <c r="B642" s="63" t="s">
        <v>2451</v>
      </c>
      <c r="C642" s="63">
        <v>1757430864469</v>
      </c>
      <c r="D642" s="63" t="s">
        <v>2464</v>
      </c>
      <c r="E642" s="63" t="s">
        <v>389</v>
      </c>
      <c r="F642" s="63" t="s">
        <v>404</v>
      </c>
      <c r="G642" s="63"/>
    </row>
    <row r="643" spans="2:7" x14ac:dyDescent="0.3">
      <c r="B643" s="63" t="s">
        <v>2451</v>
      </c>
      <c r="C643" s="63">
        <v>1757430866344</v>
      </c>
      <c r="D643" s="63" t="s">
        <v>2465</v>
      </c>
      <c r="E643" s="63" t="s">
        <v>389</v>
      </c>
      <c r="F643" s="63" t="s">
        <v>410</v>
      </c>
      <c r="G643" s="63"/>
    </row>
    <row r="644" spans="2:7" x14ac:dyDescent="0.3">
      <c r="B644" s="63" t="s">
        <v>2451</v>
      </c>
      <c r="C644" s="63">
        <v>1757430871707</v>
      </c>
      <c r="D644" s="63" t="s">
        <v>2466</v>
      </c>
      <c r="E644" s="63" t="s">
        <v>422</v>
      </c>
      <c r="F644" s="63" t="s">
        <v>420</v>
      </c>
      <c r="G644" s="63"/>
    </row>
    <row r="645" spans="2:7" x14ac:dyDescent="0.3">
      <c r="B645" s="63" t="s">
        <v>2451</v>
      </c>
      <c r="C645" s="63">
        <v>1757430882286</v>
      </c>
      <c r="D645" s="63" t="s">
        <v>2467</v>
      </c>
      <c r="E645" s="63" t="s">
        <v>424</v>
      </c>
      <c r="F645" s="63" t="s">
        <v>518</v>
      </c>
      <c r="G645" s="63"/>
    </row>
    <row r="646" spans="2:7" x14ac:dyDescent="0.3">
      <c r="B646" s="63" t="s">
        <v>426</v>
      </c>
      <c r="C646" s="63">
        <v>1757430888661</v>
      </c>
      <c r="D646" s="63" t="s">
        <v>2468</v>
      </c>
      <c r="E646" s="63" t="s">
        <v>428</v>
      </c>
      <c r="F646" s="63" t="s">
        <v>523</v>
      </c>
      <c r="G646" s="63"/>
    </row>
    <row r="647" spans="2:7" x14ac:dyDescent="0.3">
      <c r="B647" s="63" t="s">
        <v>2451</v>
      </c>
      <c r="C647" s="63">
        <v>1757430899216</v>
      </c>
      <c r="D647" s="63" t="s">
        <v>2469</v>
      </c>
      <c r="E647" s="63" t="s">
        <v>424</v>
      </c>
      <c r="F647" s="63" t="s">
        <v>457</v>
      </c>
      <c r="G647" s="63"/>
    </row>
    <row r="648" spans="2:7" x14ac:dyDescent="0.3">
      <c r="B648" s="63" t="s">
        <v>2451</v>
      </c>
      <c r="C648" s="63">
        <v>1757430904737</v>
      </c>
      <c r="D648" s="63" t="s">
        <v>2470</v>
      </c>
      <c r="E648" s="63" t="s">
        <v>424</v>
      </c>
      <c r="F648" s="63" t="s">
        <v>459</v>
      </c>
      <c r="G648" s="63"/>
    </row>
    <row r="649" spans="2:7" x14ac:dyDescent="0.3">
      <c r="B649" s="63" t="s">
        <v>426</v>
      </c>
      <c r="C649" s="63">
        <v>1757430909937</v>
      </c>
      <c r="D649" s="63" t="s">
        <v>2471</v>
      </c>
      <c r="E649" s="63" t="s">
        <v>428</v>
      </c>
      <c r="F649" s="63" t="s">
        <v>455</v>
      </c>
      <c r="G649" s="63"/>
    </row>
    <row r="650" spans="2:7" x14ac:dyDescent="0.3">
      <c r="B650" s="63" t="s">
        <v>2451</v>
      </c>
      <c r="C650" s="63">
        <v>1757430916802</v>
      </c>
      <c r="D650" s="63" t="s">
        <v>2472</v>
      </c>
      <c r="E650" s="63" t="s">
        <v>424</v>
      </c>
      <c r="F650" s="63" t="s">
        <v>461</v>
      </c>
      <c r="G650" s="63"/>
    </row>
    <row r="651" spans="2:7" x14ac:dyDescent="0.3">
      <c r="B651" s="63" t="s">
        <v>426</v>
      </c>
      <c r="C651" s="63">
        <v>1757430925442</v>
      </c>
      <c r="D651" s="63" t="s">
        <v>2473</v>
      </c>
      <c r="E651" s="63" t="s">
        <v>428</v>
      </c>
      <c r="F651" s="63" t="s">
        <v>435</v>
      </c>
      <c r="G651" s="63"/>
    </row>
    <row r="652" spans="2:7" x14ac:dyDescent="0.3">
      <c r="B652" s="63" t="s">
        <v>426</v>
      </c>
      <c r="C652" s="63">
        <v>1757430940149</v>
      </c>
      <c r="D652" s="63" t="s">
        <v>2474</v>
      </c>
      <c r="E652" s="63" t="s">
        <v>428</v>
      </c>
      <c r="F652" s="63" t="s">
        <v>437</v>
      </c>
      <c r="G652" s="63"/>
    </row>
    <row r="653" spans="2:7" x14ac:dyDescent="0.3">
      <c r="B653" s="63" t="s">
        <v>426</v>
      </c>
      <c r="C653" s="63">
        <v>1757430956441</v>
      </c>
      <c r="D653" s="63" t="s">
        <v>2475</v>
      </c>
      <c r="E653" s="63" t="s">
        <v>428</v>
      </c>
      <c r="F653" s="63" t="s">
        <v>439</v>
      </c>
      <c r="G653" s="63"/>
    </row>
    <row r="654" spans="2:7" x14ac:dyDescent="0.3">
      <c r="B654" s="63" t="s">
        <v>2451</v>
      </c>
      <c r="C654" s="63">
        <v>1757430972772</v>
      </c>
      <c r="D654" s="63" t="s">
        <v>2476</v>
      </c>
      <c r="E654" s="63" t="s">
        <v>424</v>
      </c>
      <c r="F654" s="63" t="s">
        <v>441</v>
      </c>
      <c r="G654" s="63"/>
    </row>
    <row r="655" spans="2:7" x14ac:dyDescent="0.3">
      <c r="B655" s="63" t="s">
        <v>426</v>
      </c>
      <c r="C655" s="63">
        <v>1757430974854</v>
      </c>
      <c r="D655" s="63" t="s">
        <v>2477</v>
      </c>
      <c r="E655" s="63" t="s">
        <v>428</v>
      </c>
      <c r="F655" s="63" t="s">
        <v>429</v>
      </c>
      <c r="G655" s="63"/>
    </row>
    <row r="656" spans="2:7" x14ac:dyDescent="0.3">
      <c r="B656" s="63" t="s">
        <v>426</v>
      </c>
      <c r="C656" s="63">
        <v>1757430991810</v>
      </c>
      <c r="D656" s="63" t="s">
        <v>2478</v>
      </c>
      <c r="E656" s="63" t="s">
        <v>428</v>
      </c>
      <c r="F656" s="63" t="s">
        <v>431</v>
      </c>
      <c r="G656" s="63"/>
    </row>
    <row r="657" spans="2:7" x14ac:dyDescent="0.3">
      <c r="B657" s="63" t="s">
        <v>2451</v>
      </c>
      <c r="C657" s="63">
        <v>1757430997620</v>
      </c>
      <c r="D657" s="63" t="s">
        <v>2479</v>
      </c>
      <c r="E657" s="63" t="s">
        <v>424</v>
      </c>
      <c r="F657" s="63" t="s">
        <v>433</v>
      </c>
      <c r="G657" s="63"/>
    </row>
    <row r="658" spans="2:7" x14ac:dyDescent="0.3">
      <c r="B658" s="63" t="s">
        <v>2451</v>
      </c>
      <c r="C658" s="63">
        <v>1757431006123</v>
      </c>
      <c r="D658" s="63" t="s">
        <v>2480</v>
      </c>
      <c r="E658" s="63" t="s">
        <v>424</v>
      </c>
      <c r="F658" s="63" t="s">
        <v>443</v>
      </c>
      <c r="G658" s="63"/>
    </row>
    <row r="659" spans="2:7" x14ac:dyDescent="0.3">
      <c r="B659" s="63" t="s">
        <v>426</v>
      </c>
      <c r="C659" s="63">
        <v>1757431007263</v>
      </c>
      <c r="D659" s="63" t="s">
        <v>2481</v>
      </c>
      <c r="E659" s="63" t="s">
        <v>428</v>
      </c>
      <c r="F659" s="63" t="s">
        <v>447</v>
      </c>
      <c r="G659" s="63"/>
    </row>
    <row r="660" spans="2:7" x14ac:dyDescent="0.3">
      <c r="B660" s="63" t="s">
        <v>2451</v>
      </c>
      <c r="C660" s="63">
        <v>1757431010956</v>
      </c>
      <c r="D660" s="63" t="s">
        <v>2482</v>
      </c>
      <c r="E660" s="63" t="s">
        <v>424</v>
      </c>
      <c r="F660" s="63" t="s">
        <v>445</v>
      </c>
      <c r="G660" s="63"/>
    </row>
    <row r="661" spans="2:7" x14ac:dyDescent="0.3">
      <c r="B661" s="63" t="s">
        <v>2451</v>
      </c>
      <c r="C661" s="63">
        <v>1757431015852</v>
      </c>
      <c r="D661" s="63" t="s">
        <v>2483</v>
      </c>
      <c r="E661" s="63" t="s">
        <v>424</v>
      </c>
      <c r="F661" s="63" t="s">
        <v>449</v>
      </c>
      <c r="G661" s="63"/>
    </row>
    <row r="662" spans="2:7" x14ac:dyDescent="0.3">
      <c r="B662" s="63" t="s">
        <v>2451</v>
      </c>
      <c r="C662" s="63">
        <v>1757431020868</v>
      </c>
      <c r="D662" s="63" t="s">
        <v>2484</v>
      </c>
      <c r="E662" s="63" t="s">
        <v>424</v>
      </c>
      <c r="F662" s="63" t="s">
        <v>451</v>
      </c>
      <c r="G662" s="63"/>
    </row>
    <row r="663" spans="2:7" x14ac:dyDescent="0.3">
      <c r="B663" s="63" t="s">
        <v>2451</v>
      </c>
      <c r="C663" s="63">
        <v>1757431023778</v>
      </c>
      <c r="D663" s="63" t="s">
        <v>2485</v>
      </c>
      <c r="E663" s="63" t="s">
        <v>463</v>
      </c>
      <c r="F663" s="63" t="s">
        <v>464</v>
      </c>
      <c r="G663" s="63"/>
    </row>
    <row r="664" spans="2:7" x14ac:dyDescent="0.3">
      <c r="B664" s="58" t="s">
        <v>2085</v>
      </c>
      <c r="C664" s="58">
        <v>1757431035537</v>
      </c>
      <c r="D664" s="58" t="s">
        <v>2486</v>
      </c>
      <c r="E664" s="58" t="s">
        <v>416</v>
      </c>
      <c r="F664" s="58" t="s">
        <v>466</v>
      </c>
      <c r="G664" s="58"/>
    </row>
    <row r="665" spans="2:7" x14ac:dyDescent="0.3">
      <c r="B665" s="58" t="s">
        <v>2085</v>
      </c>
      <c r="C665" s="58">
        <v>1757431035666</v>
      </c>
      <c r="D665" s="58" t="s">
        <v>2487</v>
      </c>
      <c r="E665" s="58" t="s">
        <v>468</v>
      </c>
      <c r="F665" s="58" t="s">
        <v>2488</v>
      </c>
      <c r="G665" s="58"/>
    </row>
    <row r="666" spans="2:7" x14ac:dyDescent="0.3">
      <c r="B666" s="58" t="s">
        <v>2085</v>
      </c>
      <c r="C666" s="58">
        <v>1757431036168</v>
      </c>
      <c r="D666" s="58" t="s">
        <v>2489</v>
      </c>
      <c r="E666" s="58" t="s">
        <v>419</v>
      </c>
      <c r="F666" s="58" t="s">
        <v>420</v>
      </c>
      <c r="G666" s="58"/>
    </row>
    <row r="667" spans="2:7" x14ac:dyDescent="0.3">
      <c r="B667" s="58" t="s">
        <v>2085</v>
      </c>
      <c r="C667" s="58">
        <v>1757431049875</v>
      </c>
      <c r="D667" s="58" t="s">
        <v>2490</v>
      </c>
      <c r="E667" s="58" t="s">
        <v>389</v>
      </c>
      <c r="F667" s="58" t="s">
        <v>506</v>
      </c>
      <c r="G667" s="58"/>
    </row>
    <row r="668" spans="2:7" x14ac:dyDescent="0.3">
      <c r="B668" s="58" t="s">
        <v>2085</v>
      </c>
      <c r="C668" s="58">
        <v>1757431053543</v>
      </c>
      <c r="D668" s="58" t="s">
        <v>2491</v>
      </c>
      <c r="E668" s="58" t="s">
        <v>422</v>
      </c>
      <c r="F668" s="58" t="s">
        <v>420</v>
      </c>
      <c r="G668" s="58"/>
    </row>
    <row r="669" spans="2:7" x14ac:dyDescent="0.3">
      <c r="B669" s="58" t="s">
        <v>426</v>
      </c>
      <c r="C669" s="58">
        <v>1757431073346</v>
      </c>
      <c r="D669" s="58" t="s">
        <v>2492</v>
      </c>
      <c r="E669" s="58" t="s">
        <v>428</v>
      </c>
      <c r="F669" s="58" t="s">
        <v>435</v>
      </c>
      <c r="G669" s="58"/>
    </row>
    <row r="670" spans="2:7" x14ac:dyDescent="0.3">
      <c r="B670" s="58" t="s">
        <v>426</v>
      </c>
      <c r="C670" s="58">
        <v>1757431092488</v>
      </c>
      <c r="D670" s="58" t="s">
        <v>2493</v>
      </c>
      <c r="E670" s="58" t="s">
        <v>428</v>
      </c>
      <c r="F670" s="58" t="s">
        <v>437</v>
      </c>
      <c r="G670" s="58"/>
    </row>
    <row r="671" spans="2:7" x14ac:dyDescent="0.3">
      <c r="B671" s="58" t="s">
        <v>2085</v>
      </c>
      <c r="C671" s="58">
        <v>1757431098072</v>
      </c>
      <c r="D671" s="58" t="s">
        <v>2494</v>
      </c>
      <c r="E671" s="58" t="s">
        <v>424</v>
      </c>
      <c r="F671" s="58" t="s">
        <v>553</v>
      </c>
      <c r="G671" s="58"/>
    </row>
    <row r="672" spans="2:7" x14ac:dyDescent="0.3">
      <c r="B672" s="58" t="s">
        <v>426</v>
      </c>
      <c r="C672" s="58">
        <v>1757431108022</v>
      </c>
      <c r="D672" s="58" t="s">
        <v>2495</v>
      </c>
      <c r="E672" s="58" t="s">
        <v>428</v>
      </c>
      <c r="F672" s="58" t="s">
        <v>429</v>
      </c>
      <c r="G672" s="58"/>
    </row>
    <row r="673" spans="1:7" x14ac:dyDescent="0.3">
      <c r="B673" s="58" t="s">
        <v>2085</v>
      </c>
      <c r="C673" s="58">
        <v>1757431114654</v>
      </c>
      <c r="D673" s="58" t="s">
        <v>2496</v>
      </c>
      <c r="E673" s="58" t="s">
        <v>424</v>
      </c>
      <c r="F673" s="58" t="s">
        <v>441</v>
      </c>
      <c r="G673" s="58"/>
    </row>
    <row r="674" spans="1:7" x14ac:dyDescent="0.3">
      <c r="B674" s="58" t="s">
        <v>426</v>
      </c>
      <c r="C674" s="58">
        <v>1757431123486</v>
      </c>
      <c r="D674" s="58" t="s">
        <v>2497</v>
      </c>
      <c r="E674" s="58" t="s">
        <v>428</v>
      </c>
      <c r="F674" s="58" t="s">
        <v>431</v>
      </c>
      <c r="G674" s="58"/>
    </row>
    <row r="675" spans="1:7" x14ac:dyDescent="0.3">
      <c r="B675" s="58" t="s">
        <v>2085</v>
      </c>
      <c r="C675" s="58">
        <v>1757431128527</v>
      </c>
      <c r="D675" s="58" t="s">
        <v>2498</v>
      </c>
      <c r="E675" s="58" t="s">
        <v>424</v>
      </c>
      <c r="F675" s="58" t="s">
        <v>433</v>
      </c>
      <c r="G675" s="58"/>
    </row>
    <row r="676" spans="1:7" x14ac:dyDescent="0.3">
      <c r="B676" s="58" t="s">
        <v>2085</v>
      </c>
      <c r="C676" s="58">
        <v>1757431137500</v>
      </c>
      <c r="D676" s="58" t="s">
        <v>2499</v>
      </c>
      <c r="E676" s="58" t="s">
        <v>424</v>
      </c>
      <c r="F676" s="58" t="s">
        <v>443</v>
      </c>
      <c r="G676" s="58"/>
    </row>
    <row r="677" spans="1:7" x14ac:dyDescent="0.3">
      <c r="B677" s="58" t="s">
        <v>426</v>
      </c>
      <c r="C677" s="58">
        <v>1757431140387</v>
      </c>
      <c r="D677" s="58" t="s">
        <v>2500</v>
      </c>
      <c r="E677" s="58" t="s">
        <v>428</v>
      </c>
      <c r="F677" s="58" t="s">
        <v>523</v>
      </c>
      <c r="G677" s="58"/>
    </row>
    <row r="678" spans="1:7" x14ac:dyDescent="0.3">
      <c r="B678" s="58" t="s">
        <v>2085</v>
      </c>
      <c r="C678" s="58">
        <v>1757431146790</v>
      </c>
      <c r="D678" s="58" t="s">
        <v>2501</v>
      </c>
      <c r="E678" s="58" t="s">
        <v>424</v>
      </c>
      <c r="F678" s="58" t="s">
        <v>445</v>
      </c>
      <c r="G678" s="58"/>
    </row>
    <row r="679" spans="1:7" x14ac:dyDescent="0.3">
      <c r="B679" s="58" t="s">
        <v>426</v>
      </c>
      <c r="C679" s="58">
        <v>1757431155112</v>
      </c>
      <c r="D679" s="58" t="s">
        <v>2502</v>
      </c>
      <c r="E679" s="58" t="s">
        <v>428</v>
      </c>
      <c r="F679" s="58" t="s">
        <v>447</v>
      </c>
      <c r="G679" s="58"/>
    </row>
    <row r="680" spans="1:7" x14ac:dyDescent="0.3">
      <c r="B680" s="58" t="s">
        <v>2085</v>
      </c>
      <c r="C680" s="58">
        <v>1757431157402</v>
      </c>
      <c r="D680" s="58" t="s">
        <v>2503</v>
      </c>
      <c r="E680" s="58" t="s">
        <v>424</v>
      </c>
      <c r="F680" s="58" t="s">
        <v>518</v>
      </c>
      <c r="G680" s="58"/>
    </row>
    <row r="681" spans="1:7" x14ac:dyDescent="0.3">
      <c r="B681" s="58" t="s">
        <v>426</v>
      </c>
      <c r="C681" s="58">
        <v>1757431175671</v>
      </c>
      <c r="D681" s="58" t="s">
        <v>2504</v>
      </c>
      <c r="E681" s="58" t="s">
        <v>428</v>
      </c>
      <c r="F681" s="58" t="s">
        <v>455</v>
      </c>
      <c r="G681" s="58"/>
    </row>
    <row r="682" spans="1:7" x14ac:dyDescent="0.3">
      <c r="B682" s="58" t="s">
        <v>2085</v>
      </c>
      <c r="C682" s="58">
        <v>1757431177948</v>
      </c>
      <c r="D682" s="58" t="s">
        <v>2505</v>
      </c>
      <c r="E682" s="58" t="s">
        <v>424</v>
      </c>
      <c r="F682" s="58" t="s">
        <v>457</v>
      </c>
      <c r="G682" s="58"/>
    </row>
    <row r="683" spans="1:7" x14ac:dyDescent="0.3">
      <c r="B683" s="58" t="s">
        <v>2085</v>
      </c>
      <c r="C683" s="58">
        <v>1757431181803</v>
      </c>
      <c r="D683" s="58" t="s">
        <v>2506</v>
      </c>
      <c r="E683" s="58" t="s">
        <v>424</v>
      </c>
      <c r="F683" s="58" t="s">
        <v>459</v>
      </c>
      <c r="G683" s="58"/>
    </row>
    <row r="684" spans="1:7" x14ac:dyDescent="0.3">
      <c r="B684" s="58" t="s">
        <v>2085</v>
      </c>
      <c r="C684" s="58">
        <v>1757431194876</v>
      </c>
      <c r="D684" s="58" t="s">
        <v>2507</v>
      </c>
      <c r="E684" s="58" t="s">
        <v>424</v>
      </c>
      <c r="F684" s="58" t="s">
        <v>461</v>
      </c>
      <c r="G684" s="58"/>
    </row>
    <row r="685" spans="1:7" x14ac:dyDescent="0.3">
      <c r="B685" s="58" t="s">
        <v>2085</v>
      </c>
      <c r="C685" s="58">
        <v>1757431199840</v>
      </c>
      <c r="D685" s="58" t="s">
        <v>2508</v>
      </c>
      <c r="E685" s="58" t="s">
        <v>424</v>
      </c>
      <c r="F685" s="58" t="s">
        <v>449</v>
      </c>
      <c r="G685" s="58"/>
    </row>
    <row r="686" spans="1:7" x14ac:dyDescent="0.3">
      <c r="B686" s="58" t="s">
        <v>2085</v>
      </c>
      <c r="C686" s="58">
        <v>1757431204198</v>
      </c>
      <c r="D686" s="58" t="s">
        <v>2509</v>
      </c>
      <c r="E686" s="58" t="s">
        <v>424</v>
      </c>
      <c r="F686" s="58" t="s">
        <v>451</v>
      </c>
      <c r="G686" s="58"/>
    </row>
    <row r="687" spans="1:7" x14ac:dyDescent="0.3">
      <c r="B687" s="58" t="s">
        <v>2085</v>
      </c>
      <c r="C687" s="58">
        <v>1757431206255</v>
      </c>
      <c r="D687" s="58" t="s">
        <v>2510</v>
      </c>
      <c r="E687" s="58" t="s">
        <v>463</v>
      </c>
      <c r="F687" s="58" t="s">
        <v>464</v>
      </c>
      <c r="G687" s="58"/>
    </row>
    <row r="688" spans="1:7" ht="21" x14ac:dyDescent="0.4">
      <c r="A688" s="69" t="s">
        <v>46</v>
      </c>
      <c r="B688" s="63" t="s">
        <v>2511</v>
      </c>
      <c r="C688" s="63">
        <v>1757433773395</v>
      </c>
      <c r="D688" s="63" t="s">
        <v>2512</v>
      </c>
      <c r="E688" s="63" t="s">
        <v>416</v>
      </c>
      <c r="F688" s="63" t="s">
        <v>417</v>
      </c>
    </row>
    <row r="689" spans="2:6" x14ac:dyDescent="0.3">
      <c r="B689" s="63" t="s">
        <v>2511</v>
      </c>
      <c r="C689" s="63">
        <v>1757433779273</v>
      </c>
      <c r="D689" s="63" t="s">
        <v>2513</v>
      </c>
      <c r="E689" s="63" t="s">
        <v>419</v>
      </c>
      <c r="F689" s="63" t="s">
        <v>420</v>
      </c>
    </row>
    <row r="690" spans="2:6" x14ac:dyDescent="0.3">
      <c r="B690" s="63" t="s">
        <v>2511</v>
      </c>
      <c r="C690" s="63">
        <v>1757433794476</v>
      </c>
      <c r="D690" s="63" t="s">
        <v>2514</v>
      </c>
      <c r="E690" s="63" t="s">
        <v>389</v>
      </c>
      <c r="F690" s="63" t="s">
        <v>1221</v>
      </c>
    </row>
    <row r="691" spans="2:6" x14ac:dyDescent="0.3">
      <c r="B691" s="63" t="s">
        <v>2511</v>
      </c>
      <c r="C691" s="63">
        <v>1757433795653</v>
      </c>
      <c r="D691" s="63" t="s">
        <v>2515</v>
      </c>
      <c r="E691" s="63" t="s">
        <v>389</v>
      </c>
      <c r="F691" s="63" t="s">
        <v>1218</v>
      </c>
    </row>
    <row r="692" spans="2:6" x14ac:dyDescent="0.3">
      <c r="B692" s="63" t="s">
        <v>2511</v>
      </c>
      <c r="C692" s="63">
        <v>1757433796566</v>
      </c>
      <c r="D692" s="63" t="s">
        <v>2516</v>
      </c>
      <c r="E692" s="63" t="s">
        <v>389</v>
      </c>
      <c r="F692" s="63" t="s">
        <v>1594</v>
      </c>
    </row>
    <row r="693" spans="2:6" x14ac:dyDescent="0.3">
      <c r="B693" s="63" t="s">
        <v>2511</v>
      </c>
      <c r="C693" s="63">
        <v>1757433797454</v>
      </c>
      <c r="D693" s="63" t="s">
        <v>2517</v>
      </c>
      <c r="E693" s="63" t="s">
        <v>389</v>
      </c>
      <c r="F693" s="63" t="s">
        <v>1216</v>
      </c>
    </row>
    <row r="694" spans="2:6" x14ac:dyDescent="0.3">
      <c r="B694" s="63" t="s">
        <v>2511</v>
      </c>
      <c r="C694" s="63">
        <v>1757433798241</v>
      </c>
      <c r="D694" s="63" t="s">
        <v>2518</v>
      </c>
      <c r="E694" s="63" t="s">
        <v>389</v>
      </c>
      <c r="F694" s="63" t="s">
        <v>1218</v>
      </c>
    </row>
    <row r="695" spans="2:6" x14ac:dyDescent="0.3">
      <c r="B695" s="63" t="s">
        <v>2511</v>
      </c>
      <c r="C695" s="63">
        <v>1757433815418</v>
      </c>
      <c r="D695" s="63" t="s">
        <v>2519</v>
      </c>
      <c r="E695" s="63" t="s">
        <v>389</v>
      </c>
      <c r="F695" s="63" t="s">
        <v>1221</v>
      </c>
    </row>
    <row r="696" spans="2:6" x14ac:dyDescent="0.3">
      <c r="B696" s="63" t="s">
        <v>2511</v>
      </c>
      <c r="C696" s="63">
        <v>1757433816420</v>
      </c>
      <c r="D696" s="63" t="s">
        <v>2520</v>
      </c>
      <c r="E696" s="63" t="s">
        <v>389</v>
      </c>
      <c r="F696" s="63" t="s">
        <v>1218</v>
      </c>
    </row>
    <row r="697" spans="2:6" x14ac:dyDescent="0.3">
      <c r="B697" s="63" t="s">
        <v>2511</v>
      </c>
      <c r="C697" s="63">
        <v>1757433817531</v>
      </c>
      <c r="D697" s="63" t="s">
        <v>2521</v>
      </c>
      <c r="E697" s="63" t="s">
        <v>389</v>
      </c>
      <c r="F697" s="63" t="s">
        <v>1214</v>
      </c>
    </row>
    <row r="698" spans="2:6" x14ac:dyDescent="0.3">
      <c r="B698" s="63" t="s">
        <v>2511</v>
      </c>
      <c r="C698" s="63">
        <v>1757433820816</v>
      </c>
      <c r="D698" s="63" t="s">
        <v>2522</v>
      </c>
      <c r="E698" s="63" t="s">
        <v>389</v>
      </c>
      <c r="F698" s="63" t="s">
        <v>1218</v>
      </c>
    </row>
    <row r="699" spans="2:6" x14ac:dyDescent="0.3">
      <c r="B699" s="63" t="s">
        <v>2511</v>
      </c>
      <c r="C699" s="63">
        <v>1757433836267</v>
      </c>
      <c r="D699" s="63" t="s">
        <v>2523</v>
      </c>
      <c r="E699" s="63" t="s">
        <v>389</v>
      </c>
      <c r="F699" s="63" t="s">
        <v>396</v>
      </c>
    </row>
    <row r="700" spans="2:6" x14ac:dyDescent="0.3">
      <c r="B700" s="63" t="s">
        <v>2511</v>
      </c>
      <c r="C700" s="63">
        <v>1757433838748</v>
      </c>
      <c r="D700" s="63" t="s">
        <v>2524</v>
      </c>
      <c r="E700" s="63" t="s">
        <v>389</v>
      </c>
      <c r="F700" s="63" t="s">
        <v>398</v>
      </c>
    </row>
    <row r="701" spans="2:6" x14ac:dyDescent="0.3">
      <c r="B701" s="63" t="s">
        <v>2511</v>
      </c>
      <c r="C701" s="63">
        <v>1757433839642</v>
      </c>
      <c r="D701" s="63" t="s">
        <v>2525</v>
      </c>
      <c r="E701" s="63" t="s">
        <v>389</v>
      </c>
      <c r="F701" s="63" t="s">
        <v>400</v>
      </c>
    </row>
    <row r="702" spans="2:6" x14ac:dyDescent="0.3">
      <c r="B702" s="63" t="s">
        <v>2511</v>
      </c>
      <c r="C702" s="63">
        <v>1757433840888</v>
      </c>
      <c r="D702" s="63" t="s">
        <v>2526</v>
      </c>
      <c r="E702" s="63" t="s">
        <v>389</v>
      </c>
      <c r="F702" s="63" t="s">
        <v>390</v>
      </c>
    </row>
    <row r="703" spans="2:6" x14ac:dyDescent="0.3">
      <c r="B703" s="63" t="s">
        <v>2511</v>
      </c>
      <c r="C703" s="63">
        <v>1757433841530</v>
      </c>
      <c r="D703" s="63" t="s">
        <v>2527</v>
      </c>
      <c r="E703" s="63" t="s">
        <v>389</v>
      </c>
      <c r="F703" s="63" t="s">
        <v>392</v>
      </c>
    </row>
    <row r="704" spans="2:6" x14ac:dyDescent="0.3">
      <c r="B704" s="63" t="s">
        <v>2511</v>
      </c>
      <c r="C704" s="63">
        <v>1757433842744</v>
      </c>
      <c r="D704" s="63" t="s">
        <v>2528</v>
      </c>
      <c r="E704" s="63" t="s">
        <v>389</v>
      </c>
      <c r="F704" s="63" t="s">
        <v>508</v>
      </c>
    </row>
    <row r="705" spans="2:6" x14ac:dyDescent="0.3">
      <c r="B705" s="63" t="s">
        <v>2511</v>
      </c>
      <c r="C705" s="63">
        <v>1757433843519</v>
      </c>
      <c r="D705" s="63" t="s">
        <v>2529</v>
      </c>
      <c r="E705" s="63" t="s">
        <v>389</v>
      </c>
      <c r="F705" s="63" t="s">
        <v>660</v>
      </c>
    </row>
    <row r="706" spans="2:6" x14ac:dyDescent="0.3">
      <c r="B706" s="63" t="s">
        <v>2511</v>
      </c>
      <c r="C706" s="63">
        <v>1757433844261</v>
      </c>
      <c r="D706" s="63" t="s">
        <v>2530</v>
      </c>
      <c r="E706" s="63" t="s">
        <v>389</v>
      </c>
      <c r="F706" s="63" t="s">
        <v>406</v>
      </c>
    </row>
    <row r="707" spans="2:6" x14ac:dyDescent="0.3">
      <c r="B707" s="63" t="s">
        <v>2511</v>
      </c>
      <c r="C707" s="63">
        <v>1757433847292</v>
      </c>
      <c r="D707" s="63" t="s">
        <v>2531</v>
      </c>
      <c r="E707" s="63" t="s">
        <v>389</v>
      </c>
      <c r="F707" s="63" t="s">
        <v>495</v>
      </c>
    </row>
    <row r="708" spans="2:6" x14ac:dyDescent="0.3">
      <c r="B708" s="63" t="s">
        <v>2511</v>
      </c>
      <c r="C708" s="63">
        <v>1757433849099</v>
      </c>
      <c r="D708" s="63" t="s">
        <v>2532</v>
      </c>
      <c r="E708" s="63" t="s">
        <v>389</v>
      </c>
      <c r="F708" s="63" t="s">
        <v>410</v>
      </c>
    </row>
    <row r="709" spans="2:6" x14ac:dyDescent="0.3">
      <c r="B709" s="63" t="s">
        <v>2511</v>
      </c>
      <c r="C709" s="63">
        <v>1757433851274</v>
      </c>
      <c r="D709" s="63" t="s">
        <v>2533</v>
      </c>
      <c r="E709" s="63" t="s">
        <v>389</v>
      </c>
      <c r="F709" s="63" t="s">
        <v>414</v>
      </c>
    </row>
    <row r="710" spans="2:6" x14ac:dyDescent="0.3">
      <c r="B710" s="63" t="s">
        <v>2511</v>
      </c>
      <c r="C710" s="63">
        <v>1757434029652</v>
      </c>
      <c r="D710" s="63" t="s">
        <v>2534</v>
      </c>
      <c r="E710" s="63" t="s">
        <v>422</v>
      </c>
      <c r="F710" s="63" t="s">
        <v>420</v>
      </c>
    </row>
    <row r="711" spans="2:6" x14ac:dyDescent="0.3">
      <c r="B711" s="63" t="s">
        <v>426</v>
      </c>
      <c r="C711" s="63">
        <v>1757434045162</v>
      </c>
      <c r="D711" s="63" t="s">
        <v>2535</v>
      </c>
      <c r="E711" s="63" t="s">
        <v>428</v>
      </c>
      <c r="F711" s="63" t="s">
        <v>447</v>
      </c>
    </row>
    <row r="712" spans="2:6" x14ac:dyDescent="0.3">
      <c r="B712" s="63" t="s">
        <v>2511</v>
      </c>
      <c r="C712" s="63">
        <v>1757434050526</v>
      </c>
      <c r="D712" s="63" t="s">
        <v>2536</v>
      </c>
      <c r="E712" s="63" t="s">
        <v>424</v>
      </c>
      <c r="F712" s="63" t="s">
        <v>449</v>
      </c>
    </row>
    <row r="713" spans="2:6" x14ac:dyDescent="0.3">
      <c r="B713" s="63" t="s">
        <v>2511</v>
      </c>
      <c r="C713" s="63">
        <v>1757434060341</v>
      </c>
      <c r="D713" s="63" t="s">
        <v>2537</v>
      </c>
      <c r="E713" s="63" t="s">
        <v>424</v>
      </c>
      <c r="F713" s="63" t="s">
        <v>451</v>
      </c>
    </row>
    <row r="714" spans="2:6" x14ac:dyDescent="0.3">
      <c r="B714" s="63" t="s">
        <v>426</v>
      </c>
      <c r="C714" s="63">
        <v>1757434062838</v>
      </c>
      <c r="D714" s="63" t="s">
        <v>2538</v>
      </c>
      <c r="E714" s="63" t="s">
        <v>428</v>
      </c>
      <c r="F714" s="63" t="s">
        <v>429</v>
      </c>
    </row>
    <row r="715" spans="2:6" x14ac:dyDescent="0.3">
      <c r="B715" s="63" t="s">
        <v>426</v>
      </c>
      <c r="C715" s="63">
        <v>1757434079768</v>
      </c>
      <c r="D715" s="63" t="s">
        <v>2539</v>
      </c>
      <c r="E715" s="63" t="s">
        <v>428</v>
      </c>
      <c r="F715" s="63" t="s">
        <v>431</v>
      </c>
    </row>
    <row r="716" spans="2:6" x14ac:dyDescent="0.3">
      <c r="B716" s="63" t="s">
        <v>2511</v>
      </c>
      <c r="C716" s="63">
        <v>1757434084162</v>
      </c>
      <c r="D716" s="63" t="s">
        <v>2540</v>
      </c>
      <c r="E716" s="63" t="s">
        <v>424</v>
      </c>
      <c r="F716" s="63" t="s">
        <v>433</v>
      </c>
    </row>
    <row r="717" spans="2:6" x14ac:dyDescent="0.3">
      <c r="B717" s="63" t="s">
        <v>426</v>
      </c>
      <c r="C717" s="63">
        <v>1757434101090</v>
      </c>
      <c r="D717" s="63" t="s">
        <v>2541</v>
      </c>
      <c r="E717" s="63" t="s">
        <v>428</v>
      </c>
      <c r="F717" s="63" t="s">
        <v>455</v>
      </c>
    </row>
    <row r="718" spans="2:6" x14ac:dyDescent="0.3">
      <c r="B718" s="63" t="s">
        <v>426</v>
      </c>
      <c r="C718" s="63">
        <v>1757434118712</v>
      </c>
      <c r="D718" s="63" t="s">
        <v>2542</v>
      </c>
      <c r="E718" s="63" t="s">
        <v>428</v>
      </c>
      <c r="F718" s="63" t="s">
        <v>453</v>
      </c>
    </row>
    <row r="719" spans="2:6" x14ac:dyDescent="0.3">
      <c r="B719" s="63" t="s">
        <v>426</v>
      </c>
      <c r="C719" s="63">
        <v>1757434134186</v>
      </c>
      <c r="D719" s="63" t="s">
        <v>2543</v>
      </c>
      <c r="E719" s="63" t="s">
        <v>428</v>
      </c>
      <c r="F719" s="63" t="s">
        <v>538</v>
      </c>
    </row>
    <row r="720" spans="2:6" x14ac:dyDescent="0.3">
      <c r="B720" s="63" t="s">
        <v>426</v>
      </c>
      <c r="C720" s="63">
        <v>1757434151152</v>
      </c>
      <c r="D720" s="63" t="s">
        <v>2544</v>
      </c>
      <c r="E720" s="63" t="s">
        <v>428</v>
      </c>
      <c r="F720" s="63" t="s">
        <v>672</v>
      </c>
    </row>
    <row r="721" spans="2:6" x14ac:dyDescent="0.3">
      <c r="B721" s="63" t="s">
        <v>2511</v>
      </c>
      <c r="C721" s="63">
        <v>1757434158575</v>
      </c>
      <c r="D721" s="63" t="s">
        <v>2545</v>
      </c>
      <c r="E721" s="63" t="s">
        <v>424</v>
      </c>
      <c r="F721" s="63" t="s">
        <v>457</v>
      </c>
    </row>
    <row r="722" spans="2:6" x14ac:dyDescent="0.3">
      <c r="B722" s="63" t="s">
        <v>2511</v>
      </c>
      <c r="C722" s="63">
        <v>1757434159662</v>
      </c>
      <c r="D722" s="63" t="s">
        <v>2546</v>
      </c>
      <c r="E722" s="63" t="s">
        <v>424</v>
      </c>
      <c r="F722" s="63" t="s">
        <v>459</v>
      </c>
    </row>
    <row r="723" spans="2:6" x14ac:dyDescent="0.3">
      <c r="B723" s="63" t="s">
        <v>2511</v>
      </c>
      <c r="C723" s="63">
        <v>1757434160831</v>
      </c>
      <c r="D723" s="63" t="s">
        <v>2547</v>
      </c>
      <c r="E723" s="63" t="s">
        <v>424</v>
      </c>
      <c r="F723" s="63" t="s">
        <v>461</v>
      </c>
    </row>
    <row r="724" spans="2:6" x14ac:dyDescent="0.3">
      <c r="B724" s="63" t="s">
        <v>426</v>
      </c>
      <c r="C724" s="63">
        <v>1757434168044</v>
      </c>
      <c r="D724" s="63" t="s">
        <v>2548</v>
      </c>
      <c r="E724" s="63" t="s">
        <v>428</v>
      </c>
      <c r="F724" s="63" t="s">
        <v>523</v>
      </c>
    </row>
    <row r="725" spans="2:6" x14ac:dyDescent="0.3">
      <c r="B725" s="63" t="s">
        <v>426</v>
      </c>
      <c r="C725" s="63">
        <v>1757434183522</v>
      </c>
      <c r="D725" s="63" t="s">
        <v>2549</v>
      </c>
      <c r="E725" s="63" t="s">
        <v>428</v>
      </c>
      <c r="F725" s="63" t="s">
        <v>435</v>
      </c>
    </row>
    <row r="726" spans="2:6" x14ac:dyDescent="0.3">
      <c r="B726" s="63" t="s">
        <v>426</v>
      </c>
      <c r="C726" s="63">
        <v>1757434198271</v>
      </c>
      <c r="D726" s="63" t="s">
        <v>2550</v>
      </c>
      <c r="E726" s="63" t="s">
        <v>428</v>
      </c>
      <c r="F726" s="63" t="s">
        <v>437</v>
      </c>
    </row>
    <row r="727" spans="2:6" x14ac:dyDescent="0.3">
      <c r="B727" s="63" t="s">
        <v>426</v>
      </c>
      <c r="C727" s="63">
        <v>1757434214523</v>
      </c>
      <c r="D727" s="63" t="s">
        <v>2551</v>
      </c>
      <c r="E727" s="63" t="s">
        <v>428</v>
      </c>
      <c r="F727" s="63" t="s">
        <v>439</v>
      </c>
    </row>
    <row r="728" spans="2:6" x14ac:dyDescent="0.3">
      <c r="B728" s="63" t="s">
        <v>2511</v>
      </c>
      <c r="C728" s="63">
        <v>1757434218257</v>
      </c>
      <c r="D728" s="63" t="s">
        <v>2552</v>
      </c>
      <c r="E728" s="63" t="s">
        <v>424</v>
      </c>
      <c r="F728" s="63" t="s">
        <v>441</v>
      </c>
    </row>
    <row r="729" spans="2:6" x14ac:dyDescent="0.3">
      <c r="B729" s="63" t="s">
        <v>2511</v>
      </c>
      <c r="C729" s="63">
        <v>1757434219959</v>
      </c>
      <c r="D729" s="63" t="s">
        <v>2553</v>
      </c>
      <c r="E729" s="63" t="s">
        <v>463</v>
      </c>
      <c r="F729" s="63" t="s">
        <v>464</v>
      </c>
    </row>
    <row r="730" spans="2:6" x14ac:dyDescent="0.3">
      <c r="B730" s="58" t="s">
        <v>2554</v>
      </c>
      <c r="C730" s="58">
        <v>1757434231009</v>
      </c>
      <c r="D730" s="58" t="s">
        <v>2555</v>
      </c>
      <c r="E730" s="58" t="s">
        <v>416</v>
      </c>
      <c r="F730" s="58" t="s">
        <v>466</v>
      </c>
    </row>
    <row r="731" spans="2:6" x14ac:dyDescent="0.3">
      <c r="B731" s="58" t="s">
        <v>2554</v>
      </c>
      <c r="C731" s="58">
        <v>1757434231162</v>
      </c>
      <c r="D731" s="58" t="s">
        <v>2556</v>
      </c>
      <c r="E731" s="58" t="s">
        <v>468</v>
      </c>
      <c r="F731" s="58" t="s">
        <v>2557</v>
      </c>
    </row>
    <row r="732" spans="2:6" x14ac:dyDescent="0.3">
      <c r="B732" s="58" t="s">
        <v>2554</v>
      </c>
      <c r="C732" s="58">
        <v>1757434231677</v>
      </c>
      <c r="D732" s="58" t="s">
        <v>2558</v>
      </c>
      <c r="E732" s="58" t="s">
        <v>419</v>
      </c>
      <c r="F732" s="58" t="s">
        <v>420</v>
      </c>
    </row>
    <row r="733" spans="2:6" x14ac:dyDescent="0.3">
      <c r="B733" s="58" t="s">
        <v>2554</v>
      </c>
      <c r="C733" s="58">
        <v>1757434313729</v>
      </c>
      <c r="D733" s="58" t="s">
        <v>2559</v>
      </c>
      <c r="E733" s="58" t="s">
        <v>389</v>
      </c>
      <c r="F733" s="58" t="s">
        <v>394</v>
      </c>
    </row>
    <row r="734" spans="2:6" x14ac:dyDescent="0.3">
      <c r="B734" s="58" t="s">
        <v>2554</v>
      </c>
      <c r="C734" s="58">
        <v>1757434315574</v>
      </c>
      <c r="D734" s="58" t="s">
        <v>2560</v>
      </c>
      <c r="E734" s="58" t="s">
        <v>389</v>
      </c>
      <c r="F734" s="58" t="s">
        <v>515</v>
      </c>
    </row>
    <row r="735" spans="2:6" x14ac:dyDescent="0.3">
      <c r="B735" s="58" t="s">
        <v>2554</v>
      </c>
      <c r="C735" s="58">
        <v>1757434318031</v>
      </c>
      <c r="D735" s="58" t="s">
        <v>2561</v>
      </c>
      <c r="E735" s="58" t="s">
        <v>389</v>
      </c>
      <c r="F735" s="58" t="s">
        <v>1562</v>
      </c>
    </row>
    <row r="736" spans="2:6" x14ac:dyDescent="0.3">
      <c r="B736" s="58" t="s">
        <v>2554</v>
      </c>
      <c r="C736" s="58">
        <v>1757434318181</v>
      </c>
      <c r="D736" s="58" t="s">
        <v>2562</v>
      </c>
      <c r="E736" s="58" t="s">
        <v>389</v>
      </c>
      <c r="F736" s="58" t="s">
        <v>1562</v>
      </c>
    </row>
    <row r="737" spans="2:6" x14ac:dyDescent="0.3">
      <c r="B737" s="58" t="s">
        <v>2554</v>
      </c>
      <c r="C737" s="58">
        <v>1757434318321</v>
      </c>
      <c r="D737" s="58" t="s">
        <v>2563</v>
      </c>
      <c r="E737" s="58" t="s">
        <v>389</v>
      </c>
      <c r="F737" s="58" t="s">
        <v>1562</v>
      </c>
    </row>
    <row r="738" spans="2:6" x14ac:dyDescent="0.3">
      <c r="B738" s="58" t="s">
        <v>2554</v>
      </c>
      <c r="C738" s="58">
        <v>1757434318467</v>
      </c>
      <c r="D738" s="58" t="s">
        <v>2564</v>
      </c>
      <c r="E738" s="58" t="s">
        <v>389</v>
      </c>
      <c r="F738" s="58" t="s">
        <v>1562</v>
      </c>
    </row>
    <row r="739" spans="2:6" x14ac:dyDescent="0.3">
      <c r="B739" s="58" t="s">
        <v>2554</v>
      </c>
      <c r="C739" s="58">
        <v>1757434318605</v>
      </c>
      <c r="D739" s="58" t="s">
        <v>2565</v>
      </c>
      <c r="E739" s="58" t="s">
        <v>389</v>
      </c>
      <c r="F739" s="58" t="s">
        <v>1562</v>
      </c>
    </row>
    <row r="740" spans="2:6" x14ac:dyDescent="0.3">
      <c r="B740" s="58" t="s">
        <v>2554</v>
      </c>
      <c r="C740" s="58">
        <v>1757434318708</v>
      </c>
      <c r="D740" s="58" t="s">
        <v>2566</v>
      </c>
      <c r="E740" s="58" t="s">
        <v>389</v>
      </c>
      <c r="F740" s="58" t="s">
        <v>1562</v>
      </c>
    </row>
    <row r="741" spans="2:6" x14ac:dyDescent="0.3">
      <c r="B741" s="58" t="s">
        <v>2554</v>
      </c>
      <c r="C741" s="58">
        <v>1757434318834</v>
      </c>
      <c r="D741" s="58" t="s">
        <v>2567</v>
      </c>
      <c r="E741" s="58" t="s">
        <v>389</v>
      </c>
      <c r="F741" s="58" t="s">
        <v>1584</v>
      </c>
    </row>
    <row r="742" spans="2:6" x14ac:dyDescent="0.3">
      <c r="B742" s="58" t="s">
        <v>2554</v>
      </c>
      <c r="C742" s="58">
        <v>1757434318967</v>
      </c>
      <c r="D742" s="58" t="s">
        <v>2568</v>
      </c>
      <c r="E742" s="58" t="s">
        <v>389</v>
      </c>
      <c r="F742" s="58" t="s">
        <v>515</v>
      </c>
    </row>
    <row r="743" spans="2:6" x14ac:dyDescent="0.3">
      <c r="B743" s="58" t="s">
        <v>2554</v>
      </c>
      <c r="C743" s="58">
        <v>1757434319076</v>
      </c>
      <c r="D743" s="58" t="s">
        <v>2569</v>
      </c>
      <c r="E743" s="58" t="s">
        <v>389</v>
      </c>
      <c r="F743" s="58" t="s">
        <v>515</v>
      </c>
    </row>
    <row r="744" spans="2:6" x14ac:dyDescent="0.3">
      <c r="B744" s="58" t="s">
        <v>2554</v>
      </c>
      <c r="C744" s="58">
        <v>1757434319225</v>
      </c>
      <c r="D744" s="58" t="s">
        <v>2570</v>
      </c>
      <c r="E744" s="58" t="s">
        <v>389</v>
      </c>
      <c r="F744" s="58" t="s">
        <v>515</v>
      </c>
    </row>
    <row r="745" spans="2:6" x14ac:dyDescent="0.3">
      <c r="B745" s="58" t="s">
        <v>2554</v>
      </c>
      <c r="C745" s="58">
        <v>1757434319359</v>
      </c>
      <c r="D745" s="58" t="s">
        <v>2571</v>
      </c>
      <c r="E745" s="58" t="s">
        <v>389</v>
      </c>
      <c r="F745" s="58" t="s">
        <v>515</v>
      </c>
    </row>
    <row r="746" spans="2:6" x14ac:dyDescent="0.3">
      <c r="B746" s="58" t="s">
        <v>2554</v>
      </c>
      <c r="C746" s="58">
        <v>1757434319501</v>
      </c>
      <c r="D746" s="58" t="s">
        <v>2572</v>
      </c>
      <c r="E746" s="58" t="s">
        <v>389</v>
      </c>
      <c r="F746" s="58" t="s">
        <v>515</v>
      </c>
    </row>
    <row r="747" spans="2:6" x14ac:dyDescent="0.3">
      <c r="B747" s="58" t="s">
        <v>2554</v>
      </c>
      <c r="C747" s="58">
        <v>1757434319617</v>
      </c>
      <c r="D747" s="58" t="s">
        <v>2573</v>
      </c>
      <c r="E747" s="58" t="s">
        <v>389</v>
      </c>
      <c r="F747" s="58" t="s">
        <v>1584</v>
      </c>
    </row>
    <row r="748" spans="2:6" x14ac:dyDescent="0.3">
      <c r="B748" s="58" t="s">
        <v>2554</v>
      </c>
      <c r="C748" s="58">
        <v>1757434321970</v>
      </c>
      <c r="D748" s="58" t="s">
        <v>2574</v>
      </c>
      <c r="E748" s="58" t="s">
        <v>389</v>
      </c>
      <c r="F748" s="58" t="s">
        <v>2575</v>
      </c>
    </row>
    <row r="749" spans="2:6" x14ac:dyDescent="0.3">
      <c r="B749" s="58" t="s">
        <v>2554</v>
      </c>
      <c r="C749" s="58">
        <v>1757434323410</v>
      </c>
      <c r="D749" s="58" t="s">
        <v>2576</v>
      </c>
      <c r="E749" s="58" t="s">
        <v>389</v>
      </c>
      <c r="F749" s="58" t="s">
        <v>1559</v>
      </c>
    </row>
    <row r="750" spans="2:6" x14ac:dyDescent="0.3">
      <c r="B750" s="58" t="s">
        <v>2554</v>
      </c>
      <c r="C750" s="58">
        <v>1757434326260</v>
      </c>
      <c r="D750" s="58" t="s">
        <v>2577</v>
      </c>
      <c r="E750" s="58" t="s">
        <v>389</v>
      </c>
      <c r="F750" s="58" t="s">
        <v>1564</v>
      </c>
    </row>
    <row r="751" spans="2:6" x14ac:dyDescent="0.3">
      <c r="B751" s="58" t="s">
        <v>2554</v>
      </c>
      <c r="C751" s="58">
        <v>1757434327808</v>
      </c>
      <c r="D751" s="58" t="s">
        <v>2578</v>
      </c>
      <c r="E751" s="58" t="s">
        <v>389</v>
      </c>
      <c r="F751" s="58" t="s">
        <v>2579</v>
      </c>
    </row>
    <row r="752" spans="2:6" x14ac:dyDescent="0.3">
      <c r="B752" s="58" t="s">
        <v>2554</v>
      </c>
      <c r="C752" s="58">
        <v>1757434329395</v>
      </c>
      <c r="D752" s="58" t="s">
        <v>2580</v>
      </c>
      <c r="E752" s="58" t="s">
        <v>389</v>
      </c>
      <c r="F752" s="58" t="s">
        <v>2581</v>
      </c>
    </row>
    <row r="753" spans="2:7" x14ac:dyDescent="0.3">
      <c r="B753" s="58" t="s">
        <v>2554</v>
      </c>
      <c r="C753" s="58">
        <v>1757434331038</v>
      </c>
      <c r="D753" s="58" t="s">
        <v>2582</v>
      </c>
      <c r="E753" s="58" t="s">
        <v>389</v>
      </c>
      <c r="F753" s="58" t="s">
        <v>1644</v>
      </c>
    </row>
    <row r="754" spans="2:7" x14ac:dyDescent="0.3">
      <c r="B754" s="58" t="s">
        <v>2554</v>
      </c>
      <c r="C754" s="58">
        <v>1757434332365</v>
      </c>
      <c r="D754" s="58" t="s">
        <v>2583</v>
      </c>
      <c r="E754" s="58" t="s">
        <v>389</v>
      </c>
      <c r="F754" s="58" t="s">
        <v>1562</v>
      </c>
    </row>
    <row r="755" spans="2:7" x14ac:dyDescent="0.3">
      <c r="B755" s="58" t="s">
        <v>2554</v>
      </c>
      <c r="C755" s="58">
        <v>1757434339888</v>
      </c>
      <c r="D755" s="58" t="s">
        <v>2584</v>
      </c>
      <c r="E755" s="58" t="s">
        <v>422</v>
      </c>
      <c r="F755" s="58" t="s">
        <v>420</v>
      </c>
    </row>
    <row r="756" spans="2:7" x14ac:dyDescent="0.3">
      <c r="B756" s="58" t="s">
        <v>426</v>
      </c>
      <c r="C756" s="58">
        <v>1757434354566</v>
      </c>
      <c r="D756" s="58" t="s">
        <v>2585</v>
      </c>
      <c r="E756" s="58" t="s">
        <v>428</v>
      </c>
      <c r="F756" s="58" t="s">
        <v>453</v>
      </c>
      <c r="G756" s="58"/>
    </row>
    <row r="757" spans="2:7" x14ac:dyDescent="0.3">
      <c r="B757" s="58" t="s">
        <v>426</v>
      </c>
      <c r="C757" s="58">
        <v>1757434369323</v>
      </c>
      <c r="D757" s="58" t="s">
        <v>2586</v>
      </c>
      <c r="E757" s="58" t="s">
        <v>428</v>
      </c>
      <c r="F757" s="58" t="s">
        <v>447</v>
      </c>
      <c r="G757" s="58"/>
    </row>
    <row r="758" spans="2:7" x14ac:dyDescent="0.3">
      <c r="B758" s="58" t="s">
        <v>2554</v>
      </c>
      <c r="C758" s="58">
        <v>1757434372356</v>
      </c>
      <c r="D758" s="58" t="s">
        <v>2587</v>
      </c>
      <c r="E758" s="58" t="s">
        <v>424</v>
      </c>
      <c r="F758" s="58" t="s">
        <v>457</v>
      </c>
      <c r="G758" s="58"/>
    </row>
    <row r="759" spans="2:7" x14ac:dyDescent="0.3">
      <c r="B759" s="58" t="s">
        <v>2554</v>
      </c>
      <c r="C759" s="58">
        <v>1757434376294</v>
      </c>
      <c r="D759" s="58" t="s">
        <v>2588</v>
      </c>
      <c r="E759" s="58" t="s">
        <v>424</v>
      </c>
      <c r="F759" s="58" t="s">
        <v>459</v>
      </c>
      <c r="G759" s="58"/>
    </row>
    <row r="760" spans="2:7" x14ac:dyDescent="0.3">
      <c r="B760" s="58" t="s">
        <v>426</v>
      </c>
      <c r="C760" s="58">
        <v>1757434384794</v>
      </c>
      <c r="D760" s="58" t="s">
        <v>2589</v>
      </c>
      <c r="E760" s="58" t="s">
        <v>428</v>
      </c>
      <c r="F760" s="58" t="s">
        <v>429</v>
      </c>
      <c r="G760" s="58"/>
    </row>
    <row r="761" spans="2:7" x14ac:dyDescent="0.3">
      <c r="B761" s="58" t="s">
        <v>426</v>
      </c>
      <c r="C761" s="58">
        <v>1757434400250</v>
      </c>
      <c r="D761" s="58" t="s">
        <v>2590</v>
      </c>
      <c r="E761" s="58" t="s">
        <v>428</v>
      </c>
      <c r="F761" s="58" t="s">
        <v>431</v>
      </c>
      <c r="G761" s="58"/>
    </row>
    <row r="762" spans="2:7" x14ac:dyDescent="0.3">
      <c r="B762" s="58" t="s">
        <v>2554</v>
      </c>
      <c r="C762" s="58">
        <v>1757434411972</v>
      </c>
      <c r="D762" s="58" t="s">
        <v>2591</v>
      </c>
      <c r="E762" s="58" t="s">
        <v>424</v>
      </c>
      <c r="F762" s="58" t="s">
        <v>461</v>
      </c>
      <c r="G762" s="58"/>
    </row>
    <row r="763" spans="2:7" x14ac:dyDescent="0.3">
      <c r="B763" s="58" t="s">
        <v>426</v>
      </c>
      <c r="C763" s="58">
        <v>1757434419384</v>
      </c>
      <c r="D763" s="58" t="s">
        <v>2592</v>
      </c>
      <c r="E763" s="58" t="s">
        <v>428</v>
      </c>
      <c r="F763" s="58" t="s">
        <v>435</v>
      </c>
      <c r="G763" s="58"/>
    </row>
    <row r="764" spans="2:7" x14ac:dyDescent="0.3">
      <c r="B764" s="58" t="s">
        <v>2554</v>
      </c>
      <c r="C764" s="58">
        <v>1757434419448</v>
      </c>
      <c r="D764" s="58" t="s">
        <v>2593</v>
      </c>
      <c r="E764" s="58" t="s">
        <v>424</v>
      </c>
      <c r="F764" s="58" t="s">
        <v>449</v>
      </c>
      <c r="G764" s="58"/>
    </row>
    <row r="765" spans="2:7" x14ac:dyDescent="0.3">
      <c r="B765" s="58" t="s">
        <v>2554</v>
      </c>
      <c r="C765" s="58">
        <v>1757434429733</v>
      </c>
      <c r="D765" s="58" t="s">
        <v>2594</v>
      </c>
      <c r="E765" s="58" t="s">
        <v>424</v>
      </c>
      <c r="F765" s="58" t="s">
        <v>451</v>
      </c>
      <c r="G765" s="58"/>
    </row>
    <row r="766" spans="2:7" x14ac:dyDescent="0.3">
      <c r="B766" s="58" t="s">
        <v>426</v>
      </c>
      <c r="C766" s="58">
        <v>1757434438552</v>
      </c>
      <c r="D766" s="58" t="s">
        <v>2595</v>
      </c>
      <c r="E766" s="58" t="s">
        <v>428</v>
      </c>
      <c r="F766" s="58" t="s">
        <v>437</v>
      </c>
      <c r="G766" s="58"/>
    </row>
    <row r="767" spans="2:7" x14ac:dyDescent="0.3">
      <c r="B767" s="58" t="s">
        <v>2554</v>
      </c>
      <c r="C767" s="58">
        <v>1757434439405</v>
      </c>
      <c r="D767" s="58" t="s">
        <v>2596</v>
      </c>
      <c r="E767" s="58" t="s">
        <v>424</v>
      </c>
      <c r="F767" s="58" t="s">
        <v>433</v>
      </c>
      <c r="G767" s="58"/>
    </row>
    <row r="768" spans="2:7" x14ac:dyDescent="0.3">
      <c r="B768" s="58" t="s">
        <v>426</v>
      </c>
      <c r="C768" s="58">
        <v>1757434457078</v>
      </c>
      <c r="D768" s="58" t="s">
        <v>2597</v>
      </c>
      <c r="E768" s="58" t="s">
        <v>428</v>
      </c>
      <c r="F768" s="58" t="s">
        <v>439</v>
      </c>
      <c r="G768" s="58"/>
    </row>
    <row r="769" spans="1:7" x14ac:dyDescent="0.3">
      <c r="B769" s="58" t="s">
        <v>2554</v>
      </c>
      <c r="C769" s="58">
        <v>1757434467240</v>
      </c>
      <c r="D769" s="58" t="s">
        <v>2598</v>
      </c>
      <c r="E769" s="58" t="s">
        <v>424</v>
      </c>
      <c r="F769" s="58" t="s">
        <v>441</v>
      </c>
      <c r="G769" s="58"/>
    </row>
    <row r="770" spans="1:7" x14ac:dyDescent="0.3">
      <c r="B770" s="58" t="s">
        <v>2554</v>
      </c>
      <c r="C770" s="58">
        <v>1757434472236</v>
      </c>
      <c r="D770" s="58" t="s">
        <v>2599</v>
      </c>
      <c r="E770" s="58" t="s">
        <v>424</v>
      </c>
      <c r="F770" s="58" t="s">
        <v>425</v>
      </c>
      <c r="G770" s="58"/>
    </row>
    <row r="771" spans="1:7" x14ac:dyDescent="0.3">
      <c r="B771" s="58" t="s">
        <v>426</v>
      </c>
      <c r="C771" s="58">
        <v>1757434473301</v>
      </c>
      <c r="D771" s="58" t="s">
        <v>2600</v>
      </c>
      <c r="E771" s="58" t="s">
        <v>428</v>
      </c>
      <c r="F771" s="58" t="s">
        <v>538</v>
      </c>
      <c r="G771" s="58"/>
    </row>
    <row r="772" spans="1:7" x14ac:dyDescent="0.3">
      <c r="B772" s="58" t="s">
        <v>2554</v>
      </c>
      <c r="C772" s="58">
        <v>1757434479781</v>
      </c>
      <c r="D772" s="58" t="s">
        <v>2601</v>
      </c>
      <c r="E772" s="58" t="s">
        <v>424</v>
      </c>
      <c r="F772" s="58" t="s">
        <v>570</v>
      </c>
      <c r="G772" s="58"/>
    </row>
    <row r="773" spans="1:7" x14ac:dyDescent="0.3">
      <c r="B773" s="58" t="s">
        <v>426</v>
      </c>
      <c r="C773" s="58">
        <v>1757434490989</v>
      </c>
      <c r="D773" s="58" t="s">
        <v>2602</v>
      </c>
      <c r="E773" s="58" t="s">
        <v>428</v>
      </c>
      <c r="F773" s="58" t="s">
        <v>672</v>
      </c>
      <c r="G773" s="58"/>
    </row>
    <row r="774" spans="1:7" x14ac:dyDescent="0.3">
      <c r="B774" s="58" t="s">
        <v>2554</v>
      </c>
      <c r="C774" s="58">
        <v>1757434492815</v>
      </c>
      <c r="D774" s="58" t="s">
        <v>2603</v>
      </c>
      <c r="E774" s="58" t="s">
        <v>463</v>
      </c>
      <c r="F774" s="58" t="s">
        <v>464</v>
      </c>
      <c r="G774" s="58"/>
    </row>
    <row r="775" spans="1:7" ht="21" x14ac:dyDescent="0.4">
      <c r="A775" s="69" t="s">
        <v>47</v>
      </c>
      <c r="B775" s="63" t="s">
        <v>2086</v>
      </c>
      <c r="C775" s="63">
        <v>1757506559314</v>
      </c>
      <c r="D775" s="63" t="s">
        <v>2853</v>
      </c>
      <c r="E775" s="63" t="s">
        <v>416</v>
      </c>
      <c r="F775" s="63" t="s">
        <v>417</v>
      </c>
    </row>
    <row r="776" spans="1:7" x14ac:dyDescent="0.3">
      <c r="B776" s="63" t="s">
        <v>2086</v>
      </c>
      <c r="C776" s="63">
        <v>1757506573532</v>
      </c>
      <c r="D776" s="63" t="s">
        <v>2854</v>
      </c>
      <c r="E776" s="63" t="s">
        <v>419</v>
      </c>
      <c r="F776" s="63" t="s">
        <v>420</v>
      </c>
    </row>
    <row r="777" spans="1:7" x14ac:dyDescent="0.3">
      <c r="B777" s="63" t="s">
        <v>2086</v>
      </c>
      <c r="C777" s="63">
        <v>1757506573590</v>
      </c>
      <c r="D777" s="63" t="s">
        <v>2855</v>
      </c>
      <c r="E777" s="63" t="s">
        <v>389</v>
      </c>
      <c r="F777" s="63" t="s">
        <v>2856</v>
      </c>
    </row>
    <row r="778" spans="1:7" x14ac:dyDescent="0.3">
      <c r="B778" s="63" t="s">
        <v>2086</v>
      </c>
      <c r="C778" s="63">
        <v>1757506573668</v>
      </c>
      <c r="D778" s="63" t="s">
        <v>2857</v>
      </c>
      <c r="E778" s="63" t="s">
        <v>389</v>
      </c>
      <c r="F778" s="63" t="s">
        <v>2737</v>
      </c>
    </row>
    <row r="779" spans="1:7" x14ac:dyDescent="0.3">
      <c r="B779" s="63" t="s">
        <v>2086</v>
      </c>
      <c r="C779" s="63">
        <v>1757506573739</v>
      </c>
      <c r="D779" s="63" t="s">
        <v>2858</v>
      </c>
      <c r="E779" s="63" t="s">
        <v>389</v>
      </c>
      <c r="F779" s="63" t="s">
        <v>2739</v>
      </c>
    </row>
    <row r="780" spans="1:7" x14ac:dyDescent="0.3">
      <c r="B780" s="63" t="s">
        <v>2086</v>
      </c>
      <c r="C780" s="63">
        <v>1757506573795</v>
      </c>
      <c r="D780" s="63" t="s">
        <v>2859</v>
      </c>
      <c r="E780" s="63" t="s">
        <v>389</v>
      </c>
      <c r="F780" s="63" t="s">
        <v>2737</v>
      </c>
    </row>
    <row r="781" spans="1:7" x14ac:dyDescent="0.3">
      <c r="B781" s="63" t="s">
        <v>2086</v>
      </c>
      <c r="C781" s="63">
        <v>1757506573842</v>
      </c>
      <c r="D781" s="63" t="s">
        <v>2860</v>
      </c>
      <c r="E781" s="63" t="s">
        <v>389</v>
      </c>
      <c r="F781" s="63" t="s">
        <v>406</v>
      </c>
    </row>
    <row r="782" spans="1:7" x14ac:dyDescent="0.3">
      <c r="B782" s="63" t="s">
        <v>2086</v>
      </c>
      <c r="C782" s="63">
        <v>1757506592303</v>
      </c>
      <c r="D782" s="63" t="s">
        <v>2861</v>
      </c>
      <c r="E782" s="63" t="s">
        <v>389</v>
      </c>
      <c r="F782" s="63" t="s">
        <v>1763</v>
      </c>
    </row>
    <row r="783" spans="1:7" x14ac:dyDescent="0.3">
      <c r="B783" s="63" t="s">
        <v>2086</v>
      </c>
      <c r="C783" s="63">
        <v>1757506592375</v>
      </c>
      <c r="D783" s="63" t="s">
        <v>2862</v>
      </c>
      <c r="E783" s="63" t="s">
        <v>389</v>
      </c>
      <c r="F783" s="63" t="s">
        <v>2756</v>
      </c>
    </row>
    <row r="784" spans="1:7" x14ac:dyDescent="0.3">
      <c r="B784" s="63" t="s">
        <v>2086</v>
      </c>
      <c r="C784" s="63">
        <v>1757506592453</v>
      </c>
      <c r="D784" s="63" t="s">
        <v>2863</v>
      </c>
      <c r="E784" s="63" t="s">
        <v>389</v>
      </c>
      <c r="F784" s="63" t="s">
        <v>1763</v>
      </c>
    </row>
    <row r="785" spans="2:6" x14ac:dyDescent="0.3">
      <c r="B785" s="63" t="s">
        <v>2086</v>
      </c>
      <c r="C785" s="63">
        <v>1757506592554</v>
      </c>
      <c r="D785" s="63" t="s">
        <v>2864</v>
      </c>
      <c r="E785" s="63" t="s">
        <v>389</v>
      </c>
      <c r="F785" s="63" t="s">
        <v>2756</v>
      </c>
    </row>
    <row r="786" spans="2:6" x14ac:dyDescent="0.3">
      <c r="B786" s="63" t="s">
        <v>2086</v>
      </c>
      <c r="C786" s="63">
        <v>1757506593830</v>
      </c>
      <c r="D786" s="63" t="s">
        <v>2865</v>
      </c>
      <c r="E786" s="63" t="s">
        <v>389</v>
      </c>
      <c r="F786" s="63" t="s">
        <v>1765</v>
      </c>
    </row>
    <row r="787" spans="2:6" x14ac:dyDescent="0.3">
      <c r="B787" s="63" t="s">
        <v>2086</v>
      </c>
      <c r="C787" s="63">
        <v>1757506611415</v>
      </c>
      <c r="D787" s="63" t="s">
        <v>2866</v>
      </c>
      <c r="E787" s="63" t="s">
        <v>389</v>
      </c>
      <c r="F787" s="63" t="s">
        <v>979</v>
      </c>
    </row>
    <row r="788" spans="2:6" x14ac:dyDescent="0.3">
      <c r="B788" s="63" t="s">
        <v>2086</v>
      </c>
      <c r="C788" s="63">
        <v>1757506613147</v>
      </c>
      <c r="D788" s="63" t="s">
        <v>2867</v>
      </c>
      <c r="E788" s="63" t="s">
        <v>389</v>
      </c>
      <c r="F788" s="63" t="s">
        <v>659</v>
      </c>
    </row>
    <row r="789" spans="2:6" x14ac:dyDescent="0.3">
      <c r="B789" s="63" t="s">
        <v>2086</v>
      </c>
      <c r="C789" s="63">
        <v>1757506614535</v>
      </c>
      <c r="D789" s="63" t="s">
        <v>2868</v>
      </c>
      <c r="E789" s="63" t="s">
        <v>389</v>
      </c>
      <c r="F789" s="63" t="s">
        <v>2869</v>
      </c>
    </row>
    <row r="790" spans="2:6" x14ac:dyDescent="0.3">
      <c r="B790" s="63" t="s">
        <v>2086</v>
      </c>
      <c r="C790" s="63">
        <v>1757506621950</v>
      </c>
      <c r="D790" s="63" t="s">
        <v>2870</v>
      </c>
      <c r="E790" s="63" t="s">
        <v>389</v>
      </c>
      <c r="F790" s="63" t="s">
        <v>1694</v>
      </c>
    </row>
    <row r="791" spans="2:6" x14ac:dyDescent="0.3">
      <c r="B791" s="63" t="s">
        <v>2086</v>
      </c>
      <c r="C791" s="63">
        <v>1757506623318</v>
      </c>
      <c r="D791" s="63" t="s">
        <v>2871</v>
      </c>
      <c r="E791" s="63" t="s">
        <v>389</v>
      </c>
      <c r="F791" s="63" t="s">
        <v>1126</v>
      </c>
    </row>
    <row r="792" spans="2:6" x14ac:dyDescent="0.3">
      <c r="B792" s="63" t="s">
        <v>2086</v>
      </c>
      <c r="C792" s="63">
        <v>1757506624481</v>
      </c>
      <c r="D792" s="63" t="s">
        <v>2872</v>
      </c>
      <c r="E792" s="63" t="s">
        <v>389</v>
      </c>
      <c r="F792" s="63" t="s">
        <v>2350</v>
      </c>
    </row>
    <row r="793" spans="2:6" x14ac:dyDescent="0.3">
      <c r="B793" s="63" t="s">
        <v>2086</v>
      </c>
      <c r="C793" s="63">
        <v>1757506628719</v>
      </c>
      <c r="D793" s="63" t="s">
        <v>2873</v>
      </c>
      <c r="E793" s="63" t="s">
        <v>389</v>
      </c>
      <c r="F793" s="63" t="s">
        <v>2874</v>
      </c>
    </row>
    <row r="794" spans="2:6" x14ac:dyDescent="0.3">
      <c r="B794" s="63" t="s">
        <v>2086</v>
      </c>
      <c r="C794" s="63">
        <v>1757506630129</v>
      </c>
      <c r="D794" s="63" t="s">
        <v>2875</v>
      </c>
      <c r="E794" s="63" t="s">
        <v>389</v>
      </c>
      <c r="F794" s="63" t="s">
        <v>2748</v>
      </c>
    </row>
    <row r="795" spans="2:6" x14ac:dyDescent="0.3">
      <c r="B795" s="63" t="s">
        <v>2086</v>
      </c>
      <c r="C795" s="63">
        <v>1757506631710</v>
      </c>
      <c r="D795" s="63" t="s">
        <v>2876</v>
      </c>
      <c r="E795" s="63" t="s">
        <v>389</v>
      </c>
      <c r="F795" s="63" t="s">
        <v>1644</v>
      </c>
    </row>
    <row r="796" spans="2:6" x14ac:dyDescent="0.3">
      <c r="B796" s="63" t="s">
        <v>2086</v>
      </c>
      <c r="C796" s="63">
        <v>1757506633092</v>
      </c>
      <c r="D796" s="63" t="s">
        <v>2877</v>
      </c>
      <c r="E796" s="63" t="s">
        <v>389</v>
      </c>
      <c r="F796" s="63" t="s">
        <v>1562</v>
      </c>
    </row>
    <row r="797" spans="2:6" x14ac:dyDescent="0.3">
      <c r="B797" s="63" t="s">
        <v>2086</v>
      </c>
      <c r="C797" s="63">
        <v>1757506646718</v>
      </c>
      <c r="D797" s="63" t="s">
        <v>2878</v>
      </c>
      <c r="E797" s="63" t="s">
        <v>389</v>
      </c>
      <c r="F797" s="63" t="s">
        <v>2879</v>
      </c>
    </row>
    <row r="798" spans="2:6" x14ac:dyDescent="0.3">
      <c r="B798" s="63" t="s">
        <v>2086</v>
      </c>
      <c r="C798" s="63">
        <v>1757506658411</v>
      </c>
      <c r="D798" s="63" t="s">
        <v>2880</v>
      </c>
      <c r="E798" s="63" t="s">
        <v>389</v>
      </c>
      <c r="F798" s="63" t="s">
        <v>1576</v>
      </c>
    </row>
    <row r="799" spans="2:6" x14ac:dyDescent="0.3">
      <c r="B799" s="63" t="s">
        <v>2086</v>
      </c>
      <c r="C799" s="63">
        <v>1757506661891</v>
      </c>
      <c r="D799" s="63" t="s">
        <v>2881</v>
      </c>
      <c r="E799" s="63" t="s">
        <v>389</v>
      </c>
      <c r="F799" s="63" t="s">
        <v>1564</v>
      </c>
    </row>
    <row r="800" spans="2:6" x14ac:dyDescent="0.3">
      <c r="B800" s="63" t="s">
        <v>2086</v>
      </c>
      <c r="C800" s="63">
        <v>1757506703503</v>
      </c>
      <c r="D800" s="63" t="s">
        <v>2882</v>
      </c>
      <c r="E800" s="63" t="s">
        <v>389</v>
      </c>
      <c r="F800" s="63" t="s">
        <v>1581</v>
      </c>
    </row>
    <row r="801" spans="2:6" x14ac:dyDescent="0.3">
      <c r="B801" s="63" t="s">
        <v>2086</v>
      </c>
      <c r="C801" s="63">
        <v>1757506706532</v>
      </c>
      <c r="D801" s="63" t="s">
        <v>2883</v>
      </c>
      <c r="E801" s="63" t="s">
        <v>389</v>
      </c>
      <c r="F801" s="63" t="s">
        <v>1564</v>
      </c>
    </row>
    <row r="802" spans="2:6" x14ac:dyDescent="0.3">
      <c r="B802" s="63" t="s">
        <v>2086</v>
      </c>
      <c r="C802" s="63">
        <v>1757506735304</v>
      </c>
      <c r="D802" s="63" t="s">
        <v>2884</v>
      </c>
      <c r="E802" s="63" t="s">
        <v>422</v>
      </c>
      <c r="F802" s="63" t="s">
        <v>420</v>
      </c>
    </row>
    <row r="803" spans="2:6" x14ac:dyDescent="0.3">
      <c r="B803" s="63" t="s">
        <v>426</v>
      </c>
      <c r="C803" s="63">
        <v>1757506752944</v>
      </c>
      <c r="D803" s="63" t="s">
        <v>2885</v>
      </c>
      <c r="E803" s="63" t="s">
        <v>428</v>
      </c>
      <c r="F803" s="63" t="s">
        <v>453</v>
      </c>
    </row>
    <row r="804" spans="2:6" x14ac:dyDescent="0.3">
      <c r="B804" s="63" t="s">
        <v>2086</v>
      </c>
      <c r="C804" s="63">
        <v>1757506765584</v>
      </c>
      <c r="D804" s="63" t="s">
        <v>2886</v>
      </c>
      <c r="E804" s="63" t="s">
        <v>424</v>
      </c>
      <c r="F804" s="63" t="s">
        <v>457</v>
      </c>
    </row>
    <row r="805" spans="2:6" x14ac:dyDescent="0.3">
      <c r="B805" s="63" t="s">
        <v>426</v>
      </c>
      <c r="C805" s="63">
        <v>1757506768444</v>
      </c>
      <c r="D805" s="63" t="s">
        <v>2887</v>
      </c>
      <c r="E805" s="63" t="s">
        <v>428</v>
      </c>
      <c r="F805" s="63" t="s">
        <v>447</v>
      </c>
    </row>
    <row r="806" spans="2:6" x14ac:dyDescent="0.3">
      <c r="B806" s="63" t="s">
        <v>2086</v>
      </c>
      <c r="C806" s="63">
        <v>1757506771108</v>
      </c>
      <c r="D806" s="63" t="s">
        <v>2888</v>
      </c>
      <c r="E806" s="63" t="s">
        <v>424</v>
      </c>
      <c r="F806" s="63" t="s">
        <v>459</v>
      </c>
    </row>
    <row r="807" spans="2:6" x14ac:dyDescent="0.3">
      <c r="B807" s="63" t="s">
        <v>426</v>
      </c>
      <c r="C807" s="63">
        <v>1757506786110</v>
      </c>
      <c r="D807" s="63" t="s">
        <v>2889</v>
      </c>
      <c r="E807" s="63" t="s">
        <v>428</v>
      </c>
      <c r="F807" s="63" t="s">
        <v>429</v>
      </c>
    </row>
    <row r="808" spans="2:6" x14ac:dyDescent="0.3">
      <c r="B808" s="63" t="s">
        <v>2086</v>
      </c>
      <c r="C808" s="63">
        <v>1757506787083</v>
      </c>
      <c r="D808" s="63" t="s">
        <v>2890</v>
      </c>
      <c r="E808" s="63" t="s">
        <v>424</v>
      </c>
      <c r="F808" s="63" t="s">
        <v>461</v>
      </c>
    </row>
    <row r="809" spans="2:6" x14ac:dyDescent="0.3">
      <c r="B809" s="63" t="s">
        <v>2086</v>
      </c>
      <c r="C809" s="63">
        <v>1757506792661</v>
      </c>
      <c r="D809" s="63" t="s">
        <v>2891</v>
      </c>
      <c r="E809" s="63" t="s">
        <v>424</v>
      </c>
      <c r="F809" s="63" t="s">
        <v>449</v>
      </c>
    </row>
    <row r="810" spans="2:6" x14ac:dyDescent="0.3">
      <c r="B810" s="63" t="s">
        <v>2086</v>
      </c>
      <c r="C810" s="63">
        <v>1757506799534</v>
      </c>
      <c r="D810" s="63" t="s">
        <v>2892</v>
      </c>
      <c r="E810" s="63" t="s">
        <v>424</v>
      </c>
      <c r="F810" s="63" t="s">
        <v>451</v>
      </c>
    </row>
    <row r="811" spans="2:6" x14ac:dyDescent="0.3">
      <c r="B811" s="63" t="s">
        <v>426</v>
      </c>
      <c r="C811" s="63">
        <v>1757506802967</v>
      </c>
      <c r="D811" s="63" t="s">
        <v>2893</v>
      </c>
      <c r="E811" s="63" t="s">
        <v>428</v>
      </c>
      <c r="F811" s="63" t="s">
        <v>523</v>
      </c>
    </row>
    <row r="812" spans="2:6" x14ac:dyDescent="0.3">
      <c r="B812" s="63" t="s">
        <v>2086</v>
      </c>
      <c r="C812" s="63">
        <v>1757506804653</v>
      </c>
      <c r="D812" s="63" t="s">
        <v>2894</v>
      </c>
      <c r="E812" s="63" t="s">
        <v>424</v>
      </c>
      <c r="F812" s="63" t="s">
        <v>667</v>
      </c>
    </row>
    <row r="813" spans="2:6" x14ac:dyDescent="0.3">
      <c r="B813" s="63" t="s">
        <v>2086</v>
      </c>
      <c r="C813" s="63">
        <v>1757506815412</v>
      </c>
      <c r="D813" s="63" t="s">
        <v>2895</v>
      </c>
      <c r="E813" s="63" t="s">
        <v>424</v>
      </c>
      <c r="F813" s="63" t="s">
        <v>433</v>
      </c>
    </row>
    <row r="814" spans="2:6" x14ac:dyDescent="0.3">
      <c r="B814" s="63" t="s">
        <v>426</v>
      </c>
      <c r="C814" s="63">
        <v>1757506818415</v>
      </c>
      <c r="D814" s="63" t="s">
        <v>2896</v>
      </c>
      <c r="E814" s="63" t="s">
        <v>428</v>
      </c>
      <c r="F814" s="63" t="s">
        <v>435</v>
      </c>
    </row>
    <row r="815" spans="2:6" x14ac:dyDescent="0.3">
      <c r="B815" s="63" t="s">
        <v>2086</v>
      </c>
      <c r="C815" s="63">
        <v>1757506820759</v>
      </c>
      <c r="D815" s="63" t="s">
        <v>2897</v>
      </c>
      <c r="E815" s="63" t="s">
        <v>424</v>
      </c>
      <c r="F815" s="63" t="s">
        <v>443</v>
      </c>
    </row>
    <row r="816" spans="2:6" x14ac:dyDescent="0.3">
      <c r="B816" s="63" t="s">
        <v>2086</v>
      </c>
      <c r="C816" s="63">
        <v>1757506825925</v>
      </c>
      <c r="D816" s="63" t="s">
        <v>2898</v>
      </c>
      <c r="E816" s="63" t="s">
        <v>424</v>
      </c>
      <c r="F816" s="63" t="s">
        <v>445</v>
      </c>
    </row>
    <row r="817" spans="2:6" x14ac:dyDescent="0.3">
      <c r="B817" s="63" t="s">
        <v>426</v>
      </c>
      <c r="C817" s="63">
        <v>1757506833112</v>
      </c>
      <c r="D817" s="63" t="s">
        <v>2899</v>
      </c>
      <c r="E817" s="63" t="s">
        <v>428</v>
      </c>
      <c r="F817" s="63" t="s">
        <v>437</v>
      </c>
    </row>
    <row r="818" spans="2:6" x14ac:dyDescent="0.3">
      <c r="B818" s="63" t="s">
        <v>426</v>
      </c>
      <c r="C818" s="63">
        <v>1757506849327</v>
      </c>
      <c r="D818" s="63" t="s">
        <v>2900</v>
      </c>
      <c r="E818" s="63" t="s">
        <v>428</v>
      </c>
      <c r="F818" s="63" t="s">
        <v>439</v>
      </c>
    </row>
    <row r="819" spans="2:6" x14ac:dyDescent="0.3">
      <c r="B819" s="63" t="s">
        <v>2086</v>
      </c>
      <c r="C819" s="63">
        <v>1757506860088</v>
      </c>
      <c r="D819" s="63" t="s">
        <v>2901</v>
      </c>
      <c r="E819" s="63" t="s">
        <v>424</v>
      </c>
      <c r="F819" s="63" t="s">
        <v>441</v>
      </c>
    </row>
    <row r="820" spans="2:6" x14ac:dyDescent="0.3">
      <c r="B820" s="63" t="s">
        <v>2086</v>
      </c>
      <c r="C820" s="63">
        <v>1757506863808</v>
      </c>
      <c r="D820" s="63" t="s">
        <v>2902</v>
      </c>
      <c r="E820" s="63" t="s">
        <v>424</v>
      </c>
      <c r="F820" s="63" t="s">
        <v>570</v>
      </c>
    </row>
    <row r="821" spans="2:6" x14ac:dyDescent="0.3">
      <c r="B821" s="63" t="s">
        <v>2086</v>
      </c>
      <c r="C821" s="63">
        <v>1757506865989</v>
      </c>
      <c r="D821" s="63" t="s">
        <v>2903</v>
      </c>
      <c r="E821" s="63" t="s">
        <v>463</v>
      </c>
      <c r="F821" s="63" t="s">
        <v>464</v>
      </c>
    </row>
    <row r="822" spans="2:6" x14ac:dyDescent="0.3">
      <c r="B822" s="58" t="s">
        <v>2120</v>
      </c>
      <c r="C822" s="58">
        <v>1757506876079</v>
      </c>
      <c r="D822" s="58" t="s">
        <v>2904</v>
      </c>
      <c r="E822" s="58" t="s">
        <v>416</v>
      </c>
      <c r="F822" s="58" t="s">
        <v>466</v>
      </c>
    </row>
    <row r="823" spans="2:6" x14ac:dyDescent="0.3">
      <c r="B823" s="58" t="s">
        <v>2120</v>
      </c>
      <c r="C823" s="58">
        <v>1757506876183</v>
      </c>
      <c r="D823" s="58" t="s">
        <v>2905</v>
      </c>
      <c r="E823" s="58" t="s">
        <v>468</v>
      </c>
      <c r="F823" s="58" t="s">
        <v>2906</v>
      </c>
    </row>
    <row r="824" spans="2:6" x14ac:dyDescent="0.3">
      <c r="B824" s="58" t="s">
        <v>2120</v>
      </c>
      <c r="C824" s="58">
        <v>1757506876686</v>
      </c>
      <c r="D824" s="58" t="s">
        <v>2907</v>
      </c>
      <c r="E824" s="58" t="s">
        <v>419</v>
      </c>
      <c r="F824" s="58" t="s">
        <v>420</v>
      </c>
    </row>
    <row r="825" spans="2:6" x14ac:dyDescent="0.3">
      <c r="B825" s="58" t="s">
        <v>2120</v>
      </c>
      <c r="C825" s="58">
        <v>1757506900100</v>
      </c>
      <c r="D825" s="58" t="s">
        <v>2908</v>
      </c>
      <c r="E825" s="58" t="s">
        <v>389</v>
      </c>
      <c r="F825" s="58" t="s">
        <v>2909</v>
      </c>
    </row>
    <row r="826" spans="2:6" x14ac:dyDescent="0.3">
      <c r="B826" s="58" t="s">
        <v>2120</v>
      </c>
      <c r="C826" s="58">
        <v>1757506900162</v>
      </c>
      <c r="D826" s="58" t="s">
        <v>2910</v>
      </c>
      <c r="E826" s="58" t="s">
        <v>389</v>
      </c>
      <c r="F826" s="58" t="s">
        <v>2909</v>
      </c>
    </row>
    <row r="827" spans="2:6" x14ac:dyDescent="0.3">
      <c r="B827" s="58" t="s">
        <v>2120</v>
      </c>
      <c r="C827" s="58">
        <v>1757506900224</v>
      </c>
      <c r="D827" s="58" t="s">
        <v>2911</v>
      </c>
      <c r="E827" s="58" t="s">
        <v>389</v>
      </c>
      <c r="F827" s="58" t="s">
        <v>2909</v>
      </c>
    </row>
    <row r="828" spans="2:6" x14ac:dyDescent="0.3">
      <c r="B828" s="58" t="s">
        <v>2120</v>
      </c>
      <c r="C828" s="58">
        <v>1757506900287</v>
      </c>
      <c r="D828" s="58" t="s">
        <v>2912</v>
      </c>
      <c r="E828" s="58" t="s">
        <v>389</v>
      </c>
      <c r="F828" s="58" t="s">
        <v>2575</v>
      </c>
    </row>
    <row r="829" spans="2:6" x14ac:dyDescent="0.3">
      <c r="B829" s="58" t="s">
        <v>2120</v>
      </c>
      <c r="C829" s="58">
        <v>1757506900349</v>
      </c>
      <c r="D829" s="58" t="s">
        <v>2913</v>
      </c>
      <c r="E829" s="58" t="s">
        <v>389</v>
      </c>
      <c r="F829" s="58" t="s">
        <v>2879</v>
      </c>
    </row>
    <row r="830" spans="2:6" x14ac:dyDescent="0.3">
      <c r="B830" s="58" t="s">
        <v>2120</v>
      </c>
      <c r="C830" s="58">
        <v>1757506900405</v>
      </c>
      <c r="D830" s="58" t="s">
        <v>2914</v>
      </c>
      <c r="E830" s="58" t="s">
        <v>389</v>
      </c>
      <c r="F830" s="58" t="s">
        <v>2879</v>
      </c>
    </row>
    <row r="831" spans="2:6" x14ac:dyDescent="0.3">
      <c r="B831" s="58" t="s">
        <v>2120</v>
      </c>
      <c r="C831" s="58">
        <v>1757506900495</v>
      </c>
      <c r="D831" s="58" t="s">
        <v>2915</v>
      </c>
      <c r="E831" s="58" t="s">
        <v>389</v>
      </c>
      <c r="F831" s="58" t="s">
        <v>2879</v>
      </c>
    </row>
    <row r="832" spans="2:6" x14ac:dyDescent="0.3">
      <c r="B832" s="58" t="s">
        <v>2120</v>
      </c>
      <c r="C832" s="58">
        <v>1757506900544</v>
      </c>
      <c r="D832" s="58" t="s">
        <v>2916</v>
      </c>
      <c r="E832" s="58" t="s">
        <v>389</v>
      </c>
      <c r="F832" s="58" t="s">
        <v>2879</v>
      </c>
    </row>
    <row r="833" spans="2:6" x14ac:dyDescent="0.3">
      <c r="B833" s="58" t="s">
        <v>2120</v>
      </c>
      <c r="C833" s="58">
        <v>1757506900591</v>
      </c>
      <c r="D833" s="58" t="s">
        <v>2917</v>
      </c>
      <c r="E833" s="58" t="s">
        <v>389</v>
      </c>
      <c r="F833" s="58" t="s">
        <v>2879</v>
      </c>
    </row>
    <row r="834" spans="2:6" x14ac:dyDescent="0.3">
      <c r="B834" s="58" t="s">
        <v>2120</v>
      </c>
      <c r="C834" s="58">
        <v>1757506900638</v>
      </c>
      <c r="D834" s="58" t="s">
        <v>2918</v>
      </c>
      <c r="E834" s="58" t="s">
        <v>389</v>
      </c>
      <c r="F834" s="58" t="s">
        <v>2879</v>
      </c>
    </row>
    <row r="835" spans="2:6" x14ac:dyDescent="0.3">
      <c r="B835" s="58" t="s">
        <v>2120</v>
      </c>
      <c r="C835" s="58">
        <v>1757506901312</v>
      </c>
      <c r="D835" s="58" t="s">
        <v>2919</v>
      </c>
      <c r="E835" s="58" t="s">
        <v>389</v>
      </c>
      <c r="F835" s="58" t="s">
        <v>394</v>
      </c>
    </row>
    <row r="836" spans="2:6" x14ac:dyDescent="0.3">
      <c r="B836" s="58" t="s">
        <v>2120</v>
      </c>
      <c r="C836" s="58">
        <v>1757506909145</v>
      </c>
      <c r="D836" s="58" t="s">
        <v>2920</v>
      </c>
      <c r="E836" s="58" t="s">
        <v>389</v>
      </c>
      <c r="F836" s="58" t="s">
        <v>1926</v>
      </c>
    </row>
    <row r="837" spans="2:6" x14ac:dyDescent="0.3">
      <c r="B837" s="58" t="s">
        <v>2120</v>
      </c>
      <c r="C837" s="58">
        <v>1757506918950</v>
      </c>
      <c r="D837" s="58" t="s">
        <v>2921</v>
      </c>
      <c r="E837" s="58" t="s">
        <v>389</v>
      </c>
      <c r="F837" s="58" t="s">
        <v>2348</v>
      </c>
    </row>
    <row r="838" spans="2:6" x14ac:dyDescent="0.3">
      <c r="B838" s="58" t="s">
        <v>2120</v>
      </c>
      <c r="C838" s="58">
        <v>1757506919099</v>
      </c>
      <c r="D838" s="58" t="s">
        <v>2922</v>
      </c>
      <c r="E838" s="58" t="s">
        <v>389</v>
      </c>
      <c r="F838" s="58" t="s">
        <v>2350</v>
      </c>
    </row>
    <row r="839" spans="2:6" x14ac:dyDescent="0.3">
      <c r="B839" s="58" t="s">
        <v>2120</v>
      </c>
      <c r="C839" s="58">
        <v>1757506919188</v>
      </c>
      <c r="D839" s="58" t="s">
        <v>2923</v>
      </c>
      <c r="E839" s="58" t="s">
        <v>389</v>
      </c>
      <c r="F839" s="58" t="s">
        <v>2348</v>
      </c>
    </row>
    <row r="840" spans="2:6" x14ac:dyDescent="0.3">
      <c r="B840" s="58" t="s">
        <v>2120</v>
      </c>
      <c r="C840" s="58">
        <v>1757506919255</v>
      </c>
      <c r="D840" s="58" t="s">
        <v>2924</v>
      </c>
      <c r="E840" s="58" t="s">
        <v>389</v>
      </c>
      <c r="F840" s="58" t="s">
        <v>2350</v>
      </c>
    </row>
    <row r="841" spans="2:6" x14ac:dyDescent="0.3">
      <c r="B841" s="58" t="s">
        <v>2120</v>
      </c>
      <c r="C841" s="58">
        <v>1757506919897</v>
      </c>
      <c r="D841" s="58" t="s">
        <v>2925</v>
      </c>
      <c r="E841" s="58" t="s">
        <v>389</v>
      </c>
      <c r="F841" s="58" t="s">
        <v>1141</v>
      </c>
    </row>
    <row r="842" spans="2:6" x14ac:dyDescent="0.3">
      <c r="B842" s="58" t="s">
        <v>2120</v>
      </c>
      <c r="C842" s="58">
        <v>1757506921436</v>
      </c>
      <c r="D842" s="58" t="s">
        <v>2926</v>
      </c>
      <c r="E842" s="58" t="s">
        <v>389</v>
      </c>
      <c r="F842" s="58" t="s">
        <v>1466</v>
      </c>
    </row>
    <row r="843" spans="2:6" x14ac:dyDescent="0.3">
      <c r="B843" s="58" t="s">
        <v>2120</v>
      </c>
      <c r="C843" s="58">
        <v>1757506925381</v>
      </c>
      <c r="D843" s="58" t="s">
        <v>2927</v>
      </c>
      <c r="E843" s="58" t="s">
        <v>389</v>
      </c>
      <c r="F843" s="58" t="s">
        <v>2750</v>
      </c>
    </row>
    <row r="844" spans="2:6" x14ac:dyDescent="0.3">
      <c r="B844" s="58" t="s">
        <v>2120</v>
      </c>
      <c r="C844" s="58">
        <v>1757506939618</v>
      </c>
      <c r="D844" s="58" t="s">
        <v>2928</v>
      </c>
      <c r="E844" s="58" t="s">
        <v>422</v>
      </c>
      <c r="F844" s="58" t="s">
        <v>420</v>
      </c>
    </row>
    <row r="845" spans="2:6" x14ac:dyDescent="0.3">
      <c r="B845" s="58" t="s">
        <v>2120</v>
      </c>
      <c r="C845" s="58">
        <v>1757506950003</v>
      </c>
      <c r="D845" s="58" t="s">
        <v>2929</v>
      </c>
      <c r="E845" s="58" t="s">
        <v>424</v>
      </c>
      <c r="F845" s="58" t="s">
        <v>570</v>
      </c>
    </row>
    <row r="846" spans="2:6" x14ac:dyDescent="0.3">
      <c r="B846" s="58" t="s">
        <v>426</v>
      </c>
      <c r="C846" s="58">
        <v>1757506954292</v>
      </c>
      <c r="D846" s="58" t="s">
        <v>2930</v>
      </c>
      <c r="E846" s="58" t="s">
        <v>428</v>
      </c>
      <c r="F846" s="58" t="s">
        <v>453</v>
      </c>
    </row>
    <row r="847" spans="2:6" x14ac:dyDescent="0.3">
      <c r="B847" s="58" t="s">
        <v>2120</v>
      </c>
      <c r="C847" s="58">
        <v>1757506957328</v>
      </c>
      <c r="D847" s="58" t="s">
        <v>2931</v>
      </c>
      <c r="E847" s="58" t="s">
        <v>424</v>
      </c>
      <c r="F847" s="58" t="s">
        <v>425</v>
      </c>
    </row>
    <row r="848" spans="2:6" x14ac:dyDescent="0.3">
      <c r="B848" s="58" t="s">
        <v>426</v>
      </c>
      <c r="C848" s="58">
        <v>1757506969061</v>
      </c>
      <c r="D848" s="58" t="s">
        <v>2932</v>
      </c>
      <c r="E848" s="58" t="s">
        <v>428</v>
      </c>
      <c r="F848" s="58" t="s">
        <v>429</v>
      </c>
    </row>
    <row r="849" spans="1:6" x14ac:dyDescent="0.3">
      <c r="B849" s="58" t="s">
        <v>2120</v>
      </c>
      <c r="C849" s="58">
        <v>1757506979029</v>
      </c>
      <c r="D849" s="58" t="s">
        <v>2933</v>
      </c>
      <c r="E849" s="58" t="s">
        <v>424</v>
      </c>
      <c r="F849" s="58" t="s">
        <v>457</v>
      </c>
    </row>
    <row r="850" spans="1:6" x14ac:dyDescent="0.3">
      <c r="B850" s="58" t="s">
        <v>426</v>
      </c>
      <c r="C850" s="58">
        <v>1757506983817</v>
      </c>
      <c r="D850" s="58" t="s">
        <v>2934</v>
      </c>
      <c r="E850" s="58" t="s">
        <v>428</v>
      </c>
      <c r="F850" s="58" t="s">
        <v>431</v>
      </c>
    </row>
    <row r="851" spans="1:6" x14ac:dyDescent="0.3">
      <c r="B851" s="58" t="s">
        <v>426</v>
      </c>
      <c r="C851" s="58">
        <v>1757507002975</v>
      </c>
      <c r="D851" s="58" t="s">
        <v>2935</v>
      </c>
      <c r="E851" s="58" t="s">
        <v>428</v>
      </c>
      <c r="F851" s="58" t="s">
        <v>435</v>
      </c>
    </row>
    <row r="852" spans="1:6" x14ac:dyDescent="0.3">
      <c r="B852" s="58" t="s">
        <v>2120</v>
      </c>
      <c r="C852" s="58">
        <v>1757507003465</v>
      </c>
      <c r="D852" s="58" t="s">
        <v>2936</v>
      </c>
      <c r="E852" s="58" t="s">
        <v>424</v>
      </c>
      <c r="F852" s="58" t="s">
        <v>459</v>
      </c>
    </row>
    <row r="853" spans="1:6" x14ac:dyDescent="0.3">
      <c r="B853" s="58" t="s">
        <v>2120</v>
      </c>
      <c r="C853" s="58">
        <v>1757507004372</v>
      </c>
      <c r="D853" s="58" t="s">
        <v>2937</v>
      </c>
      <c r="E853" s="58" t="s">
        <v>424</v>
      </c>
      <c r="F853" s="58" t="s">
        <v>461</v>
      </c>
    </row>
    <row r="854" spans="1:6" x14ac:dyDescent="0.3">
      <c r="B854" s="58" t="s">
        <v>2120</v>
      </c>
      <c r="C854" s="58">
        <v>1757507011729</v>
      </c>
      <c r="D854" s="58" t="s">
        <v>2938</v>
      </c>
      <c r="E854" s="58" t="s">
        <v>424</v>
      </c>
      <c r="F854" s="58" t="s">
        <v>433</v>
      </c>
    </row>
    <row r="855" spans="1:6" x14ac:dyDescent="0.3">
      <c r="B855" s="58" t="s">
        <v>2120</v>
      </c>
      <c r="C855" s="58">
        <v>1757507018345</v>
      </c>
      <c r="D855" s="58" t="s">
        <v>2939</v>
      </c>
      <c r="E855" s="58" t="s">
        <v>424</v>
      </c>
      <c r="F855" s="58" t="s">
        <v>551</v>
      </c>
    </row>
    <row r="856" spans="1:6" x14ac:dyDescent="0.3">
      <c r="B856" s="58" t="s">
        <v>426</v>
      </c>
      <c r="C856" s="58">
        <v>1757507019213</v>
      </c>
      <c r="D856" s="58" t="s">
        <v>2940</v>
      </c>
      <c r="E856" s="58" t="s">
        <v>428</v>
      </c>
      <c r="F856" s="58" t="s">
        <v>538</v>
      </c>
    </row>
    <row r="857" spans="1:6" x14ac:dyDescent="0.3">
      <c r="B857" s="58" t="s">
        <v>2120</v>
      </c>
      <c r="C857" s="58">
        <v>1757507022788</v>
      </c>
      <c r="D857" s="58" t="s">
        <v>2941</v>
      </c>
      <c r="E857" s="58" t="s">
        <v>424</v>
      </c>
      <c r="F857" s="58" t="s">
        <v>553</v>
      </c>
    </row>
    <row r="858" spans="1:6" x14ac:dyDescent="0.3">
      <c r="B858" s="58" t="s">
        <v>426</v>
      </c>
      <c r="C858" s="58">
        <v>1757507033973</v>
      </c>
      <c r="D858" s="58" t="s">
        <v>2942</v>
      </c>
      <c r="E858" s="58" t="s">
        <v>428</v>
      </c>
      <c r="F858" s="58" t="s">
        <v>447</v>
      </c>
    </row>
    <row r="859" spans="1:6" x14ac:dyDescent="0.3">
      <c r="B859" s="58" t="s">
        <v>2120</v>
      </c>
      <c r="C859" s="58">
        <v>1757507041719</v>
      </c>
      <c r="D859" s="58" t="s">
        <v>2943</v>
      </c>
      <c r="E859" s="58" t="s">
        <v>424</v>
      </c>
      <c r="F859" s="58" t="s">
        <v>441</v>
      </c>
    </row>
    <row r="860" spans="1:6" x14ac:dyDescent="0.3">
      <c r="B860" s="58" t="s">
        <v>2120</v>
      </c>
      <c r="C860" s="58">
        <v>1757507047640</v>
      </c>
      <c r="D860" s="58" t="s">
        <v>2944</v>
      </c>
      <c r="E860" s="58" t="s">
        <v>424</v>
      </c>
      <c r="F860" s="58" t="s">
        <v>445</v>
      </c>
    </row>
    <row r="861" spans="1:6" x14ac:dyDescent="0.3">
      <c r="B861" s="58" t="s">
        <v>2120</v>
      </c>
      <c r="C861" s="58">
        <v>1757507051729</v>
      </c>
      <c r="D861" s="58" t="s">
        <v>2945</v>
      </c>
      <c r="E861" s="58" t="s">
        <v>424</v>
      </c>
      <c r="F861" s="58" t="s">
        <v>449</v>
      </c>
    </row>
    <row r="862" spans="1:6" x14ac:dyDescent="0.3">
      <c r="B862" s="58" t="s">
        <v>2120</v>
      </c>
      <c r="C862" s="58">
        <v>1757507055555</v>
      </c>
      <c r="D862" s="58" t="s">
        <v>2946</v>
      </c>
      <c r="E862" s="58" t="s">
        <v>424</v>
      </c>
      <c r="F862" s="58" t="s">
        <v>451</v>
      </c>
    </row>
    <row r="863" spans="1:6" x14ac:dyDescent="0.3">
      <c r="B863" s="58" t="s">
        <v>2120</v>
      </c>
      <c r="C863" s="58">
        <v>1757507059094</v>
      </c>
      <c r="D863" s="58" t="s">
        <v>2947</v>
      </c>
      <c r="E863" s="58" t="s">
        <v>463</v>
      </c>
      <c r="F863" s="58" t="s">
        <v>464</v>
      </c>
    </row>
    <row r="864" spans="1:6" ht="21" x14ac:dyDescent="0.4">
      <c r="A864" s="69" t="s">
        <v>48</v>
      </c>
      <c r="B864" s="63" t="s">
        <v>3072</v>
      </c>
      <c r="C864" s="63">
        <v>1757515728444</v>
      </c>
      <c r="D864" s="63" t="s">
        <v>3073</v>
      </c>
      <c r="E864" s="63" t="s">
        <v>416</v>
      </c>
      <c r="F864" s="63" t="s">
        <v>417</v>
      </c>
    </row>
    <row r="865" spans="2:6" x14ac:dyDescent="0.3">
      <c r="B865" s="63" t="s">
        <v>3072</v>
      </c>
      <c r="C865" s="63">
        <v>1757515728945</v>
      </c>
      <c r="D865" s="63" t="s">
        <v>3074</v>
      </c>
      <c r="E865" s="63" t="s">
        <v>419</v>
      </c>
      <c r="F865" s="63" t="s">
        <v>420</v>
      </c>
    </row>
    <row r="866" spans="2:6" x14ac:dyDescent="0.3">
      <c r="B866" s="63" t="s">
        <v>3072</v>
      </c>
      <c r="C866" s="63">
        <v>1757515743053</v>
      </c>
      <c r="D866" s="63" t="s">
        <v>3075</v>
      </c>
      <c r="E866" s="63" t="s">
        <v>389</v>
      </c>
      <c r="F866" s="63" t="s">
        <v>400</v>
      </c>
    </row>
    <row r="867" spans="2:6" x14ac:dyDescent="0.3">
      <c r="B867" s="63" t="s">
        <v>3072</v>
      </c>
      <c r="C867" s="63">
        <v>1757515743133</v>
      </c>
      <c r="D867" s="63" t="s">
        <v>3076</v>
      </c>
      <c r="E867" s="63" t="s">
        <v>389</v>
      </c>
      <c r="F867" s="63" t="s">
        <v>502</v>
      </c>
    </row>
    <row r="868" spans="2:6" x14ac:dyDescent="0.3">
      <c r="B868" s="63" t="s">
        <v>3072</v>
      </c>
      <c r="C868" s="63">
        <v>1757515743192</v>
      </c>
      <c r="D868" s="63" t="s">
        <v>3077</v>
      </c>
      <c r="E868" s="63" t="s">
        <v>389</v>
      </c>
      <c r="F868" s="63" t="s">
        <v>398</v>
      </c>
    </row>
    <row r="869" spans="2:6" x14ac:dyDescent="0.3">
      <c r="B869" s="63" t="s">
        <v>3072</v>
      </c>
      <c r="C869" s="63">
        <v>1757515752060</v>
      </c>
      <c r="D869" s="63" t="s">
        <v>3078</v>
      </c>
      <c r="E869" s="63" t="s">
        <v>389</v>
      </c>
      <c r="F869" s="63" t="s">
        <v>659</v>
      </c>
    </row>
    <row r="870" spans="2:6" x14ac:dyDescent="0.3">
      <c r="B870" s="63" t="s">
        <v>3072</v>
      </c>
      <c r="C870" s="63">
        <v>1757515752917</v>
      </c>
      <c r="D870" s="63" t="s">
        <v>3079</v>
      </c>
      <c r="E870" s="63" t="s">
        <v>389</v>
      </c>
      <c r="F870" s="63" t="s">
        <v>390</v>
      </c>
    </row>
    <row r="871" spans="2:6" x14ac:dyDescent="0.3">
      <c r="B871" s="63" t="s">
        <v>3072</v>
      </c>
      <c r="C871" s="63">
        <v>1757515761331</v>
      </c>
      <c r="D871" s="63" t="s">
        <v>3080</v>
      </c>
      <c r="E871" s="63" t="s">
        <v>389</v>
      </c>
      <c r="F871" s="63" t="s">
        <v>508</v>
      </c>
    </row>
    <row r="872" spans="2:6" x14ac:dyDescent="0.3">
      <c r="B872" s="63" t="s">
        <v>3072</v>
      </c>
      <c r="C872" s="63">
        <v>1757515762455</v>
      </c>
      <c r="D872" s="63" t="s">
        <v>3081</v>
      </c>
      <c r="E872" s="63" t="s">
        <v>389</v>
      </c>
      <c r="F872" s="63" t="s">
        <v>404</v>
      </c>
    </row>
    <row r="873" spans="2:6" x14ac:dyDescent="0.3">
      <c r="B873" s="63" t="s">
        <v>3072</v>
      </c>
      <c r="C873" s="63">
        <v>1757515765433</v>
      </c>
      <c r="D873" s="63" t="s">
        <v>3082</v>
      </c>
      <c r="E873" s="63" t="s">
        <v>389</v>
      </c>
      <c r="F873" s="63" t="s">
        <v>406</v>
      </c>
    </row>
    <row r="874" spans="2:6" x14ac:dyDescent="0.3">
      <c r="B874" s="63" t="s">
        <v>3072</v>
      </c>
      <c r="C874" s="63">
        <v>1757515768462</v>
      </c>
      <c r="D874" s="63" t="s">
        <v>3083</v>
      </c>
      <c r="E874" s="63" t="s">
        <v>389</v>
      </c>
      <c r="F874" s="63" t="s">
        <v>495</v>
      </c>
    </row>
    <row r="875" spans="2:6" x14ac:dyDescent="0.3">
      <c r="B875" s="63" t="s">
        <v>3072</v>
      </c>
      <c r="C875" s="63">
        <v>1757515768539</v>
      </c>
      <c r="D875" s="63" t="s">
        <v>3084</v>
      </c>
      <c r="E875" s="63" t="s">
        <v>389</v>
      </c>
      <c r="F875" s="63" t="s">
        <v>495</v>
      </c>
    </row>
    <row r="876" spans="2:6" x14ac:dyDescent="0.3">
      <c r="B876" s="63" t="s">
        <v>3072</v>
      </c>
      <c r="C876" s="63">
        <v>1757515772048</v>
      </c>
      <c r="D876" s="63" t="s">
        <v>3085</v>
      </c>
      <c r="E876" s="63" t="s">
        <v>389</v>
      </c>
      <c r="F876" s="63" t="s">
        <v>410</v>
      </c>
    </row>
    <row r="877" spans="2:6" x14ac:dyDescent="0.3">
      <c r="B877" s="63" t="s">
        <v>3072</v>
      </c>
      <c r="C877" s="63">
        <v>1757515774530</v>
      </c>
      <c r="D877" s="63" t="s">
        <v>3086</v>
      </c>
      <c r="E877" s="63" t="s">
        <v>389</v>
      </c>
      <c r="F877" s="63" t="s">
        <v>414</v>
      </c>
    </row>
    <row r="878" spans="2:6" x14ac:dyDescent="0.3">
      <c r="B878" s="63" t="s">
        <v>3072</v>
      </c>
      <c r="C878" s="63">
        <v>1757515774595</v>
      </c>
      <c r="D878" s="63" t="s">
        <v>3087</v>
      </c>
      <c r="E878" s="63" t="s">
        <v>389</v>
      </c>
      <c r="F878" s="63" t="s">
        <v>414</v>
      </c>
    </row>
    <row r="879" spans="2:6" x14ac:dyDescent="0.3">
      <c r="B879" s="63" t="s">
        <v>3072</v>
      </c>
      <c r="C879" s="63">
        <v>1757515801718</v>
      </c>
      <c r="D879" s="63" t="s">
        <v>3088</v>
      </c>
      <c r="E879" s="63" t="s">
        <v>422</v>
      </c>
      <c r="F879" s="63" t="s">
        <v>420</v>
      </c>
    </row>
    <row r="880" spans="2:6" x14ac:dyDescent="0.3">
      <c r="B880" s="63" t="s">
        <v>3072</v>
      </c>
      <c r="C880" s="63">
        <v>1757515807936</v>
      </c>
      <c r="D880" s="63" t="s">
        <v>3089</v>
      </c>
      <c r="E880" s="63" t="s">
        <v>424</v>
      </c>
      <c r="F880" s="63" t="s">
        <v>549</v>
      </c>
    </row>
    <row r="881" spans="2:6" x14ac:dyDescent="0.3">
      <c r="B881" s="63" t="s">
        <v>426</v>
      </c>
      <c r="C881" s="63">
        <v>1757515825241</v>
      </c>
      <c r="D881" s="63" t="s">
        <v>3090</v>
      </c>
      <c r="E881" s="63" t="s">
        <v>428</v>
      </c>
      <c r="F881" s="63" t="s">
        <v>437</v>
      </c>
    </row>
    <row r="882" spans="2:6" x14ac:dyDescent="0.3">
      <c r="B882" s="63" t="s">
        <v>426</v>
      </c>
      <c r="C882" s="63">
        <v>1757515841448</v>
      </c>
      <c r="D882" s="63" t="s">
        <v>3091</v>
      </c>
      <c r="E882" s="63" t="s">
        <v>428</v>
      </c>
      <c r="F882" s="63" t="s">
        <v>439</v>
      </c>
    </row>
    <row r="883" spans="2:6" x14ac:dyDescent="0.3">
      <c r="B883" s="63" t="s">
        <v>3072</v>
      </c>
      <c r="C883" s="63">
        <v>1757515854244</v>
      </c>
      <c r="D883" s="63" t="s">
        <v>3092</v>
      </c>
      <c r="E883" s="63" t="s">
        <v>424</v>
      </c>
      <c r="F883" s="63" t="s">
        <v>441</v>
      </c>
    </row>
    <row r="884" spans="2:6" x14ac:dyDescent="0.3">
      <c r="B884" s="63" t="s">
        <v>3072</v>
      </c>
      <c r="C884" s="63">
        <v>1757515857848</v>
      </c>
      <c r="D884" s="63" t="s">
        <v>3093</v>
      </c>
      <c r="E884" s="63" t="s">
        <v>424</v>
      </c>
      <c r="F884" s="63" t="s">
        <v>667</v>
      </c>
    </row>
    <row r="885" spans="2:6" x14ac:dyDescent="0.3">
      <c r="B885" s="63" t="s">
        <v>426</v>
      </c>
      <c r="C885" s="63">
        <v>1757515859121</v>
      </c>
      <c r="D885" s="63" t="s">
        <v>3094</v>
      </c>
      <c r="E885" s="63" t="s">
        <v>428</v>
      </c>
      <c r="F885" s="63" t="s">
        <v>429</v>
      </c>
    </row>
    <row r="886" spans="2:6" x14ac:dyDescent="0.3">
      <c r="B886" s="63" t="s">
        <v>3072</v>
      </c>
      <c r="C886" s="63">
        <v>1757515861066</v>
      </c>
      <c r="D886" s="63" t="s">
        <v>3095</v>
      </c>
      <c r="E886" s="63" t="s">
        <v>424</v>
      </c>
      <c r="F886" s="63" t="s">
        <v>433</v>
      </c>
    </row>
    <row r="887" spans="2:6" x14ac:dyDescent="0.3">
      <c r="B887" s="63" t="s">
        <v>426</v>
      </c>
      <c r="C887" s="63">
        <v>1757515874615</v>
      </c>
      <c r="D887" s="63" t="s">
        <v>3096</v>
      </c>
      <c r="E887" s="63" t="s">
        <v>428</v>
      </c>
      <c r="F887" s="63" t="s">
        <v>538</v>
      </c>
    </row>
    <row r="888" spans="2:6" x14ac:dyDescent="0.3">
      <c r="B888" s="63" t="s">
        <v>3072</v>
      </c>
      <c r="C888" s="63">
        <v>1757515876860</v>
      </c>
      <c r="D888" s="63" t="s">
        <v>3097</v>
      </c>
      <c r="E888" s="63" t="s">
        <v>424</v>
      </c>
      <c r="F888" s="63" t="s">
        <v>445</v>
      </c>
    </row>
    <row r="889" spans="2:6" x14ac:dyDescent="0.3">
      <c r="B889" s="63" t="s">
        <v>426</v>
      </c>
      <c r="C889" s="63">
        <v>1757515892259</v>
      </c>
      <c r="D889" s="63" t="s">
        <v>3098</v>
      </c>
      <c r="E889" s="63" t="s">
        <v>428</v>
      </c>
      <c r="F889" s="63" t="s">
        <v>453</v>
      </c>
    </row>
    <row r="890" spans="2:6" x14ac:dyDescent="0.3">
      <c r="B890" s="63" t="s">
        <v>3072</v>
      </c>
      <c r="C890" s="63">
        <v>1757515897992</v>
      </c>
      <c r="D890" s="63" t="s">
        <v>3099</v>
      </c>
      <c r="E890" s="63" t="s">
        <v>424</v>
      </c>
      <c r="F890" s="63" t="s">
        <v>457</v>
      </c>
    </row>
    <row r="891" spans="2:6" x14ac:dyDescent="0.3">
      <c r="B891" s="63" t="s">
        <v>3072</v>
      </c>
      <c r="C891" s="63">
        <v>1757515899542</v>
      </c>
      <c r="D891" s="63" t="s">
        <v>3100</v>
      </c>
      <c r="E891" s="63" t="s">
        <v>424</v>
      </c>
      <c r="F891" s="63" t="s">
        <v>459</v>
      </c>
    </row>
    <row r="892" spans="2:6" x14ac:dyDescent="0.3">
      <c r="B892" s="63" t="s">
        <v>426</v>
      </c>
      <c r="C892" s="63">
        <v>1757515909243</v>
      </c>
      <c r="D892" s="63" t="s">
        <v>3101</v>
      </c>
      <c r="E892" s="63" t="s">
        <v>428</v>
      </c>
      <c r="F892" s="63" t="s">
        <v>523</v>
      </c>
    </row>
    <row r="893" spans="2:6" x14ac:dyDescent="0.3">
      <c r="B893" s="63" t="s">
        <v>3072</v>
      </c>
      <c r="C893" s="63">
        <v>1757515918671</v>
      </c>
      <c r="D893" s="63" t="s">
        <v>3102</v>
      </c>
      <c r="E893" s="63" t="s">
        <v>424</v>
      </c>
      <c r="F893" s="63" t="s">
        <v>461</v>
      </c>
    </row>
    <row r="894" spans="2:6" x14ac:dyDescent="0.3">
      <c r="B894" s="63" t="s">
        <v>426</v>
      </c>
      <c r="C894" s="63">
        <v>1757515924710</v>
      </c>
      <c r="D894" s="63" t="s">
        <v>3103</v>
      </c>
      <c r="E894" s="63" t="s">
        <v>428</v>
      </c>
      <c r="F894" s="63" t="s">
        <v>447</v>
      </c>
    </row>
    <row r="895" spans="2:6" x14ac:dyDescent="0.3">
      <c r="B895" s="63" t="s">
        <v>3072</v>
      </c>
      <c r="C895" s="63">
        <v>1757515927296</v>
      </c>
      <c r="D895" s="63" t="s">
        <v>3104</v>
      </c>
      <c r="E895" s="63" t="s">
        <v>424</v>
      </c>
      <c r="F895" s="63" t="s">
        <v>449</v>
      </c>
    </row>
    <row r="896" spans="2:6" x14ac:dyDescent="0.3">
      <c r="B896" s="63" t="s">
        <v>3072</v>
      </c>
      <c r="C896" s="63">
        <v>1757515929513</v>
      </c>
      <c r="D896" s="63" t="s">
        <v>3105</v>
      </c>
      <c r="E896" s="63" t="s">
        <v>424</v>
      </c>
      <c r="F896" s="63" t="s">
        <v>451</v>
      </c>
    </row>
    <row r="897" spans="2:6" x14ac:dyDescent="0.3">
      <c r="B897" s="63" t="s">
        <v>426</v>
      </c>
      <c r="C897" s="63">
        <v>1757515946068</v>
      </c>
      <c r="D897" s="63" t="s">
        <v>3106</v>
      </c>
      <c r="E897" s="63" t="s">
        <v>428</v>
      </c>
      <c r="F897" s="63" t="s">
        <v>455</v>
      </c>
    </row>
    <row r="898" spans="2:6" x14ac:dyDescent="0.3">
      <c r="B898" s="63" t="s">
        <v>3072</v>
      </c>
      <c r="C898" s="63">
        <v>1757515948748</v>
      </c>
      <c r="D898" s="63" t="s">
        <v>3107</v>
      </c>
      <c r="E898" s="63" t="s">
        <v>463</v>
      </c>
      <c r="F898" s="63" t="s">
        <v>464</v>
      </c>
    </row>
    <row r="899" spans="2:6" x14ac:dyDescent="0.3">
      <c r="B899" s="58" t="s">
        <v>3108</v>
      </c>
      <c r="C899" s="58">
        <v>1757515957172</v>
      </c>
      <c r="D899" s="58" t="s">
        <v>3109</v>
      </c>
      <c r="E899" s="58" t="s">
        <v>416</v>
      </c>
      <c r="F899" s="58" t="s">
        <v>466</v>
      </c>
    </row>
    <row r="900" spans="2:6" x14ac:dyDescent="0.3">
      <c r="B900" s="58" t="s">
        <v>3108</v>
      </c>
      <c r="C900" s="58">
        <v>1757515957311</v>
      </c>
      <c r="D900" s="58" t="s">
        <v>3110</v>
      </c>
      <c r="E900" s="58" t="s">
        <v>468</v>
      </c>
      <c r="F900" s="58" t="s">
        <v>3111</v>
      </c>
    </row>
    <row r="901" spans="2:6" x14ac:dyDescent="0.3">
      <c r="B901" s="58" t="s">
        <v>3108</v>
      </c>
      <c r="C901" s="58">
        <v>1757515971693</v>
      </c>
      <c r="D901" s="58" t="s">
        <v>3112</v>
      </c>
      <c r="E901" s="58" t="s">
        <v>419</v>
      </c>
      <c r="F901" s="58" t="s">
        <v>420</v>
      </c>
    </row>
    <row r="902" spans="2:6" x14ac:dyDescent="0.3">
      <c r="B902" s="58" t="s">
        <v>3108</v>
      </c>
      <c r="C902" s="58">
        <v>1757515973289</v>
      </c>
      <c r="D902" s="58" t="s">
        <v>3113</v>
      </c>
      <c r="E902" s="58" t="s">
        <v>389</v>
      </c>
      <c r="F902" s="58" t="s">
        <v>396</v>
      </c>
    </row>
    <row r="903" spans="2:6" x14ac:dyDescent="0.3">
      <c r="B903" s="58" t="s">
        <v>3108</v>
      </c>
      <c r="C903" s="58">
        <v>1757515975530</v>
      </c>
      <c r="D903" s="58" t="s">
        <v>3114</v>
      </c>
      <c r="E903" s="58" t="s">
        <v>389</v>
      </c>
      <c r="F903" s="58" t="s">
        <v>1464</v>
      </c>
    </row>
    <row r="904" spans="2:6" x14ac:dyDescent="0.3">
      <c r="B904" s="58" t="s">
        <v>3108</v>
      </c>
      <c r="C904" s="58">
        <v>1757515975608</v>
      </c>
      <c r="D904" s="58" t="s">
        <v>3115</v>
      </c>
      <c r="E904" s="58" t="s">
        <v>389</v>
      </c>
      <c r="F904" s="58" t="s">
        <v>1126</v>
      </c>
    </row>
    <row r="905" spans="2:6" x14ac:dyDescent="0.3">
      <c r="B905" s="58" t="s">
        <v>3108</v>
      </c>
      <c r="C905" s="58">
        <v>1757515975684</v>
      </c>
      <c r="D905" s="58" t="s">
        <v>3116</v>
      </c>
      <c r="E905" s="58" t="s">
        <v>389</v>
      </c>
      <c r="F905" s="58" t="s">
        <v>1475</v>
      </c>
    </row>
    <row r="906" spans="2:6" x14ac:dyDescent="0.3">
      <c r="B906" s="58" t="s">
        <v>3108</v>
      </c>
      <c r="C906" s="58">
        <v>1757515975751</v>
      </c>
      <c r="D906" s="58" t="s">
        <v>3117</v>
      </c>
      <c r="E906" s="58" t="s">
        <v>389</v>
      </c>
      <c r="F906" s="58" t="s">
        <v>3118</v>
      </c>
    </row>
    <row r="907" spans="2:6" x14ac:dyDescent="0.3">
      <c r="B907" s="58" t="s">
        <v>3108</v>
      </c>
      <c r="C907" s="58">
        <v>1757515975827</v>
      </c>
      <c r="D907" s="58" t="s">
        <v>3119</v>
      </c>
      <c r="E907" s="58" t="s">
        <v>389</v>
      </c>
      <c r="F907" s="58" t="s">
        <v>1126</v>
      </c>
    </row>
    <row r="908" spans="2:6" x14ac:dyDescent="0.3">
      <c r="B908" s="58" t="s">
        <v>3108</v>
      </c>
      <c r="C908" s="58">
        <v>1757515975888</v>
      </c>
      <c r="D908" s="58" t="s">
        <v>3120</v>
      </c>
      <c r="E908" s="58" t="s">
        <v>389</v>
      </c>
      <c r="F908" s="58" t="s">
        <v>1475</v>
      </c>
    </row>
    <row r="909" spans="2:6" x14ac:dyDescent="0.3">
      <c r="B909" s="58" t="s">
        <v>3108</v>
      </c>
      <c r="C909" s="58">
        <v>1757515975946</v>
      </c>
      <c r="D909" s="58" t="s">
        <v>3121</v>
      </c>
      <c r="E909" s="58" t="s">
        <v>389</v>
      </c>
      <c r="F909" s="58" t="s">
        <v>3118</v>
      </c>
    </row>
    <row r="910" spans="2:6" x14ac:dyDescent="0.3">
      <c r="B910" s="58" t="s">
        <v>3108</v>
      </c>
      <c r="C910" s="58">
        <v>1757515975998</v>
      </c>
      <c r="D910" s="58" t="s">
        <v>3122</v>
      </c>
      <c r="E910" s="58" t="s">
        <v>389</v>
      </c>
      <c r="F910" s="58" t="s">
        <v>1126</v>
      </c>
    </row>
    <row r="911" spans="2:6" x14ac:dyDescent="0.3">
      <c r="B911" s="58" t="s">
        <v>3108</v>
      </c>
      <c r="C911" s="58">
        <v>1757515976055</v>
      </c>
      <c r="D911" s="58" t="s">
        <v>3123</v>
      </c>
      <c r="E911" s="58" t="s">
        <v>389</v>
      </c>
      <c r="F911" s="58" t="s">
        <v>1475</v>
      </c>
    </row>
    <row r="912" spans="2:6" x14ac:dyDescent="0.3">
      <c r="B912" s="58" t="s">
        <v>3108</v>
      </c>
      <c r="C912" s="58">
        <v>1757515976114</v>
      </c>
      <c r="D912" s="58" t="s">
        <v>3124</v>
      </c>
      <c r="E912" s="58" t="s">
        <v>389</v>
      </c>
      <c r="F912" s="58" t="s">
        <v>1126</v>
      </c>
    </row>
    <row r="913" spans="2:6" x14ac:dyDescent="0.3">
      <c r="B913" s="58" t="s">
        <v>3108</v>
      </c>
      <c r="C913" s="58">
        <v>1757515976172</v>
      </c>
      <c r="D913" s="58" t="s">
        <v>3125</v>
      </c>
      <c r="E913" s="58" t="s">
        <v>389</v>
      </c>
      <c r="F913" s="58" t="s">
        <v>1475</v>
      </c>
    </row>
    <row r="914" spans="2:6" x14ac:dyDescent="0.3">
      <c r="B914" s="58" t="s">
        <v>3108</v>
      </c>
      <c r="C914" s="58">
        <v>1757515976233</v>
      </c>
      <c r="D914" s="58" t="s">
        <v>3126</v>
      </c>
      <c r="E914" s="58" t="s">
        <v>389</v>
      </c>
      <c r="F914" s="58" t="s">
        <v>1126</v>
      </c>
    </row>
    <row r="915" spans="2:6" x14ac:dyDescent="0.3">
      <c r="B915" s="58" t="s">
        <v>3108</v>
      </c>
      <c r="C915" s="58">
        <v>1757515976295</v>
      </c>
      <c r="D915" s="58" t="s">
        <v>3127</v>
      </c>
      <c r="E915" s="58" t="s">
        <v>389</v>
      </c>
      <c r="F915" s="58" t="s">
        <v>1475</v>
      </c>
    </row>
    <row r="916" spans="2:6" x14ac:dyDescent="0.3">
      <c r="B916" s="58" t="s">
        <v>3108</v>
      </c>
      <c r="C916" s="58">
        <v>1757515976378</v>
      </c>
      <c r="D916" s="58" t="s">
        <v>3128</v>
      </c>
      <c r="E916" s="58" t="s">
        <v>389</v>
      </c>
      <c r="F916" s="58" t="s">
        <v>1126</v>
      </c>
    </row>
    <row r="917" spans="2:6" x14ac:dyDescent="0.3">
      <c r="B917" s="58" t="s">
        <v>3108</v>
      </c>
      <c r="C917" s="58">
        <v>1757515976462</v>
      </c>
      <c r="D917" s="58" t="s">
        <v>3129</v>
      </c>
      <c r="E917" s="58" t="s">
        <v>389</v>
      </c>
      <c r="F917" s="58" t="s">
        <v>1475</v>
      </c>
    </row>
    <row r="918" spans="2:6" x14ac:dyDescent="0.3">
      <c r="B918" s="58" t="s">
        <v>3108</v>
      </c>
      <c r="C918" s="58">
        <v>1757515976534</v>
      </c>
      <c r="D918" s="58" t="s">
        <v>3130</v>
      </c>
      <c r="E918" s="58" t="s">
        <v>389</v>
      </c>
      <c r="F918" s="58" t="s">
        <v>1126</v>
      </c>
    </row>
    <row r="919" spans="2:6" x14ac:dyDescent="0.3">
      <c r="B919" s="58" t="s">
        <v>3108</v>
      </c>
      <c r="C919" s="58">
        <v>1757515976598</v>
      </c>
      <c r="D919" s="58" t="s">
        <v>3131</v>
      </c>
      <c r="E919" s="58" t="s">
        <v>389</v>
      </c>
      <c r="F919" s="58" t="s">
        <v>1464</v>
      </c>
    </row>
    <row r="920" spans="2:6" x14ac:dyDescent="0.3">
      <c r="B920" s="58" t="s">
        <v>3108</v>
      </c>
      <c r="C920" s="58">
        <v>1757515976656</v>
      </c>
      <c r="D920" s="58" t="s">
        <v>3132</v>
      </c>
      <c r="E920" s="58" t="s">
        <v>389</v>
      </c>
      <c r="F920" s="58" t="s">
        <v>1126</v>
      </c>
    </row>
    <row r="921" spans="2:6" x14ac:dyDescent="0.3">
      <c r="B921" s="58" t="s">
        <v>3108</v>
      </c>
      <c r="C921" s="58">
        <v>1757515976731</v>
      </c>
      <c r="D921" s="58" t="s">
        <v>3133</v>
      </c>
      <c r="E921" s="58" t="s">
        <v>389</v>
      </c>
      <c r="F921" s="58" t="s">
        <v>1464</v>
      </c>
    </row>
    <row r="922" spans="2:6" x14ac:dyDescent="0.3">
      <c r="B922" s="58" t="s">
        <v>3108</v>
      </c>
      <c r="C922" s="58">
        <v>1757515976790</v>
      </c>
      <c r="D922" s="58" t="s">
        <v>3134</v>
      </c>
      <c r="E922" s="58" t="s">
        <v>389</v>
      </c>
      <c r="F922" s="58" t="s">
        <v>398</v>
      </c>
    </row>
    <row r="923" spans="2:6" x14ac:dyDescent="0.3">
      <c r="B923" s="58" t="s">
        <v>3108</v>
      </c>
      <c r="C923" s="58">
        <v>1757515976869</v>
      </c>
      <c r="D923" s="58" t="s">
        <v>3135</v>
      </c>
      <c r="E923" s="58" t="s">
        <v>389</v>
      </c>
      <c r="F923" s="58" t="s">
        <v>1464</v>
      </c>
    </row>
    <row r="924" spans="2:6" x14ac:dyDescent="0.3">
      <c r="B924" s="58" t="s">
        <v>3108</v>
      </c>
      <c r="C924" s="58">
        <v>1757515976934</v>
      </c>
      <c r="D924" s="58" t="s">
        <v>3136</v>
      </c>
      <c r="E924" s="58" t="s">
        <v>389</v>
      </c>
      <c r="F924" s="58" t="s">
        <v>1126</v>
      </c>
    </row>
    <row r="925" spans="2:6" x14ac:dyDescent="0.3">
      <c r="B925" s="58" t="s">
        <v>3108</v>
      </c>
      <c r="C925" s="58">
        <v>1757515977034</v>
      </c>
      <c r="D925" s="58" t="s">
        <v>3137</v>
      </c>
      <c r="E925" s="58" t="s">
        <v>389</v>
      </c>
      <c r="F925" s="58" t="s">
        <v>1464</v>
      </c>
    </row>
    <row r="926" spans="2:6" x14ac:dyDescent="0.3">
      <c r="B926" s="58" t="s">
        <v>3108</v>
      </c>
      <c r="C926" s="58">
        <v>1757515977134</v>
      </c>
      <c r="D926" s="58" t="s">
        <v>3138</v>
      </c>
      <c r="E926" s="58" t="s">
        <v>389</v>
      </c>
      <c r="F926" s="58" t="s">
        <v>1126</v>
      </c>
    </row>
    <row r="927" spans="2:6" x14ac:dyDescent="0.3">
      <c r="B927" s="58" t="s">
        <v>3108</v>
      </c>
      <c r="C927" s="58">
        <v>1757515977218</v>
      </c>
      <c r="D927" s="58" t="s">
        <v>3139</v>
      </c>
      <c r="E927" s="58" t="s">
        <v>389</v>
      </c>
      <c r="F927" s="58" t="s">
        <v>1464</v>
      </c>
    </row>
    <row r="928" spans="2:6" x14ac:dyDescent="0.3">
      <c r="B928" s="58" t="s">
        <v>3108</v>
      </c>
      <c r="C928" s="58">
        <v>1757515977690</v>
      </c>
      <c r="D928" s="58" t="s">
        <v>3140</v>
      </c>
      <c r="E928" s="58" t="s">
        <v>389</v>
      </c>
      <c r="F928" s="58" t="s">
        <v>504</v>
      </c>
    </row>
    <row r="929" spans="2:6" x14ac:dyDescent="0.3">
      <c r="B929" s="58" t="s">
        <v>3108</v>
      </c>
      <c r="C929" s="58">
        <v>1757515978361</v>
      </c>
      <c r="D929" s="58" t="s">
        <v>3141</v>
      </c>
      <c r="E929" s="58" t="s">
        <v>389</v>
      </c>
      <c r="F929" s="58" t="s">
        <v>506</v>
      </c>
    </row>
    <row r="930" spans="2:6" x14ac:dyDescent="0.3">
      <c r="B930" s="58" t="s">
        <v>3108</v>
      </c>
      <c r="C930" s="58">
        <v>1757515979708</v>
      </c>
      <c r="D930" s="58" t="s">
        <v>3142</v>
      </c>
      <c r="E930" s="58" t="s">
        <v>389</v>
      </c>
      <c r="F930" s="58" t="s">
        <v>398</v>
      </c>
    </row>
    <row r="931" spans="2:6" x14ac:dyDescent="0.3">
      <c r="B931" s="58" t="s">
        <v>3108</v>
      </c>
      <c r="C931" s="58">
        <v>1757515984177</v>
      </c>
      <c r="D931" s="58" t="s">
        <v>3143</v>
      </c>
      <c r="E931" s="58" t="s">
        <v>389</v>
      </c>
      <c r="F931" s="58" t="s">
        <v>502</v>
      </c>
    </row>
    <row r="932" spans="2:6" x14ac:dyDescent="0.3">
      <c r="B932" s="58" t="s">
        <v>3108</v>
      </c>
      <c r="C932" s="58">
        <v>1757516025032</v>
      </c>
      <c r="D932" s="58" t="s">
        <v>3144</v>
      </c>
      <c r="E932" s="58" t="s">
        <v>422</v>
      </c>
      <c r="F932" s="58" t="s">
        <v>420</v>
      </c>
    </row>
    <row r="933" spans="2:6" x14ac:dyDescent="0.3">
      <c r="B933" s="58" t="s">
        <v>3108</v>
      </c>
      <c r="C933" s="58">
        <v>1757516029418</v>
      </c>
      <c r="D933" s="58" t="s">
        <v>3145</v>
      </c>
      <c r="E933" s="58" t="s">
        <v>424</v>
      </c>
      <c r="F933" s="58" t="s">
        <v>549</v>
      </c>
    </row>
    <row r="934" spans="2:6" x14ac:dyDescent="0.3">
      <c r="B934" s="58" t="s">
        <v>3108</v>
      </c>
      <c r="C934" s="58">
        <v>1757516045616</v>
      </c>
      <c r="D934" s="58" t="s">
        <v>3146</v>
      </c>
      <c r="E934" s="58" t="s">
        <v>424</v>
      </c>
      <c r="F934" s="58" t="s">
        <v>553</v>
      </c>
    </row>
    <row r="935" spans="2:6" x14ac:dyDescent="0.3">
      <c r="B935" s="58" t="s">
        <v>426</v>
      </c>
      <c r="C935" s="58">
        <v>1757516050101</v>
      </c>
      <c r="D935" s="58" t="s">
        <v>3147</v>
      </c>
      <c r="E935" s="58" t="s">
        <v>428</v>
      </c>
      <c r="F935" s="58" t="s">
        <v>437</v>
      </c>
    </row>
    <row r="936" spans="2:6" x14ac:dyDescent="0.3">
      <c r="B936" s="58" t="s">
        <v>3108</v>
      </c>
      <c r="C936" s="58">
        <v>1757516058400</v>
      </c>
      <c r="D936" s="58" t="s">
        <v>3148</v>
      </c>
      <c r="E936" s="58" t="s">
        <v>424</v>
      </c>
      <c r="F936" s="58" t="s">
        <v>441</v>
      </c>
    </row>
    <row r="937" spans="2:6" x14ac:dyDescent="0.3">
      <c r="B937" s="58" t="s">
        <v>426</v>
      </c>
      <c r="C937" s="58">
        <v>1757516065596</v>
      </c>
      <c r="D937" s="58" t="s">
        <v>3149</v>
      </c>
      <c r="E937" s="58" t="s">
        <v>428</v>
      </c>
      <c r="F937" s="58" t="s">
        <v>429</v>
      </c>
    </row>
    <row r="938" spans="2:6" x14ac:dyDescent="0.3">
      <c r="B938" s="58" t="s">
        <v>3108</v>
      </c>
      <c r="C938" s="58">
        <v>1757516066398</v>
      </c>
      <c r="D938" s="58" t="s">
        <v>3150</v>
      </c>
      <c r="E938" s="58" t="s">
        <v>424</v>
      </c>
      <c r="F938" s="58" t="s">
        <v>667</v>
      </c>
    </row>
    <row r="939" spans="2:6" x14ac:dyDescent="0.3">
      <c r="B939" s="58" t="s">
        <v>3108</v>
      </c>
      <c r="C939" s="58">
        <v>1757516071658</v>
      </c>
      <c r="D939" s="58" t="s">
        <v>3151</v>
      </c>
      <c r="E939" s="58" t="s">
        <v>424</v>
      </c>
      <c r="F939" s="58" t="s">
        <v>433</v>
      </c>
    </row>
    <row r="940" spans="2:6" x14ac:dyDescent="0.3">
      <c r="B940" s="58" t="s">
        <v>426</v>
      </c>
      <c r="C940" s="58">
        <v>1757516081769</v>
      </c>
      <c r="D940" s="58" t="s">
        <v>3152</v>
      </c>
      <c r="E940" s="58" t="s">
        <v>428</v>
      </c>
      <c r="F940" s="58" t="s">
        <v>538</v>
      </c>
    </row>
    <row r="941" spans="2:6" x14ac:dyDescent="0.3">
      <c r="B941" s="58" t="s">
        <v>3108</v>
      </c>
      <c r="C941" s="58">
        <v>1757516084154</v>
      </c>
      <c r="D941" s="58" t="s">
        <v>3153</v>
      </c>
      <c r="E941" s="58" t="s">
        <v>424</v>
      </c>
      <c r="F941" s="58" t="s">
        <v>445</v>
      </c>
    </row>
    <row r="942" spans="2:6" x14ac:dyDescent="0.3">
      <c r="B942" s="58" t="s">
        <v>426</v>
      </c>
      <c r="C942" s="58">
        <v>1757516096525</v>
      </c>
      <c r="D942" s="58" t="s">
        <v>3154</v>
      </c>
      <c r="E942" s="58" t="s">
        <v>428</v>
      </c>
      <c r="F942" s="58" t="s">
        <v>453</v>
      </c>
    </row>
    <row r="943" spans="2:6" x14ac:dyDescent="0.3">
      <c r="B943" s="58" t="s">
        <v>426</v>
      </c>
      <c r="C943" s="58">
        <v>1757516113446</v>
      </c>
      <c r="D943" s="58" t="s">
        <v>3155</v>
      </c>
      <c r="E943" s="58" t="s">
        <v>428</v>
      </c>
      <c r="F943" s="58" t="s">
        <v>523</v>
      </c>
    </row>
    <row r="944" spans="2:6" x14ac:dyDescent="0.3">
      <c r="B944" s="58" t="s">
        <v>3108</v>
      </c>
      <c r="C944" s="58">
        <v>1757516119847</v>
      </c>
      <c r="D944" s="58" t="s">
        <v>3156</v>
      </c>
      <c r="E944" s="58" t="s">
        <v>424</v>
      </c>
      <c r="F944" s="58" t="s">
        <v>457</v>
      </c>
    </row>
    <row r="945" spans="1:7" x14ac:dyDescent="0.3">
      <c r="B945" s="58" t="s">
        <v>3108</v>
      </c>
      <c r="C945" s="58">
        <v>1757516120463</v>
      </c>
      <c r="D945" s="58" t="s">
        <v>3157</v>
      </c>
      <c r="E945" s="58" t="s">
        <v>424</v>
      </c>
      <c r="F945" s="58" t="s">
        <v>459</v>
      </c>
    </row>
    <row r="946" spans="1:7" x14ac:dyDescent="0.3">
      <c r="B946" s="58" t="s">
        <v>3108</v>
      </c>
      <c r="C946" s="58">
        <v>1757516121370</v>
      </c>
      <c r="D946" s="58" t="s">
        <v>3158</v>
      </c>
      <c r="E946" s="58" t="s">
        <v>424</v>
      </c>
      <c r="F946" s="58" t="s">
        <v>461</v>
      </c>
    </row>
    <row r="947" spans="1:7" x14ac:dyDescent="0.3">
      <c r="B947" s="58" t="s">
        <v>426</v>
      </c>
      <c r="C947" s="58">
        <v>1757516128245</v>
      </c>
      <c r="D947" s="58" t="s">
        <v>3159</v>
      </c>
      <c r="E947" s="58" t="s">
        <v>428</v>
      </c>
      <c r="F947" s="58" t="s">
        <v>447</v>
      </c>
    </row>
    <row r="948" spans="1:7" x14ac:dyDescent="0.3">
      <c r="B948" s="58" t="s">
        <v>3108</v>
      </c>
      <c r="C948" s="58">
        <v>1757516130181</v>
      </c>
      <c r="D948" s="58" t="s">
        <v>3160</v>
      </c>
      <c r="E948" s="58" t="s">
        <v>424</v>
      </c>
      <c r="F948" s="58" t="s">
        <v>449</v>
      </c>
    </row>
    <row r="949" spans="1:7" x14ac:dyDescent="0.3">
      <c r="B949" s="58" t="s">
        <v>3108</v>
      </c>
      <c r="C949" s="58">
        <v>1757516136392</v>
      </c>
      <c r="D949" s="58" t="s">
        <v>3161</v>
      </c>
      <c r="E949" s="58" t="s">
        <v>424</v>
      </c>
      <c r="F949" s="58" t="s">
        <v>451</v>
      </c>
      <c r="G949" s="58"/>
    </row>
    <row r="950" spans="1:7" x14ac:dyDescent="0.3">
      <c r="B950" s="58" t="s">
        <v>3108</v>
      </c>
      <c r="C950" s="58">
        <v>1757516147580</v>
      </c>
      <c r="D950" s="58" t="s">
        <v>3162</v>
      </c>
      <c r="E950" s="58" t="s">
        <v>463</v>
      </c>
      <c r="F950" s="58" t="s">
        <v>464</v>
      </c>
      <c r="G950" s="58"/>
    </row>
    <row r="951" spans="1:7" x14ac:dyDescent="0.3">
      <c r="B951" s="58" t="s">
        <v>426</v>
      </c>
      <c r="C951" s="58">
        <v>1757516149550</v>
      </c>
      <c r="D951" s="58" t="s">
        <v>3163</v>
      </c>
      <c r="E951" s="58" t="s">
        <v>428</v>
      </c>
      <c r="F951" s="58" t="s">
        <v>455</v>
      </c>
      <c r="G951" s="58"/>
    </row>
    <row r="952" spans="1:7" ht="21" x14ac:dyDescent="0.4">
      <c r="A952" s="69" t="s">
        <v>49</v>
      </c>
      <c r="B952" s="63" t="s">
        <v>3174</v>
      </c>
      <c r="C952" s="63">
        <v>1757518972731</v>
      </c>
      <c r="D952" s="63" t="s">
        <v>3175</v>
      </c>
      <c r="E952" s="63" t="s">
        <v>416</v>
      </c>
      <c r="F952" s="63" t="s">
        <v>417</v>
      </c>
    </row>
    <row r="953" spans="1:7" x14ac:dyDescent="0.3">
      <c r="B953" s="63" t="s">
        <v>3174</v>
      </c>
      <c r="C953" s="63">
        <v>1757518978626</v>
      </c>
      <c r="D953" s="63" t="s">
        <v>3176</v>
      </c>
      <c r="E953" s="63" t="s">
        <v>419</v>
      </c>
      <c r="F953" s="63" t="s">
        <v>420</v>
      </c>
    </row>
    <row r="954" spans="1:7" x14ac:dyDescent="0.3">
      <c r="B954" s="63" t="s">
        <v>3174</v>
      </c>
      <c r="C954" s="63">
        <v>1757519112615</v>
      </c>
      <c r="D954" s="63" t="s">
        <v>3177</v>
      </c>
      <c r="E954" s="63" t="s">
        <v>389</v>
      </c>
      <c r="F954" s="63" t="s">
        <v>2737</v>
      </c>
    </row>
    <row r="955" spans="1:7" x14ac:dyDescent="0.3">
      <c r="B955" s="63" t="s">
        <v>3174</v>
      </c>
      <c r="C955" s="63">
        <v>1757519112773</v>
      </c>
      <c r="D955" s="63" t="s">
        <v>3178</v>
      </c>
      <c r="E955" s="63" t="s">
        <v>389</v>
      </c>
      <c r="F955" s="63" t="s">
        <v>2739</v>
      </c>
    </row>
    <row r="956" spans="1:7" x14ac:dyDescent="0.3">
      <c r="B956" s="63" t="s">
        <v>3174</v>
      </c>
      <c r="C956" s="63">
        <v>1757519113175</v>
      </c>
      <c r="D956" s="63" t="s">
        <v>3179</v>
      </c>
      <c r="E956" s="63" t="s">
        <v>389</v>
      </c>
      <c r="F956" s="63" t="s">
        <v>2735</v>
      </c>
    </row>
    <row r="957" spans="1:7" x14ac:dyDescent="0.3">
      <c r="B957" s="63" t="s">
        <v>3174</v>
      </c>
      <c r="C957" s="63">
        <v>1757519113267</v>
      </c>
      <c r="D957" s="63" t="s">
        <v>3180</v>
      </c>
      <c r="E957" s="63" t="s">
        <v>389</v>
      </c>
      <c r="F957" s="63" t="s">
        <v>2731</v>
      </c>
    </row>
    <row r="958" spans="1:7" x14ac:dyDescent="0.3">
      <c r="B958" s="63" t="s">
        <v>3174</v>
      </c>
      <c r="C958" s="63">
        <v>1757519113368</v>
      </c>
      <c r="D958" s="63" t="s">
        <v>3181</v>
      </c>
      <c r="E958" s="63" t="s">
        <v>389</v>
      </c>
      <c r="F958" s="63" t="s">
        <v>2735</v>
      </c>
    </row>
    <row r="959" spans="1:7" x14ac:dyDescent="0.3">
      <c r="B959" s="63" t="s">
        <v>3174</v>
      </c>
      <c r="C959" s="63">
        <v>1757519114975</v>
      </c>
      <c r="D959" s="63" t="s">
        <v>3182</v>
      </c>
      <c r="E959" s="63" t="s">
        <v>389</v>
      </c>
      <c r="F959" s="63" t="s">
        <v>2737</v>
      </c>
    </row>
    <row r="960" spans="1:7" x14ac:dyDescent="0.3">
      <c r="B960" s="63" t="s">
        <v>3174</v>
      </c>
      <c r="C960" s="63">
        <v>1757519115335</v>
      </c>
      <c r="D960" s="63" t="s">
        <v>3183</v>
      </c>
      <c r="E960" s="63" t="s">
        <v>389</v>
      </c>
      <c r="F960" s="63" t="s">
        <v>2735</v>
      </c>
    </row>
    <row r="961" spans="2:6" x14ac:dyDescent="0.3">
      <c r="B961" s="63" t="s">
        <v>3174</v>
      </c>
      <c r="C961" s="63">
        <v>1757519115429</v>
      </c>
      <c r="D961" s="63" t="s">
        <v>3184</v>
      </c>
      <c r="E961" s="63" t="s">
        <v>389</v>
      </c>
      <c r="F961" s="63" t="s">
        <v>2737</v>
      </c>
    </row>
    <row r="962" spans="2:6" x14ac:dyDescent="0.3">
      <c r="B962" s="63" t="s">
        <v>3174</v>
      </c>
      <c r="C962" s="63">
        <v>1757519115524</v>
      </c>
      <c r="D962" s="63" t="s">
        <v>3185</v>
      </c>
      <c r="E962" s="63" t="s">
        <v>389</v>
      </c>
      <c r="F962" s="63" t="s">
        <v>2735</v>
      </c>
    </row>
    <row r="963" spans="2:6" x14ac:dyDescent="0.3">
      <c r="B963" s="63" t="s">
        <v>3174</v>
      </c>
      <c r="C963" s="63">
        <v>1757519115652</v>
      </c>
      <c r="D963" s="63" t="s">
        <v>3186</v>
      </c>
      <c r="E963" s="63" t="s">
        <v>389</v>
      </c>
      <c r="F963" s="63" t="s">
        <v>2737</v>
      </c>
    </row>
    <row r="964" spans="2:6" x14ac:dyDescent="0.3">
      <c r="B964" s="63" t="s">
        <v>3174</v>
      </c>
      <c r="C964" s="63">
        <v>1757519115749</v>
      </c>
      <c r="D964" s="63" t="s">
        <v>3187</v>
      </c>
      <c r="E964" s="63" t="s">
        <v>389</v>
      </c>
      <c r="F964" s="63" t="s">
        <v>2735</v>
      </c>
    </row>
    <row r="965" spans="2:6" x14ac:dyDescent="0.3">
      <c r="B965" s="63" t="s">
        <v>3174</v>
      </c>
      <c r="C965" s="63">
        <v>1757519115832</v>
      </c>
      <c r="D965" s="63" t="s">
        <v>3188</v>
      </c>
      <c r="E965" s="63" t="s">
        <v>389</v>
      </c>
      <c r="F965" s="63" t="s">
        <v>2731</v>
      </c>
    </row>
    <row r="966" spans="2:6" x14ac:dyDescent="0.3">
      <c r="B966" s="63" t="s">
        <v>3174</v>
      </c>
      <c r="C966" s="63">
        <v>1757519115883</v>
      </c>
      <c r="D966" s="63" t="s">
        <v>3189</v>
      </c>
      <c r="E966" s="63" t="s">
        <v>389</v>
      </c>
      <c r="F966" s="63" t="s">
        <v>2735</v>
      </c>
    </row>
    <row r="967" spans="2:6" x14ac:dyDescent="0.3">
      <c r="B967" s="63" t="s">
        <v>3174</v>
      </c>
      <c r="C967" s="63">
        <v>1757519116581</v>
      </c>
      <c r="D967" s="63" t="s">
        <v>3190</v>
      </c>
      <c r="E967" s="63" t="s">
        <v>389</v>
      </c>
      <c r="F967" s="63" t="s">
        <v>2739</v>
      </c>
    </row>
    <row r="968" spans="2:6" x14ac:dyDescent="0.3">
      <c r="B968" s="63" t="s">
        <v>3174</v>
      </c>
      <c r="C968" s="63">
        <v>1757519117259</v>
      </c>
      <c r="D968" s="63" t="s">
        <v>3191</v>
      </c>
      <c r="E968" s="63" t="s">
        <v>389</v>
      </c>
      <c r="F968" s="63" t="s">
        <v>2737</v>
      </c>
    </row>
    <row r="969" spans="2:6" x14ac:dyDescent="0.3">
      <c r="B969" s="63" t="s">
        <v>3174</v>
      </c>
      <c r="C969" s="63">
        <v>1757519117371</v>
      </c>
      <c r="D969" s="63" t="s">
        <v>3192</v>
      </c>
      <c r="E969" s="63" t="s">
        <v>389</v>
      </c>
      <c r="F969" s="63" t="s">
        <v>2735</v>
      </c>
    </row>
    <row r="970" spans="2:6" x14ac:dyDescent="0.3">
      <c r="B970" s="63" t="s">
        <v>3174</v>
      </c>
      <c r="C970" s="63">
        <v>1757519117683</v>
      </c>
      <c r="D970" s="63" t="s">
        <v>3193</v>
      </c>
      <c r="E970" s="63" t="s">
        <v>389</v>
      </c>
      <c r="F970" s="63" t="s">
        <v>2739</v>
      </c>
    </row>
    <row r="971" spans="2:6" x14ac:dyDescent="0.3">
      <c r="B971" s="63" t="s">
        <v>3174</v>
      </c>
      <c r="C971" s="63">
        <v>1757519118443</v>
      </c>
      <c r="D971" s="63" t="s">
        <v>3194</v>
      </c>
      <c r="E971" s="63" t="s">
        <v>389</v>
      </c>
      <c r="F971" s="63" t="s">
        <v>2735</v>
      </c>
    </row>
    <row r="972" spans="2:6" x14ac:dyDescent="0.3">
      <c r="B972" s="63" t="s">
        <v>3174</v>
      </c>
      <c r="C972" s="63">
        <v>1757519120142</v>
      </c>
      <c r="D972" s="63" t="s">
        <v>3195</v>
      </c>
      <c r="E972" s="63" t="s">
        <v>389</v>
      </c>
      <c r="F972" s="63" t="s">
        <v>2731</v>
      </c>
    </row>
    <row r="973" spans="2:6" x14ac:dyDescent="0.3">
      <c r="B973" s="63" t="s">
        <v>3174</v>
      </c>
      <c r="C973" s="63">
        <v>1757519121231</v>
      </c>
      <c r="D973" s="63" t="s">
        <v>3196</v>
      </c>
      <c r="E973" s="63" t="s">
        <v>389</v>
      </c>
      <c r="F973" s="63" t="s">
        <v>2737</v>
      </c>
    </row>
    <row r="974" spans="2:6" x14ac:dyDescent="0.3">
      <c r="B974" s="63" t="s">
        <v>3174</v>
      </c>
      <c r="C974" s="63">
        <v>1757519185598</v>
      </c>
      <c r="D974" s="63" t="s">
        <v>3197</v>
      </c>
      <c r="E974" s="63" t="s">
        <v>389</v>
      </c>
      <c r="F974" s="63" t="s">
        <v>964</v>
      </c>
    </row>
    <row r="975" spans="2:6" x14ac:dyDescent="0.3">
      <c r="B975" s="63" t="s">
        <v>3174</v>
      </c>
      <c r="C975" s="63">
        <v>1757519188033</v>
      </c>
      <c r="D975" s="63" t="s">
        <v>3198</v>
      </c>
      <c r="E975" s="63" t="s">
        <v>389</v>
      </c>
      <c r="F975" s="63" t="s">
        <v>2817</v>
      </c>
    </row>
    <row r="976" spans="2:6" x14ac:dyDescent="0.3">
      <c r="B976" s="63" t="s">
        <v>3174</v>
      </c>
      <c r="C976" s="63">
        <v>1757519196113</v>
      </c>
      <c r="D976" s="63" t="s">
        <v>3199</v>
      </c>
      <c r="E976" s="63" t="s">
        <v>389</v>
      </c>
      <c r="F976" s="63" t="s">
        <v>1763</v>
      </c>
    </row>
    <row r="977" spans="2:6" x14ac:dyDescent="0.3">
      <c r="B977" s="63" t="s">
        <v>3174</v>
      </c>
      <c r="C977" s="63">
        <v>1757519223901</v>
      </c>
      <c r="D977" s="63" t="s">
        <v>3200</v>
      </c>
      <c r="E977" s="63" t="s">
        <v>389</v>
      </c>
      <c r="F977" s="63" t="s">
        <v>1230</v>
      </c>
    </row>
    <row r="978" spans="2:6" x14ac:dyDescent="0.3">
      <c r="B978" s="63" t="s">
        <v>3174</v>
      </c>
      <c r="C978" s="63">
        <v>1757519225034</v>
      </c>
      <c r="D978" s="63" t="s">
        <v>3201</v>
      </c>
      <c r="E978" s="63" t="s">
        <v>389</v>
      </c>
      <c r="F978" s="63" t="s">
        <v>3118</v>
      </c>
    </row>
    <row r="979" spans="2:6" x14ac:dyDescent="0.3">
      <c r="B979" s="63" t="s">
        <v>3174</v>
      </c>
      <c r="C979" s="63">
        <v>1757519228641</v>
      </c>
      <c r="D979" s="63" t="s">
        <v>3202</v>
      </c>
      <c r="E979" s="63" t="s">
        <v>389</v>
      </c>
      <c r="F979" s="63" t="s">
        <v>2348</v>
      </c>
    </row>
    <row r="980" spans="2:6" x14ac:dyDescent="0.3">
      <c r="B980" s="63" t="s">
        <v>3174</v>
      </c>
      <c r="C980" s="63">
        <v>1757519234117</v>
      </c>
      <c r="D980" s="63" t="s">
        <v>3203</v>
      </c>
      <c r="E980" s="63" t="s">
        <v>389</v>
      </c>
      <c r="F980" s="63" t="s">
        <v>2575</v>
      </c>
    </row>
    <row r="981" spans="2:6" x14ac:dyDescent="0.3">
      <c r="B981" s="63" t="s">
        <v>3174</v>
      </c>
      <c r="C981" s="63">
        <v>1757519238380</v>
      </c>
      <c r="D981" s="63" t="s">
        <v>3204</v>
      </c>
      <c r="E981" s="63" t="s">
        <v>389</v>
      </c>
      <c r="F981" s="63" t="s">
        <v>1564</v>
      </c>
    </row>
    <row r="982" spans="2:6" x14ac:dyDescent="0.3">
      <c r="B982" s="63" t="s">
        <v>3174</v>
      </c>
      <c r="C982" s="63">
        <v>1757519239248</v>
      </c>
      <c r="D982" s="63" t="s">
        <v>3205</v>
      </c>
      <c r="E982" s="63" t="s">
        <v>389</v>
      </c>
      <c r="F982" s="63" t="s">
        <v>1559</v>
      </c>
    </row>
    <row r="983" spans="2:6" x14ac:dyDescent="0.3">
      <c r="B983" s="63" t="s">
        <v>3174</v>
      </c>
      <c r="C983" s="63">
        <v>1757519260306</v>
      </c>
      <c r="D983" s="63" t="s">
        <v>3206</v>
      </c>
      <c r="E983" s="63" t="s">
        <v>389</v>
      </c>
      <c r="F983" s="63" t="s">
        <v>3207</v>
      </c>
    </row>
    <row r="984" spans="2:6" x14ac:dyDescent="0.3">
      <c r="B984" s="63" t="s">
        <v>3174</v>
      </c>
      <c r="C984" s="63">
        <v>1757519261229</v>
      </c>
      <c r="D984" s="63" t="s">
        <v>3208</v>
      </c>
      <c r="E984" s="63" t="s">
        <v>389</v>
      </c>
      <c r="F984" s="63" t="s">
        <v>3209</v>
      </c>
    </row>
    <row r="985" spans="2:6" x14ac:dyDescent="0.3">
      <c r="B985" s="63" t="s">
        <v>3174</v>
      </c>
      <c r="C985" s="63">
        <v>1757519346224</v>
      </c>
      <c r="D985" s="63" t="s">
        <v>3210</v>
      </c>
      <c r="E985" s="63" t="s">
        <v>422</v>
      </c>
      <c r="F985" s="63" t="s">
        <v>420</v>
      </c>
    </row>
    <row r="986" spans="2:6" x14ac:dyDescent="0.3">
      <c r="B986" s="63" t="s">
        <v>426</v>
      </c>
      <c r="C986" s="63">
        <v>1757519363908</v>
      </c>
      <c r="D986" s="63" t="s">
        <v>3211</v>
      </c>
      <c r="E986" s="63" t="s">
        <v>428</v>
      </c>
      <c r="F986" s="63" t="s">
        <v>453</v>
      </c>
    </row>
    <row r="987" spans="2:6" x14ac:dyDescent="0.3">
      <c r="B987" s="63" t="s">
        <v>3174</v>
      </c>
      <c r="C987" s="63">
        <v>1757519371566</v>
      </c>
      <c r="D987" s="63" t="s">
        <v>3212</v>
      </c>
      <c r="E987" s="63" t="s">
        <v>424</v>
      </c>
      <c r="F987" s="63" t="s">
        <v>457</v>
      </c>
    </row>
    <row r="988" spans="2:6" x14ac:dyDescent="0.3">
      <c r="B988" s="63" t="s">
        <v>3174</v>
      </c>
      <c r="C988" s="63">
        <v>1757519376100</v>
      </c>
      <c r="D988" s="63" t="s">
        <v>3213</v>
      </c>
      <c r="E988" s="63" t="s">
        <v>424</v>
      </c>
      <c r="F988" s="63" t="s">
        <v>459</v>
      </c>
    </row>
    <row r="989" spans="2:6" x14ac:dyDescent="0.3">
      <c r="B989" s="63" t="s">
        <v>426</v>
      </c>
      <c r="C989" s="63">
        <v>1757519381624</v>
      </c>
      <c r="D989" s="63" t="s">
        <v>3214</v>
      </c>
      <c r="E989" s="63" t="s">
        <v>428</v>
      </c>
      <c r="F989" s="63" t="s">
        <v>429</v>
      </c>
    </row>
    <row r="990" spans="2:6" x14ac:dyDescent="0.3">
      <c r="B990" s="63" t="s">
        <v>426</v>
      </c>
      <c r="C990" s="63">
        <v>1757519399246</v>
      </c>
      <c r="D990" s="63" t="s">
        <v>3215</v>
      </c>
      <c r="E990" s="63" t="s">
        <v>428</v>
      </c>
      <c r="F990" s="63" t="s">
        <v>431</v>
      </c>
    </row>
    <row r="991" spans="2:6" x14ac:dyDescent="0.3">
      <c r="B991" s="63" t="s">
        <v>3174</v>
      </c>
      <c r="C991" s="63">
        <v>1757519411551</v>
      </c>
      <c r="D991" s="63" t="s">
        <v>3216</v>
      </c>
      <c r="E991" s="63" t="s">
        <v>424</v>
      </c>
      <c r="F991" s="63" t="s">
        <v>461</v>
      </c>
    </row>
    <row r="992" spans="2:6" x14ac:dyDescent="0.3">
      <c r="B992" s="63" t="s">
        <v>426</v>
      </c>
      <c r="C992" s="63">
        <v>1757519414741</v>
      </c>
      <c r="D992" s="63" t="s">
        <v>3217</v>
      </c>
      <c r="E992" s="63" t="s">
        <v>428</v>
      </c>
      <c r="F992" s="63" t="s">
        <v>447</v>
      </c>
    </row>
    <row r="993" spans="2:6" x14ac:dyDescent="0.3">
      <c r="B993" s="63" t="s">
        <v>3174</v>
      </c>
      <c r="C993" s="63">
        <v>1757519417455</v>
      </c>
      <c r="D993" s="63" t="s">
        <v>3218</v>
      </c>
      <c r="E993" s="63" t="s">
        <v>424</v>
      </c>
      <c r="F993" s="63" t="s">
        <v>433</v>
      </c>
    </row>
    <row r="994" spans="2:6" x14ac:dyDescent="0.3">
      <c r="B994" s="63" t="s">
        <v>3174</v>
      </c>
      <c r="C994" s="63">
        <v>1757519427457</v>
      </c>
      <c r="D994" s="63" t="s">
        <v>3219</v>
      </c>
      <c r="E994" s="63" t="s">
        <v>424</v>
      </c>
      <c r="F994" s="63" t="s">
        <v>449</v>
      </c>
    </row>
    <row r="995" spans="2:6" x14ac:dyDescent="0.3">
      <c r="B995" s="63" t="s">
        <v>426</v>
      </c>
      <c r="C995" s="63">
        <v>1757519430226</v>
      </c>
      <c r="D995" s="63" t="s">
        <v>3220</v>
      </c>
      <c r="E995" s="63" t="s">
        <v>428</v>
      </c>
      <c r="F995" s="63" t="s">
        <v>435</v>
      </c>
    </row>
    <row r="996" spans="2:6" x14ac:dyDescent="0.3">
      <c r="B996" s="63" t="s">
        <v>3174</v>
      </c>
      <c r="C996" s="63">
        <v>1757519432938</v>
      </c>
      <c r="D996" s="63" t="s">
        <v>3221</v>
      </c>
      <c r="E996" s="63" t="s">
        <v>424</v>
      </c>
      <c r="F996" s="63" t="s">
        <v>451</v>
      </c>
    </row>
    <row r="997" spans="2:6" x14ac:dyDescent="0.3">
      <c r="B997" s="63" t="s">
        <v>426</v>
      </c>
      <c r="C997" s="63">
        <v>1757519445026</v>
      </c>
      <c r="D997" s="63" t="s">
        <v>3222</v>
      </c>
      <c r="E997" s="63" t="s">
        <v>428</v>
      </c>
      <c r="F997" s="63" t="s">
        <v>437</v>
      </c>
    </row>
    <row r="998" spans="2:6" x14ac:dyDescent="0.3">
      <c r="B998" s="63" t="s">
        <v>426</v>
      </c>
      <c r="C998" s="63">
        <v>1757519461323</v>
      </c>
      <c r="D998" s="63" t="s">
        <v>3223</v>
      </c>
      <c r="E998" s="63" t="s">
        <v>428</v>
      </c>
      <c r="F998" s="63" t="s">
        <v>439</v>
      </c>
    </row>
    <row r="999" spans="2:6" x14ac:dyDescent="0.3">
      <c r="B999" s="63" t="s">
        <v>3174</v>
      </c>
      <c r="C999" s="63">
        <v>1757519465657</v>
      </c>
      <c r="D999" s="63" t="s">
        <v>3224</v>
      </c>
      <c r="E999" s="63" t="s">
        <v>424</v>
      </c>
      <c r="F999" s="63" t="s">
        <v>441</v>
      </c>
    </row>
    <row r="1000" spans="2:6" x14ac:dyDescent="0.3">
      <c r="B1000" s="63" t="s">
        <v>3174</v>
      </c>
      <c r="C1000" s="63">
        <v>1757519473217</v>
      </c>
      <c r="D1000" s="63" t="s">
        <v>3225</v>
      </c>
      <c r="E1000" s="63" t="s">
        <v>424</v>
      </c>
      <c r="F1000" s="63" t="s">
        <v>425</v>
      </c>
    </row>
    <row r="1001" spans="2:6" x14ac:dyDescent="0.3">
      <c r="B1001" s="63" t="s">
        <v>426</v>
      </c>
      <c r="C1001" s="63">
        <v>1757519476835</v>
      </c>
      <c r="D1001" s="63" t="s">
        <v>3226</v>
      </c>
      <c r="E1001" s="63" t="s">
        <v>428</v>
      </c>
      <c r="F1001" s="63" t="s">
        <v>538</v>
      </c>
    </row>
    <row r="1002" spans="2:6" x14ac:dyDescent="0.3">
      <c r="B1002" s="63" t="s">
        <v>3174</v>
      </c>
      <c r="C1002" s="63">
        <v>1757519480303</v>
      </c>
      <c r="D1002" s="63" t="s">
        <v>3227</v>
      </c>
      <c r="E1002" s="63" t="s">
        <v>424</v>
      </c>
      <c r="F1002" s="63" t="s">
        <v>570</v>
      </c>
    </row>
    <row r="1003" spans="2:6" x14ac:dyDescent="0.3">
      <c r="B1003" s="63" t="s">
        <v>3174</v>
      </c>
      <c r="C1003" s="63">
        <v>1757519491603</v>
      </c>
      <c r="D1003" s="63" t="s">
        <v>3228</v>
      </c>
      <c r="E1003" s="63" t="s">
        <v>463</v>
      </c>
      <c r="F1003" s="63" t="s">
        <v>464</v>
      </c>
    </row>
    <row r="1004" spans="2:6" x14ac:dyDescent="0.3">
      <c r="B1004" s="63" t="s">
        <v>426</v>
      </c>
      <c r="C1004" s="63">
        <v>1757519494514</v>
      </c>
      <c r="D1004" s="63" t="s">
        <v>3229</v>
      </c>
      <c r="E1004" s="63" t="s">
        <v>428</v>
      </c>
      <c r="F1004" s="63" t="s">
        <v>672</v>
      </c>
    </row>
    <row r="1005" spans="2:6" x14ac:dyDescent="0.3">
      <c r="B1005" s="58" t="s">
        <v>3230</v>
      </c>
      <c r="C1005" s="58">
        <v>1757519503217</v>
      </c>
      <c r="D1005" s="58" t="s">
        <v>3231</v>
      </c>
      <c r="E1005" s="58" t="s">
        <v>416</v>
      </c>
      <c r="F1005" t="s">
        <v>466</v>
      </c>
    </row>
    <row r="1006" spans="2:6" x14ac:dyDescent="0.3">
      <c r="B1006" s="58" t="s">
        <v>3230</v>
      </c>
      <c r="C1006" s="58">
        <v>1757519503412</v>
      </c>
      <c r="D1006" s="58" t="s">
        <v>3232</v>
      </c>
      <c r="E1006" s="58" t="s">
        <v>468</v>
      </c>
      <c r="F1006" t="s">
        <v>3233</v>
      </c>
    </row>
    <row r="1007" spans="2:6" x14ac:dyDescent="0.3">
      <c r="B1007" s="58" t="s">
        <v>3230</v>
      </c>
      <c r="C1007" s="58">
        <v>1757519503915</v>
      </c>
      <c r="D1007" s="58" t="s">
        <v>3234</v>
      </c>
      <c r="E1007" s="58" t="s">
        <v>419</v>
      </c>
      <c r="F1007" t="s">
        <v>420</v>
      </c>
    </row>
    <row r="1008" spans="2:6" x14ac:dyDescent="0.3">
      <c r="B1008" s="58" t="s">
        <v>3230</v>
      </c>
      <c r="C1008" s="58">
        <v>1757519626158</v>
      </c>
      <c r="D1008" s="58" t="s">
        <v>3235</v>
      </c>
      <c r="E1008" s="58" t="s">
        <v>389</v>
      </c>
      <c r="F1008" t="s">
        <v>3236</v>
      </c>
    </row>
    <row r="1009" spans="2:7" x14ac:dyDescent="0.3">
      <c r="B1009" s="58" t="s">
        <v>3230</v>
      </c>
      <c r="C1009" s="58">
        <v>1757519627670</v>
      </c>
      <c r="D1009" s="58" t="s">
        <v>3237</v>
      </c>
      <c r="E1009" s="58" t="s">
        <v>389</v>
      </c>
      <c r="F1009" t="s">
        <v>3238</v>
      </c>
    </row>
    <row r="1010" spans="2:7" x14ac:dyDescent="0.3">
      <c r="B1010" s="58" t="s">
        <v>3230</v>
      </c>
      <c r="C1010" s="58">
        <v>1757519629257</v>
      </c>
      <c r="D1010" s="58" t="s">
        <v>3239</v>
      </c>
      <c r="E1010" s="58" t="s">
        <v>389</v>
      </c>
      <c r="F1010" s="58" t="s">
        <v>3240</v>
      </c>
      <c r="G1010" s="58"/>
    </row>
    <row r="1011" spans="2:7" x14ac:dyDescent="0.3">
      <c r="B1011" s="58" t="s">
        <v>3230</v>
      </c>
      <c r="C1011" s="58">
        <v>1757519633190</v>
      </c>
      <c r="D1011" s="58" t="s">
        <v>3241</v>
      </c>
      <c r="E1011" s="58" t="s">
        <v>389</v>
      </c>
      <c r="F1011" s="58" t="s">
        <v>3209</v>
      </c>
      <c r="G1011" s="58"/>
    </row>
    <row r="1012" spans="2:7" x14ac:dyDescent="0.3">
      <c r="B1012" s="58" t="s">
        <v>3230</v>
      </c>
      <c r="C1012" s="58">
        <v>1757519633690</v>
      </c>
      <c r="D1012" s="58" t="s">
        <v>3242</v>
      </c>
      <c r="E1012" s="58" t="s">
        <v>389</v>
      </c>
      <c r="F1012" s="58" t="s">
        <v>3240</v>
      </c>
      <c r="G1012" s="58"/>
    </row>
    <row r="1013" spans="2:7" x14ac:dyDescent="0.3">
      <c r="B1013" s="58" t="s">
        <v>3230</v>
      </c>
      <c r="C1013" s="58">
        <v>1757519638585</v>
      </c>
      <c r="D1013" s="58" t="s">
        <v>3243</v>
      </c>
      <c r="E1013" s="58" t="s">
        <v>389</v>
      </c>
      <c r="F1013" s="58" t="s">
        <v>3209</v>
      </c>
      <c r="G1013" s="58"/>
    </row>
    <row r="1014" spans="2:7" x14ac:dyDescent="0.3">
      <c r="B1014" s="58" t="s">
        <v>3230</v>
      </c>
      <c r="C1014" s="58">
        <v>1757519641195</v>
      </c>
      <c r="D1014" s="58" t="s">
        <v>3244</v>
      </c>
      <c r="E1014" s="58" t="s">
        <v>389</v>
      </c>
      <c r="F1014" s="58" t="s">
        <v>3240</v>
      </c>
      <c r="G1014" s="58"/>
    </row>
    <row r="1015" spans="2:7" x14ac:dyDescent="0.3">
      <c r="B1015" s="58" t="s">
        <v>3230</v>
      </c>
      <c r="C1015" s="58">
        <v>1757519643752</v>
      </c>
      <c r="D1015" s="58" t="s">
        <v>3245</v>
      </c>
      <c r="E1015" s="58" t="s">
        <v>389</v>
      </c>
      <c r="F1015" s="58" t="s">
        <v>3209</v>
      </c>
      <c r="G1015" s="58"/>
    </row>
    <row r="1016" spans="2:7" x14ac:dyDescent="0.3">
      <c r="B1016" s="58" t="s">
        <v>3230</v>
      </c>
      <c r="C1016" s="58">
        <v>1757519644082</v>
      </c>
      <c r="D1016" s="58" t="s">
        <v>3246</v>
      </c>
      <c r="E1016" s="58" t="s">
        <v>389</v>
      </c>
      <c r="F1016" s="58" t="s">
        <v>3240</v>
      </c>
      <c r="G1016" s="58"/>
    </row>
    <row r="1017" spans="2:7" x14ac:dyDescent="0.3">
      <c r="B1017" s="58" t="s">
        <v>3230</v>
      </c>
      <c r="C1017" s="58">
        <v>1757519644149</v>
      </c>
      <c r="D1017" s="58" t="s">
        <v>3247</v>
      </c>
      <c r="E1017" s="58" t="s">
        <v>389</v>
      </c>
      <c r="F1017" s="58" t="s">
        <v>3238</v>
      </c>
      <c r="G1017" s="58"/>
    </row>
    <row r="1018" spans="2:7" x14ac:dyDescent="0.3">
      <c r="B1018" s="58" t="s">
        <v>3230</v>
      </c>
      <c r="C1018" s="58">
        <v>1757519680893</v>
      </c>
      <c r="D1018" s="58" t="s">
        <v>3248</v>
      </c>
      <c r="E1018" s="58" t="s">
        <v>422</v>
      </c>
      <c r="F1018" s="58" t="s">
        <v>420</v>
      </c>
      <c r="G1018" s="58"/>
    </row>
    <row r="1019" spans="2:7" x14ac:dyDescent="0.3">
      <c r="B1019" s="58" t="s">
        <v>426</v>
      </c>
      <c r="C1019" s="58">
        <v>1757519695485</v>
      </c>
      <c r="D1019" s="58" t="s">
        <v>3249</v>
      </c>
      <c r="E1019" s="58" t="s">
        <v>428</v>
      </c>
      <c r="F1019" s="58" t="s">
        <v>453</v>
      </c>
      <c r="G1019" s="58"/>
    </row>
    <row r="1020" spans="2:7" x14ac:dyDescent="0.3">
      <c r="B1020" s="58" t="s">
        <v>3230</v>
      </c>
      <c r="C1020" s="58">
        <v>1757519703625</v>
      </c>
      <c r="D1020" s="58" t="s">
        <v>3250</v>
      </c>
      <c r="E1020" s="58" t="s">
        <v>424</v>
      </c>
      <c r="F1020" s="58" t="s">
        <v>457</v>
      </c>
      <c r="G1020" s="58"/>
    </row>
    <row r="1021" spans="2:7" x14ac:dyDescent="0.3">
      <c r="B1021" s="58" t="s">
        <v>3230</v>
      </c>
      <c r="C1021" s="58">
        <v>1757519709166</v>
      </c>
      <c r="D1021" s="58" t="s">
        <v>3251</v>
      </c>
      <c r="E1021" s="58" t="s">
        <v>424</v>
      </c>
      <c r="F1021" s="58" t="s">
        <v>459</v>
      </c>
      <c r="G1021" s="58"/>
    </row>
    <row r="1022" spans="2:7" x14ac:dyDescent="0.3">
      <c r="B1022" s="58" t="s">
        <v>426</v>
      </c>
      <c r="C1022" s="58">
        <v>1757519710950</v>
      </c>
      <c r="D1022" s="58" t="s">
        <v>3252</v>
      </c>
      <c r="E1022" s="58" t="s">
        <v>428</v>
      </c>
      <c r="F1022" s="58" t="s">
        <v>429</v>
      </c>
      <c r="G1022" s="58"/>
    </row>
    <row r="1023" spans="2:7" x14ac:dyDescent="0.3">
      <c r="B1023" s="58" t="s">
        <v>426</v>
      </c>
      <c r="C1023" s="58">
        <v>1757519725650</v>
      </c>
      <c r="D1023" s="58" t="s">
        <v>3253</v>
      </c>
      <c r="E1023" s="58" t="s">
        <v>428</v>
      </c>
      <c r="F1023" s="58" t="s">
        <v>431</v>
      </c>
      <c r="G1023" s="58"/>
    </row>
    <row r="1024" spans="2:7" x14ac:dyDescent="0.3">
      <c r="B1024" s="58" t="s">
        <v>3230</v>
      </c>
      <c r="C1024" s="58">
        <v>1757519725706</v>
      </c>
      <c r="D1024" s="58" t="s">
        <v>3254</v>
      </c>
      <c r="E1024" s="58" t="s">
        <v>424</v>
      </c>
      <c r="F1024" s="58" t="s">
        <v>461</v>
      </c>
      <c r="G1024" s="58"/>
    </row>
    <row r="1025" spans="1:7" x14ac:dyDescent="0.3">
      <c r="B1025" s="58" t="s">
        <v>3230</v>
      </c>
      <c r="C1025" s="58">
        <v>1757519732981</v>
      </c>
      <c r="D1025" s="58" t="s">
        <v>3255</v>
      </c>
      <c r="E1025" s="58" t="s">
        <v>424</v>
      </c>
      <c r="F1025" s="58" t="s">
        <v>433</v>
      </c>
      <c r="G1025" s="58"/>
    </row>
    <row r="1026" spans="1:7" x14ac:dyDescent="0.3">
      <c r="B1026" s="58" t="s">
        <v>426</v>
      </c>
      <c r="C1026" s="58">
        <v>1757519740446</v>
      </c>
      <c r="D1026" s="58" t="s">
        <v>3256</v>
      </c>
      <c r="E1026" s="58" t="s">
        <v>428</v>
      </c>
      <c r="F1026" s="58" t="s">
        <v>447</v>
      </c>
      <c r="G1026" s="58"/>
    </row>
    <row r="1027" spans="1:7" x14ac:dyDescent="0.3">
      <c r="B1027" s="58" t="s">
        <v>3230</v>
      </c>
      <c r="C1027" s="58">
        <v>1757519742182</v>
      </c>
      <c r="D1027" s="58" t="s">
        <v>3257</v>
      </c>
      <c r="E1027" s="58" t="s">
        <v>424</v>
      </c>
      <c r="F1027" s="58" t="s">
        <v>449</v>
      </c>
      <c r="G1027" s="58"/>
    </row>
    <row r="1028" spans="1:7" x14ac:dyDescent="0.3">
      <c r="B1028" s="58" t="s">
        <v>3230</v>
      </c>
      <c r="C1028" s="58">
        <v>1757519750484</v>
      </c>
      <c r="D1028" s="58" t="s">
        <v>3258</v>
      </c>
      <c r="E1028" s="58" t="s">
        <v>424</v>
      </c>
      <c r="F1028" s="58" t="s">
        <v>451</v>
      </c>
      <c r="G1028" s="58"/>
    </row>
    <row r="1029" spans="1:7" x14ac:dyDescent="0.3">
      <c r="B1029" s="58" t="s">
        <v>426</v>
      </c>
      <c r="C1029" s="58">
        <v>1757519759540</v>
      </c>
      <c r="D1029" s="58" t="s">
        <v>3259</v>
      </c>
      <c r="E1029" s="58" t="s">
        <v>428</v>
      </c>
      <c r="F1029" s="58" t="s">
        <v>435</v>
      </c>
      <c r="G1029" s="58"/>
    </row>
    <row r="1030" spans="1:7" x14ac:dyDescent="0.3">
      <c r="B1030" s="58" t="s">
        <v>426</v>
      </c>
      <c r="C1030" s="58">
        <v>1757519778643</v>
      </c>
      <c r="D1030" s="58" t="s">
        <v>3260</v>
      </c>
      <c r="E1030" s="58" t="s">
        <v>428</v>
      </c>
      <c r="F1030" s="58" t="s">
        <v>437</v>
      </c>
      <c r="G1030" s="58"/>
    </row>
    <row r="1031" spans="1:7" x14ac:dyDescent="0.3">
      <c r="B1031" s="58" t="s">
        <v>426</v>
      </c>
      <c r="C1031" s="58">
        <v>1757519797017</v>
      </c>
      <c r="D1031" s="58" t="s">
        <v>3261</v>
      </c>
      <c r="E1031" s="58" t="s">
        <v>428</v>
      </c>
      <c r="F1031" s="58" t="s">
        <v>439</v>
      </c>
      <c r="G1031" s="58"/>
    </row>
    <row r="1032" spans="1:7" x14ac:dyDescent="0.3">
      <c r="B1032" s="58" t="s">
        <v>3230</v>
      </c>
      <c r="C1032" s="58">
        <v>1757519797841</v>
      </c>
      <c r="D1032" s="58" t="s">
        <v>3262</v>
      </c>
      <c r="E1032" s="58" t="s">
        <v>424</v>
      </c>
      <c r="F1032" s="58" t="s">
        <v>441</v>
      </c>
      <c r="G1032" s="58"/>
    </row>
    <row r="1033" spans="1:7" x14ac:dyDescent="0.3">
      <c r="B1033" s="58" t="s">
        <v>426</v>
      </c>
      <c r="C1033" s="58">
        <v>1757519813217</v>
      </c>
      <c r="D1033" s="58" t="s">
        <v>3263</v>
      </c>
      <c r="E1033" s="58" t="s">
        <v>428</v>
      </c>
      <c r="F1033" s="58" t="s">
        <v>538</v>
      </c>
      <c r="G1033" s="58"/>
    </row>
    <row r="1034" spans="1:7" x14ac:dyDescent="0.3">
      <c r="B1034" s="58" t="s">
        <v>3230</v>
      </c>
      <c r="C1034" s="58">
        <v>1757519813765</v>
      </c>
      <c r="D1034" s="58" t="s">
        <v>3264</v>
      </c>
      <c r="E1034" s="58" t="s">
        <v>424</v>
      </c>
      <c r="F1034" s="58" t="s">
        <v>445</v>
      </c>
      <c r="G1034" s="58"/>
    </row>
    <row r="1035" spans="1:7" x14ac:dyDescent="0.3">
      <c r="B1035" s="58" t="s">
        <v>3230</v>
      </c>
      <c r="C1035" s="58">
        <v>1757519819797</v>
      </c>
      <c r="D1035" s="58" t="s">
        <v>3265</v>
      </c>
      <c r="E1035" s="58" t="s">
        <v>424</v>
      </c>
      <c r="F1035" s="58" t="s">
        <v>425</v>
      </c>
      <c r="G1035" s="58"/>
    </row>
    <row r="1036" spans="1:7" x14ac:dyDescent="0.3">
      <c r="B1036" s="58" t="s">
        <v>3230</v>
      </c>
      <c r="C1036" s="58">
        <v>1757519822041</v>
      </c>
      <c r="D1036" s="58" t="s">
        <v>3266</v>
      </c>
      <c r="E1036" s="58" t="s">
        <v>424</v>
      </c>
      <c r="F1036" s="58" t="s">
        <v>570</v>
      </c>
      <c r="G1036" s="58"/>
    </row>
    <row r="1037" spans="1:7" x14ac:dyDescent="0.3">
      <c r="B1037" s="58" t="s">
        <v>3230</v>
      </c>
      <c r="C1037" s="58">
        <v>1757519822708</v>
      </c>
      <c r="D1037" s="58" t="s">
        <v>3267</v>
      </c>
      <c r="E1037" s="58" t="s">
        <v>463</v>
      </c>
      <c r="F1037" s="58" t="s">
        <v>464</v>
      </c>
      <c r="G1037" s="58"/>
    </row>
    <row r="1038" spans="1:7" ht="21" x14ac:dyDescent="0.4">
      <c r="A1038" s="69" t="s">
        <v>50</v>
      </c>
      <c r="B1038" s="63" t="s">
        <v>3529</v>
      </c>
      <c r="C1038" s="63">
        <v>1757663500609</v>
      </c>
      <c r="D1038" s="63" t="s">
        <v>3530</v>
      </c>
      <c r="E1038" s="63" t="s">
        <v>416</v>
      </c>
      <c r="F1038" t="s">
        <v>417</v>
      </c>
    </row>
    <row r="1039" spans="1:7" x14ac:dyDescent="0.3">
      <c r="B1039" s="63" t="s">
        <v>3529</v>
      </c>
      <c r="C1039" s="63">
        <v>1757663501115</v>
      </c>
      <c r="D1039" s="63" t="s">
        <v>3531</v>
      </c>
      <c r="E1039" s="63" t="s">
        <v>419</v>
      </c>
      <c r="F1039" t="s">
        <v>420</v>
      </c>
    </row>
    <row r="1040" spans="1:7" x14ac:dyDescent="0.3">
      <c r="B1040" s="63" t="s">
        <v>3529</v>
      </c>
      <c r="C1040" s="63">
        <v>1757663520850</v>
      </c>
      <c r="D1040" s="63" t="s">
        <v>3532</v>
      </c>
      <c r="E1040" s="63" t="s">
        <v>389</v>
      </c>
      <c r="F1040" t="s">
        <v>396</v>
      </c>
    </row>
    <row r="1041" spans="2:6" x14ac:dyDescent="0.3">
      <c r="B1041" s="63" t="s">
        <v>3529</v>
      </c>
      <c r="C1041" s="63">
        <v>1757663522166</v>
      </c>
      <c r="D1041" s="63" t="s">
        <v>3533</v>
      </c>
      <c r="E1041" s="63" t="s">
        <v>389</v>
      </c>
      <c r="F1041" t="s">
        <v>398</v>
      </c>
    </row>
    <row r="1042" spans="2:6" x14ac:dyDescent="0.3">
      <c r="B1042" s="63" t="s">
        <v>3529</v>
      </c>
      <c r="C1042" s="63">
        <v>1757663534667</v>
      </c>
      <c r="D1042" s="63" t="s">
        <v>3534</v>
      </c>
      <c r="E1042" s="63" t="s">
        <v>389</v>
      </c>
      <c r="F1042" t="s">
        <v>392</v>
      </c>
    </row>
    <row r="1043" spans="2:6" x14ac:dyDescent="0.3">
      <c r="B1043" s="63" t="s">
        <v>3529</v>
      </c>
      <c r="C1043" s="63">
        <v>1757663537559</v>
      </c>
      <c r="D1043" s="63" t="s">
        <v>3535</v>
      </c>
      <c r="E1043" s="63" t="s">
        <v>389</v>
      </c>
      <c r="F1043" t="s">
        <v>506</v>
      </c>
    </row>
    <row r="1044" spans="2:6" x14ac:dyDescent="0.3">
      <c r="B1044" s="63" t="s">
        <v>3529</v>
      </c>
      <c r="C1044" s="63">
        <v>1757663538616</v>
      </c>
      <c r="D1044" s="63" t="s">
        <v>3536</v>
      </c>
      <c r="E1044" s="63" t="s">
        <v>389</v>
      </c>
      <c r="F1044" t="s">
        <v>390</v>
      </c>
    </row>
    <row r="1045" spans="2:6" x14ac:dyDescent="0.3">
      <c r="B1045" s="63" t="s">
        <v>3529</v>
      </c>
      <c r="C1045" s="63">
        <v>1757663540222</v>
      </c>
      <c r="D1045" s="63" t="s">
        <v>3537</v>
      </c>
      <c r="E1045" s="63" t="s">
        <v>389</v>
      </c>
      <c r="F1045" t="s">
        <v>659</v>
      </c>
    </row>
    <row r="1046" spans="2:6" x14ac:dyDescent="0.3">
      <c r="B1046" s="63" t="s">
        <v>3529</v>
      </c>
      <c r="C1046" s="63">
        <v>1757663548900</v>
      </c>
      <c r="D1046" s="63" t="s">
        <v>3538</v>
      </c>
      <c r="E1046" s="63" t="s">
        <v>389</v>
      </c>
      <c r="F1046" t="s">
        <v>511</v>
      </c>
    </row>
    <row r="1047" spans="2:6" x14ac:dyDescent="0.3">
      <c r="B1047" s="63" t="s">
        <v>3529</v>
      </c>
      <c r="C1047" s="63">
        <v>1757663551590</v>
      </c>
      <c r="D1047" s="63" t="s">
        <v>3539</v>
      </c>
      <c r="E1047" s="63" t="s">
        <v>389</v>
      </c>
      <c r="F1047" t="s">
        <v>508</v>
      </c>
    </row>
    <row r="1048" spans="2:6" x14ac:dyDescent="0.3">
      <c r="B1048" s="63" t="s">
        <v>3529</v>
      </c>
      <c r="C1048" s="63">
        <v>1757663552148</v>
      </c>
      <c r="D1048" s="63" t="s">
        <v>3540</v>
      </c>
      <c r="E1048" s="63" t="s">
        <v>389</v>
      </c>
      <c r="F1048" t="s">
        <v>660</v>
      </c>
    </row>
    <row r="1049" spans="2:6" x14ac:dyDescent="0.3">
      <c r="B1049" s="63" t="s">
        <v>3529</v>
      </c>
      <c r="C1049" s="63">
        <v>1757663553753</v>
      </c>
      <c r="D1049" s="63" t="s">
        <v>3541</v>
      </c>
      <c r="E1049" s="63" t="s">
        <v>389</v>
      </c>
      <c r="F1049" t="s">
        <v>495</v>
      </c>
    </row>
    <row r="1050" spans="2:6" x14ac:dyDescent="0.3">
      <c r="B1050" s="63" t="s">
        <v>3529</v>
      </c>
      <c r="C1050" s="63">
        <v>1757663563053</v>
      </c>
      <c r="D1050" s="63" t="s">
        <v>3542</v>
      </c>
      <c r="E1050" s="63" t="s">
        <v>389</v>
      </c>
      <c r="F1050" t="s">
        <v>410</v>
      </c>
    </row>
    <row r="1051" spans="2:6" x14ac:dyDescent="0.3">
      <c r="B1051" s="63" t="s">
        <v>3529</v>
      </c>
      <c r="C1051" s="63">
        <v>1757663568185</v>
      </c>
      <c r="D1051" s="63" t="s">
        <v>3543</v>
      </c>
      <c r="E1051" s="63" t="s">
        <v>389</v>
      </c>
      <c r="F1051" t="s">
        <v>414</v>
      </c>
    </row>
    <row r="1052" spans="2:6" x14ac:dyDescent="0.3">
      <c r="B1052" s="63" t="s">
        <v>3529</v>
      </c>
      <c r="C1052" s="63">
        <v>1757663574730</v>
      </c>
      <c r="D1052" s="63" t="s">
        <v>3544</v>
      </c>
      <c r="E1052" s="63" t="s">
        <v>422</v>
      </c>
      <c r="F1052" t="s">
        <v>420</v>
      </c>
    </row>
    <row r="1053" spans="2:6" x14ac:dyDescent="0.3">
      <c r="B1053" s="63" t="s">
        <v>426</v>
      </c>
      <c r="C1053" s="63">
        <v>1757663590183</v>
      </c>
      <c r="D1053" s="63" t="s">
        <v>3545</v>
      </c>
      <c r="E1053" s="63" t="s">
        <v>428</v>
      </c>
      <c r="F1053" t="s">
        <v>435</v>
      </c>
    </row>
    <row r="1054" spans="2:6" x14ac:dyDescent="0.3">
      <c r="B1054" s="63" t="s">
        <v>426</v>
      </c>
      <c r="C1054" s="63">
        <v>1757663605045</v>
      </c>
      <c r="D1054" s="63" t="s">
        <v>3546</v>
      </c>
      <c r="E1054" s="63" t="s">
        <v>428</v>
      </c>
      <c r="F1054" t="s">
        <v>437</v>
      </c>
    </row>
    <row r="1055" spans="2:6" x14ac:dyDescent="0.3">
      <c r="B1055" s="63" t="s">
        <v>426</v>
      </c>
      <c r="C1055" s="63">
        <v>1757663623502</v>
      </c>
      <c r="D1055" s="63" t="s">
        <v>3547</v>
      </c>
      <c r="E1055" s="63" t="s">
        <v>428</v>
      </c>
      <c r="F1055" t="s">
        <v>429</v>
      </c>
    </row>
    <row r="1056" spans="2:6" x14ac:dyDescent="0.3">
      <c r="B1056" s="63" t="s">
        <v>3529</v>
      </c>
      <c r="C1056" s="63">
        <v>1757663626150</v>
      </c>
      <c r="D1056" s="63" t="s">
        <v>3548</v>
      </c>
      <c r="E1056" s="63" t="s">
        <v>424</v>
      </c>
      <c r="F1056" t="s">
        <v>553</v>
      </c>
    </row>
    <row r="1057" spans="2:6" x14ac:dyDescent="0.3">
      <c r="B1057" s="63" t="s">
        <v>3529</v>
      </c>
      <c r="C1057" s="63">
        <v>1757663627148</v>
      </c>
      <c r="D1057" s="63" t="s">
        <v>3549</v>
      </c>
      <c r="E1057" s="63" t="s">
        <v>424</v>
      </c>
      <c r="F1057" t="s">
        <v>441</v>
      </c>
    </row>
    <row r="1058" spans="2:6" x14ac:dyDescent="0.3">
      <c r="B1058" s="63" t="s">
        <v>3529</v>
      </c>
      <c r="C1058" s="63">
        <v>1757663630140</v>
      </c>
      <c r="D1058" s="63" t="s">
        <v>3550</v>
      </c>
      <c r="E1058" s="63" t="s">
        <v>424</v>
      </c>
      <c r="F1058" t="s">
        <v>667</v>
      </c>
    </row>
    <row r="1059" spans="2:6" x14ac:dyDescent="0.3">
      <c r="B1059" s="63" t="s">
        <v>426</v>
      </c>
      <c r="C1059" s="63">
        <v>1757663639024</v>
      </c>
      <c r="D1059" s="63" t="s">
        <v>3551</v>
      </c>
      <c r="E1059" s="63" t="s">
        <v>428</v>
      </c>
      <c r="F1059" t="s">
        <v>538</v>
      </c>
    </row>
    <row r="1060" spans="2:6" x14ac:dyDescent="0.3">
      <c r="B1060" s="63" t="s">
        <v>3529</v>
      </c>
      <c r="C1060" s="63">
        <v>1757663641871</v>
      </c>
      <c r="D1060" s="63" t="s">
        <v>3552</v>
      </c>
      <c r="E1060" s="63" t="s">
        <v>424</v>
      </c>
      <c r="F1060" t="s">
        <v>433</v>
      </c>
    </row>
    <row r="1061" spans="2:6" x14ac:dyDescent="0.3">
      <c r="B1061" s="63" t="s">
        <v>3529</v>
      </c>
      <c r="C1061" s="63">
        <v>1757663651421</v>
      </c>
      <c r="D1061" s="63" t="s">
        <v>3553</v>
      </c>
      <c r="E1061" s="63" t="s">
        <v>424</v>
      </c>
      <c r="F1061" t="s">
        <v>518</v>
      </c>
    </row>
    <row r="1062" spans="2:6" x14ac:dyDescent="0.3">
      <c r="B1062" s="63" t="s">
        <v>3529</v>
      </c>
      <c r="C1062" s="63">
        <v>1757663654349</v>
      </c>
      <c r="D1062" s="63" t="s">
        <v>3554</v>
      </c>
      <c r="E1062" s="63" t="s">
        <v>424</v>
      </c>
      <c r="F1062" t="s">
        <v>457</v>
      </c>
    </row>
    <row r="1063" spans="2:6" x14ac:dyDescent="0.3">
      <c r="B1063" s="63" t="s">
        <v>426</v>
      </c>
      <c r="C1063" s="63">
        <v>1757663656745</v>
      </c>
      <c r="D1063" s="63" t="s">
        <v>3555</v>
      </c>
      <c r="E1063" s="63" t="s">
        <v>428</v>
      </c>
      <c r="F1063" t="s">
        <v>672</v>
      </c>
    </row>
    <row r="1064" spans="2:6" x14ac:dyDescent="0.3">
      <c r="B1064" s="63" t="s">
        <v>426</v>
      </c>
      <c r="C1064" s="63">
        <v>1757663672285</v>
      </c>
      <c r="D1064" s="63" t="s">
        <v>3556</v>
      </c>
      <c r="E1064" s="63" t="s">
        <v>428</v>
      </c>
      <c r="F1064" t="s">
        <v>447</v>
      </c>
    </row>
    <row r="1065" spans="2:6" x14ac:dyDescent="0.3">
      <c r="B1065" s="63" t="s">
        <v>3529</v>
      </c>
      <c r="C1065" s="63">
        <v>1757663673612</v>
      </c>
      <c r="D1065" s="63" t="s">
        <v>3557</v>
      </c>
      <c r="E1065" s="63" t="s">
        <v>424</v>
      </c>
      <c r="F1065" t="s">
        <v>459</v>
      </c>
    </row>
    <row r="1066" spans="2:6" x14ac:dyDescent="0.3">
      <c r="B1066" s="63" t="s">
        <v>3529</v>
      </c>
      <c r="C1066" s="63">
        <v>1757663674978</v>
      </c>
      <c r="D1066" s="63" t="s">
        <v>3558</v>
      </c>
      <c r="E1066" s="63" t="s">
        <v>424</v>
      </c>
      <c r="F1066" t="s">
        <v>461</v>
      </c>
    </row>
    <row r="1067" spans="2:6" x14ac:dyDescent="0.3">
      <c r="B1067" s="63" t="s">
        <v>426</v>
      </c>
      <c r="C1067" s="63">
        <v>1757663689238</v>
      </c>
      <c r="D1067" s="63" t="s">
        <v>3559</v>
      </c>
      <c r="E1067" s="63" t="s">
        <v>428</v>
      </c>
      <c r="F1067" t="s">
        <v>523</v>
      </c>
    </row>
    <row r="1068" spans="2:6" x14ac:dyDescent="0.3">
      <c r="B1068" s="63" t="s">
        <v>426</v>
      </c>
      <c r="C1068" s="63">
        <v>1757663710707</v>
      </c>
      <c r="D1068" s="63" t="s">
        <v>3560</v>
      </c>
      <c r="E1068" s="63" t="s">
        <v>428</v>
      </c>
      <c r="F1068" t="s">
        <v>455</v>
      </c>
    </row>
    <row r="1069" spans="2:6" x14ac:dyDescent="0.3">
      <c r="B1069" s="63" t="s">
        <v>3529</v>
      </c>
      <c r="C1069" s="63">
        <v>1757663710960</v>
      </c>
      <c r="D1069" s="63" t="s">
        <v>3561</v>
      </c>
      <c r="E1069" s="63" t="s">
        <v>424</v>
      </c>
      <c r="F1069" t="s">
        <v>449</v>
      </c>
    </row>
    <row r="1070" spans="2:6" x14ac:dyDescent="0.3">
      <c r="B1070" s="63" t="s">
        <v>3529</v>
      </c>
      <c r="C1070" s="63">
        <v>1757663711385</v>
      </c>
      <c r="D1070" s="63" t="s">
        <v>3562</v>
      </c>
      <c r="E1070" s="63" t="s">
        <v>424</v>
      </c>
      <c r="F1070" t="s">
        <v>451</v>
      </c>
    </row>
    <row r="1071" spans="2:6" x14ac:dyDescent="0.3">
      <c r="B1071" s="63" t="s">
        <v>3529</v>
      </c>
      <c r="C1071" s="63">
        <v>1757663714394</v>
      </c>
      <c r="D1071" s="63" t="s">
        <v>3563</v>
      </c>
      <c r="E1071" s="63" t="s">
        <v>463</v>
      </c>
      <c r="F1071" t="s">
        <v>464</v>
      </c>
    </row>
    <row r="1072" spans="2:6" x14ac:dyDescent="0.3">
      <c r="B1072" s="58" t="s">
        <v>3564</v>
      </c>
      <c r="C1072" s="58">
        <v>1757663727394</v>
      </c>
      <c r="D1072" s="58" t="s">
        <v>3565</v>
      </c>
      <c r="E1072" s="58" t="s">
        <v>416</v>
      </c>
      <c r="F1072" t="s">
        <v>466</v>
      </c>
    </row>
    <row r="1073" spans="2:6" x14ac:dyDescent="0.3">
      <c r="B1073" s="58" t="s">
        <v>3564</v>
      </c>
      <c r="C1073" s="58">
        <v>1757663727511</v>
      </c>
      <c r="D1073" s="58" t="s">
        <v>3566</v>
      </c>
      <c r="E1073" s="58" t="s">
        <v>468</v>
      </c>
      <c r="F1073" t="s">
        <v>3567</v>
      </c>
    </row>
    <row r="1074" spans="2:6" x14ac:dyDescent="0.3">
      <c r="B1074" s="58" t="s">
        <v>3564</v>
      </c>
      <c r="C1074" s="58">
        <v>1757663742017</v>
      </c>
      <c r="D1074" s="58" t="s">
        <v>3568</v>
      </c>
      <c r="E1074" s="58" t="s">
        <v>419</v>
      </c>
      <c r="F1074" t="s">
        <v>420</v>
      </c>
    </row>
    <row r="1075" spans="2:6" x14ac:dyDescent="0.3">
      <c r="B1075" s="58" t="s">
        <v>3564</v>
      </c>
      <c r="C1075" s="58">
        <v>1757663758578</v>
      </c>
      <c r="D1075" s="58" t="s">
        <v>3569</v>
      </c>
      <c r="E1075" s="58" t="s">
        <v>389</v>
      </c>
      <c r="F1075" t="s">
        <v>502</v>
      </c>
    </row>
    <row r="1076" spans="2:6" x14ac:dyDescent="0.3">
      <c r="B1076" s="58" t="s">
        <v>3564</v>
      </c>
      <c r="C1076" s="58">
        <v>1757663768838</v>
      </c>
      <c r="D1076" s="58" t="s">
        <v>3570</v>
      </c>
      <c r="E1076" s="58" t="s">
        <v>422</v>
      </c>
      <c r="F1076" t="s">
        <v>420</v>
      </c>
    </row>
    <row r="1077" spans="2:6" x14ac:dyDescent="0.3">
      <c r="B1077" s="58" t="s">
        <v>3564</v>
      </c>
      <c r="C1077" s="58">
        <v>1757663775353</v>
      </c>
      <c r="D1077" s="58" t="s">
        <v>3571</v>
      </c>
      <c r="E1077" s="58" t="s">
        <v>424</v>
      </c>
      <c r="F1077" t="s">
        <v>549</v>
      </c>
    </row>
    <row r="1078" spans="2:6" x14ac:dyDescent="0.3">
      <c r="B1078" s="58" t="s">
        <v>426</v>
      </c>
      <c r="C1078" s="58">
        <v>1757663796090</v>
      </c>
      <c r="D1078" s="58" t="s">
        <v>3572</v>
      </c>
      <c r="E1078" s="58" t="s">
        <v>428</v>
      </c>
      <c r="F1078" t="s">
        <v>437</v>
      </c>
    </row>
    <row r="1079" spans="2:6" x14ac:dyDescent="0.3">
      <c r="B1079" s="58" t="s">
        <v>3564</v>
      </c>
      <c r="C1079" s="58">
        <v>1757663806188</v>
      </c>
      <c r="D1079" s="58" t="s">
        <v>3573</v>
      </c>
      <c r="E1079" s="58" t="s">
        <v>424</v>
      </c>
      <c r="F1079" t="s">
        <v>553</v>
      </c>
    </row>
    <row r="1080" spans="2:6" x14ac:dyDescent="0.3">
      <c r="B1080" s="58" t="s">
        <v>3564</v>
      </c>
      <c r="C1080" s="58">
        <v>1757663807529</v>
      </c>
      <c r="D1080" s="58" t="s">
        <v>3574</v>
      </c>
      <c r="E1080" s="58" t="s">
        <v>424</v>
      </c>
      <c r="F1080" t="s">
        <v>441</v>
      </c>
    </row>
    <row r="1081" spans="2:6" x14ac:dyDescent="0.3">
      <c r="B1081" s="58" t="s">
        <v>3564</v>
      </c>
      <c r="C1081" s="58">
        <v>1757663809203</v>
      </c>
      <c r="D1081" s="58" t="s">
        <v>3575</v>
      </c>
      <c r="E1081" s="58" t="s">
        <v>424</v>
      </c>
      <c r="F1081" t="s">
        <v>667</v>
      </c>
    </row>
    <row r="1082" spans="2:6" x14ac:dyDescent="0.3">
      <c r="B1082" s="58" t="s">
        <v>426</v>
      </c>
      <c r="C1082" s="58">
        <v>1757663811621</v>
      </c>
      <c r="D1082" s="58" t="s">
        <v>3576</v>
      </c>
      <c r="E1082" s="58" t="s">
        <v>428</v>
      </c>
      <c r="F1082" t="s">
        <v>429</v>
      </c>
    </row>
    <row r="1083" spans="2:6" x14ac:dyDescent="0.3">
      <c r="B1083" s="58" t="s">
        <v>3564</v>
      </c>
      <c r="C1083" s="58">
        <v>1757663822413</v>
      </c>
      <c r="D1083" s="58" t="s">
        <v>3577</v>
      </c>
      <c r="E1083" s="58" t="s">
        <v>424</v>
      </c>
      <c r="F1083" t="s">
        <v>433</v>
      </c>
    </row>
    <row r="1084" spans="2:6" x14ac:dyDescent="0.3">
      <c r="B1084" s="58" t="s">
        <v>3564</v>
      </c>
      <c r="C1084" s="58">
        <v>1757663823895</v>
      </c>
      <c r="D1084" s="58" t="s">
        <v>3578</v>
      </c>
      <c r="E1084" s="58" t="s">
        <v>424</v>
      </c>
      <c r="F1084" t="s">
        <v>518</v>
      </c>
    </row>
    <row r="1085" spans="2:6" x14ac:dyDescent="0.3">
      <c r="B1085" s="58" t="s">
        <v>426</v>
      </c>
      <c r="C1085" s="58">
        <v>1757663827875</v>
      </c>
      <c r="D1085" s="58" t="s">
        <v>3579</v>
      </c>
      <c r="E1085" s="58" t="s">
        <v>428</v>
      </c>
      <c r="F1085" t="s">
        <v>538</v>
      </c>
    </row>
    <row r="1086" spans="2:6" x14ac:dyDescent="0.3">
      <c r="B1086" s="58" t="s">
        <v>3564</v>
      </c>
      <c r="C1086" s="58">
        <v>1757663844178</v>
      </c>
      <c r="D1086" s="58" t="s">
        <v>3580</v>
      </c>
      <c r="E1086" s="58" t="s">
        <v>424</v>
      </c>
      <c r="F1086" t="s">
        <v>457</v>
      </c>
    </row>
    <row r="1087" spans="2:6" x14ac:dyDescent="0.3">
      <c r="B1087" s="58" t="s">
        <v>3564</v>
      </c>
      <c r="C1087" s="58">
        <v>1757663845130</v>
      </c>
      <c r="D1087" s="58" t="s">
        <v>3581</v>
      </c>
      <c r="E1087" s="58" t="s">
        <v>424</v>
      </c>
      <c r="F1087" t="s">
        <v>459</v>
      </c>
    </row>
    <row r="1088" spans="2:6" x14ac:dyDescent="0.3">
      <c r="B1088" s="58" t="s">
        <v>426</v>
      </c>
      <c r="C1088" s="58">
        <v>1757663845603</v>
      </c>
      <c r="D1088" s="58" t="s">
        <v>3582</v>
      </c>
      <c r="E1088" s="58" t="s">
        <v>428</v>
      </c>
      <c r="F1088" t="s">
        <v>672</v>
      </c>
    </row>
    <row r="1089" spans="1:6" x14ac:dyDescent="0.3">
      <c r="B1089" s="58" t="s">
        <v>426</v>
      </c>
      <c r="C1089" s="58">
        <v>1757663860395</v>
      </c>
      <c r="D1089" s="58" t="s">
        <v>3583</v>
      </c>
      <c r="E1089" s="58" t="s">
        <v>428</v>
      </c>
      <c r="F1089" t="s">
        <v>447</v>
      </c>
    </row>
    <row r="1090" spans="1:6" x14ac:dyDescent="0.3">
      <c r="B1090" s="58" t="s">
        <v>3564</v>
      </c>
      <c r="C1090" s="58">
        <v>1757663877237</v>
      </c>
      <c r="D1090" s="58" t="s">
        <v>3584</v>
      </c>
      <c r="E1090" s="58" t="s">
        <v>424</v>
      </c>
      <c r="F1090" t="s">
        <v>461</v>
      </c>
    </row>
    <row r="1091" spans="1:6" x14ac:dyDescent="0.3">
      <c r="B1091" s="58" t="s">
        <v>426</v>
      </c>
      <c r="C1091" s="58">
        <v>1757663878063</v>
      </c>
      <c r="D1091" s="58" t="s">
        <v>3585</v>
      </c>
      <c r="E1091" s="58" t="s">
        <v>428</v>
      </c>
      <c r="F1091" t="s">
        <v>523</v>
      </c>
    </row>
    <row r="1092" spans="1:6" x14ac:dyDescent="0.3">
      <c r="B1092" s="58" t="s">
        <v>3564</v>
      </c>
      <c r="C1092" s="58">
        <v>1757663878941</v>
      </c>
      <c r="D1092" s="58" t="s">
        <v>3586</v>
      </c>
      <c r="E1092" s="58" t="s">
        <v>424</v>
      </c>
      <c r="F1092" t="s">
        <v>449</v>
      </c>
    </row>
    <row r="1093" spans="1:6" x14ac:dyDescent="0.3">
      <c r="B1093" s="58" t="s">
        <v>3564</v>
      </c>
      <c r="C1093" s="58">
        <v>1757663879967</v>
      </c>
      <c r="D1093" s="58" t="s">
        <v>3587</v>
      </c>
      <c r="E1093" s="58" t="s">
        <v>424</v>
      </c>
      <c r="F1093" t="s">
        <v>451</v>
      </c>
    </row>
    <row r="1094" spans="1:6" x14ac:dyDescent="0.3">
      <c r="B1094" s="58" t="s">
        <v>426</v>
      </c>
      <c r="C1094" s="58">
        <v>1757663898714</v>
      </c>
      <c r="D1094" s="58" t="s">
        <v>3588</v>
      </c>
      <c r="E1094" s="58" t="s">
        <v>428</v>
      </c>
      <c r="F1094" t="s">
        <v>455</v>
      </c>
    </row>
    <row r="1095" spans="1:6" x14ac:dyDescent="0.3">
      <c r="B1095" s="58" t="s">
        <v>3564</v>
      </c>
      <c r="C1095" s="58">
        <v>1757663900340</v>
      </c>
      <c r="D1095" s="58" t="s">
        <v>3589</v>
      </c>
      <c r="E1095" s="58" t="s">
        <v>463</v>
      </c>
      <c r="F1095" t="s">
        <v>464</v>
      </c>
    </row>
    <row r="1096" spans="1:6" ht="21" x14ac:dyDescent="0.4">
      <c r="A1096" s="69" t="s">
        <v>51</v>
      </c>
      <c r="B1096" s="63" t="s">
        <v>3590</v>
      </c>
      <c r="C1096" s="63">
        <v>1757666591241</v>
      </c>
      <c r="D1096" s="63" t="s">
        <v>3591</v>
      </c>
      <c r="E1096" s="63" t="s">
        <v>416</v>
      </c>
      <c r="F1096" s="63" t="s">
        <v>417</v>
      </c>
    </row>
    <row r="1097" spans="1:6" x14ac:dyDescent="0.3">
      <c r="B1097" s="63" t="s">
        <v>3590</v>
      </c>
      <c r="C1097" s="63">
        <v>1757666597120</v>
      </c>
      <c r="D1097" s="63" t="s">
        <v>3592</v>
      </c>
      <c r="E1097" s="63" t="s">
        <v>419</v>
      </c>
      <c r="F1097" s="63" t="s">
        <v>420</v>
      </c>
    </row>
    <row r="1098" spans="1:6" x14ac:dyDescent="0.3">
      <c r="B1098" s="63" t="s">
        <v>3590</v>
      </c>
      <c r="C1098" s="63">
        <v>1757666638088</v>
      </c>
      <c r="D1098" s="63" t="s">
        <v>3593</v>
      </c>
      <c r="E1098" s="63" t="s">
        <v>416</v>
      </c>
      <c r="F1098" s="63" t="s">
        <v>417</v>
      </c>
    </row>
    <row r="1099" spans="1:6" x14ac:dyDescent="0.3">
      <c r="B1099" s="63" t="s">
        <v>3590</v>
      </c>
      <c r="C1099" s="63">
        <v>1757666644023</v>
      </c>
      <c r="D1099" s="63" t="s">
        <v>3594</v>
      </c>
      <c r="E1099" s="63" t="s">
        <v>419</v>
      </c>
      <c r="F1099" s="63" t="s">
        <v>420</v>
      </c>
    </row>
    <row r="1100" spans="1:6" x14ac:dyDescent="0.3">
      <c r="B1100" s="63" t="s">
        <v>3590</v>
      </c>
      <c r="C1100" s="63">
        <v>1757666653113</v>
      </c>
      <c r="D1100" s="63" t="s">
        <v>3595</v>
      </c>
      <c r="E1100" s="63" t="s">
        <v>416</v>
      </c>
      <c r="F1100" s="63" t="s">
        <v>417</v>
      </c>
    </row>
    <row r="1101" spans="1:6" x14ac:dyDescent="0.3">
      <c r="B1101" s="63" t="s">
        <v>3590</v>
      </c>
      <c r="C1101" s="63">
        <v>1757666658991</v>
      </c>
      <c r="D1101" s="63" t="s">
        <v>3596</v>
      </c>
      <c r="E1101" s="63" t="s">
        <v>419</v>
      </c>
      <c r="F1101" s="63" t="s">
        <v>420</v>
      </c>
    </row>
    <row r="1102" spans="1:6" x14ac:dyDescent="0.3">
      <c r="B1102" s="63" t="s">
        <v>3590</v>
      </c>
      <c r="C1102" s="63">
        <v>1757666673410</v>
      </c>
      <c r="D1102" s="63" t="s">
        <v>3597</v>
      </c>
      <c r="E1102" s="63" t="s">
        <v>389</v>
      </c>
      <c r="F1102" s="63" t="s">
        <v>2737</v>
      </c>
    </row>
    <row r="1103" spans="1:6" x14ac:dyDescent="0.3">
      <c r="B1103" s="63" t="s">
        <v>3590</v>
      </c>
      <c r="C1103" s="63">
        <v>1757666673500</v>
      </c>
      <c r="D1103" s="63" t="s">
        <v>3598</v>
      </c>
      <c r="E1103" s="63" t="s">
        <v>389</v>
      </c>
      <c r="F1103" s="63" t="s">
        <v>2739</v>
      </c>
    </row>
    <row r="1104" spans="1:6" x14ac:dyDescent="0.3">
      <c r="B1104" s="63" t="s">
        <v>3590</v>
      </c>
      <c r="C1104" s="63">
        <v>1757666673670</v>
      </c>
      <c r="D1104" s="63" t="s">
        <v>3599</v>
      </c>
      <c r="E1104" s="63" t="s">
        <v>389</v>
      </c>
      <c r="F1104" s="63" t="s">
        <v>2737</v>
      </c>
    </row>
    <row r="1105" spans="2:6" x14ac:dyDescent="0.3">
      <c r="B1105" s="63" t="s">
        <v>3590</v>
      </c>
      <c r="C1105" s="63">
        <v>1757666673756</v>
      </c>
      <c r="D1105" s="63" t="s">
        <v>3600</v>
      </c>
      <c r="E1105" s="63" t="s">
        <v>389</v>
      </c>
      <c r="F1105" s="63" t="s">
        <v>2856</v>
      </c>
    </row>
    <row r="1106" spans="2:6" x14ac:dyDescent="0.3">
      <c r="B1106" s="63" t="s">
        <v>3590</v>
      </c>
      <c r="C1106" s="63">
        <v>1757666673870</v>
      </c>
      <c r="D1106" s="63" t="s">
        <v>3601</v>
      </c>
      <c r="E1106" s="63" t="s">
        <v>389</v>
      </c>
      <c r="F1106" s="63" t="s">
        <v>2739</v>
      </c>
    </row>
    <row r="1107" spans="2:6" x14ac:dyDescent="0.3">
      <c r="B1107" s="63" t="s">
        <v>3590</v>
      </c>
      <c r="C1107" s="63">
        <v>1757666673960</v>
      </c>
      <c r="D1107" s="63" t="s">
        <v>3602</v>
      </c>
      <c r="E1107" s="63" t="s">
        <v>389</v>
      </c>
      <c r="F1107" s="63" t="s">
        <v>406</v>
      </c>
    </row>
    <row r="1108" spans="2:6" x14ac:dyDescent="0.3">
      <c r="B1108" s="63" t="s">
        <v>3590</v>
      </c>
      <c r="C1108" s="63">
        <v>1757666674086</v>
      </c>
      <c r="D1108" s="63" t="s">
        <v>3603</v>
      </c>
      <c r="E1108" s="63" t="s">
        <v>389</v>
      </c>
      <c r="F1108" s="63" t="s">
        <v>2739</v>
      </c>
    </row>
    <row r="1109" spans="2:6" x14ac:dyDescent="0.3">
      <c r="B1109" s="63" t="s">
        <v>3590</v>
      </c>
      <c r="C1109" s="63">
        <v>1757666674183</v>
      </c>
      <c r="D1109" s="63" t="s">
        <v>3604</v>
      </c>
      <c r="E1109" s="63" t="s">
        <v>389</v>
      </c>
      <c r="F1109" s="63" t="s">
        <v>2737</v>
      </c>
    </row>
    <row r="1110" spans="2:6" x14ac:dyDescent="0.3">
      <c r="B1110" s="63" t="s">
        <v>3590</v>
      </c>
      <c r="C1110" s="63">
        <v>1757666674265</v>
      </c>
      <c r="D1110" s="63" t="s">
        <v>3605</v>
      </c>
      <c r="E1110" s="63" t="s">
        <v>389</v>
      </c>
      <c r="F1110" s="63" t="s">
        <v>2739</v>
      </c>
    </row>
    <row r="1111" spans="2:6" x14ac:dyDescent="0.3">
      <c r="B1111" s="63" t="s">
        <v>3590</v>
      </c>
      <c r="C1111" s="63">
        <v>1757666674351</v>
      </c>
      <c r="D1111" s="63" t="s">
        <v>3606</v>
      </c>
      <c r="E1111" s="63" t="s">
        <v>389</v>
      </c>
      <c r="F1111" s="63" t="s">
        <v>2737</v>
      </c>
    </row>
    <row r="1112" spans="2:6" x14ac:dyDescent="0.3">
      <c r="B1112" s="63" t="s">
        <v>3590</v>
      </c>
      <c r="C1112" s="63">
        <v>1757666674415</v>
      </c>
      <c r="D1112" s="63" t="s">
        <v>3607</v>
      </c>
      <c r="E1112" s="63" t="s">
        <v>389</v>
      </c>
      <c r="F1112" s="63" t="s">
        <v>2731</v>
      </c>
    </row>
    <row r="1113" spans="2:6" x14ac:dyDescent="0.3">
      <c r="B1113" s="63" t="s">
        <v>3590</v>
      </c>
      <c r="C1113" s="63">
        <v>1757666674464</v>
      </c>
      <c r="D1113" s="63" t="s">
        <v>3608</v>
      </c>
      <c r="E1113" s="63" t="s">
        <v>389</v>
      </c>
      <c r="F1113" s="63" t="s">
        <v>2733</v>
      </c>
    </row>
    <row r="1114" spans="2:6" x14ac:dyDescent="0.3">
      <c r="B1114" s="63" t="s">
        <v>3590</v>
      </c>
      <c r="C1114" s="63">
        <v>1757666674584</v>
      </c>
      <c r="D1114" s="63" t="s">
        <v>3609</v>
      </c>
      <c r="E1114" s="63" t="s">
        <v>389</v>
      </c>
      <c r="F1114" s="63" t="s">
        <v>2731</v>
      </c>
    </row>
    <row r="1115" spans="2:6" x14ac:dyDescent="0.3">
      <c r="B1115" s="63" t="s">
        <v>3590</v>
      </c>
      <c r="C1115" s="63">
        <v>1757666674763</v>
      </c>
      <c r="D1115" s="63" t="s">
        <v>3610</v>
      </c>
      <c r="E1115" s="63" t="s">
        <v>389</v>
      </c>
      <c r="F1115" s="63" t="s">
        <v>2733</v>
      </c>
    </row>
    <row r="1116" spans="2:6" x14ac:dyDescent="0.3">
      <c r="B1116" s="63" t="s">
        <v>3590</v>
      </c>
      <c r="C1116" s="63">
        <v>1757666674854</v>
      </c>
      <c r="D1116" s="63" t="s">
        <v>3611</v>
      </c>
      <c r="E1116" s="63" t="s">
        <v>389</v>
      </c>
      <c r="F1116" s="63" t="s">
        <v>3274</v>
      </c>
    </row>
    <row r="1117" spans="2:6" x14ac:dyDescent="0.3">
      <c r="B1117" s="63" t="s">
        <v>3590</v>
      </c>
      <c r="C1117" s="63">
        <v>1757666674926</v>
      </c>
      <c r="D1117" s="63" t="s">
        <v>3612</v>
      </c>
      <c r="E1117" s="63" t="s">
        <v>389</v>
      </c>
      <c r="F1117" s="63" t="s">
        <v>511</v>
      </c>
    </row>
    <row r="1118" spans="2:6" x14ac:dyDescent="0.3">
      <c r="B1118" s="63" t="s">
        <v>3590</v>
      </c>
      <c r="C1118" s="63">
        <v>1757666675002</v>
      </c>
      <c r="D1118" s="63" t="s">
        <v>3613</v>
      </c>
      <c r="E1118" s="63" t="s">
        <v>389</v>
      </c>
      <c r="F1118" s="63" t="s">
        <v>2735</v>
      </c>
    </row>
    <row r="1119" spans="2:6" x14ac:dyDescent="0.3">
      <c r="B1119" s="63" t="s">
        <v>3590</v>
      </c>
      <c r="C1119" s="63">
        <v>1757666675090</v>
      </c>
      <c r="D1119" s="63" t="s">
        <v>3614</v>
      </c>
      <c r="E1119" s="63" t="s">
        <v>389</v>
      </c>
      <c r="F1119" s="63" t="s">
        <v>2737</v>
      </c>
    </row>
    <row r="1120" spans="2:6" x14ac:dyDescent="0.3">
      <c r="B1120" s="63" t="s">
        <v>3590</v>
      </c>
      <c r="C1120" s="63">
        <v>1757666675173</v>
      </c>
      <c r="D1120" s="63" t="s">
        <v>3615</v>
      </c>
      <c r="E1120" s="63" t="s">
        <v>389</v>
      </c>
      <c r="F1120" s="63" t="s">
        <v>406</v>
      </c>
    </row>
    <row r="1121" spans="2:6" x14ac:dyDescent="0.3">
      <c r="B1121" s="63" t="s">
        <v>3590</v>
      </c>
      <c r="C1121" s="63">
        <v>1757666675247</v>
      </c>
      <c r="D1121" s="63" t="s">
        <v>3616</v>
      </c>
      <c r="E1121" s="63" t="s">
        <v>389</v>
      </c>
      <c r="F1121" s="63" t="s">
        <v>1601</v>
      </c>
    </row>
    <row r="1122" spans="2:6" x14ac:dyDescent="0.3">
      <c r="B1122" s="63" t="s">
        <v>3590</v>
      </c>
      <c r="C1122" s="63">
        <v>1757666675306</v>
      </c>
      <c r="D1122" s="63" t="s">
        <v>3617</v>
      </c>
      <c r="E1122" s="63" t="s">
        <v>389</v>
      </c>
      <c r="F1122" s="63" t="s">
        <v>2739</v>
      </c>
    </row>
    <row r="1123" spans="2:6" x14ac:dyDescent="0.3">
      <c r="B1123" s="63" t="s">
        <v>3590</v>
      </c>
      <c r="C1123" s="63">
        <v>1757666675365</v>
      </c>
      <c r="D1123" s="63" t="s">
        <v>3618</v>
      </c>
      <c r="E1123" s="63" t="s">
        <v>389</v>
      </c>
      <c r="F1123" s="63" t="s">
        <v>2735</v>
      </c>
    </row>
    <row r="1124" spans="2:6" x14ac:dyDescent="0.3">
      <c r="B1124" s="63" t="s">
        <v>3590</v>
      </c>
      <c r="C1124" s="63">
        <v>1757666675437</v>
      </c>
      <c r="D1124" s="63" t="s">
        <v>3619</v>
      </c>
      <c r="E1124" s="63" t="s">
        <v>389</v>
      </c>
      <c r="F1124" s="63" t="s">
        <v>2731</v>
      </c>
    </row>
    <row r="1125" spans="2:6" x14ac:dyDescent="0.3">
      <c r="B1125" s="63" t="s">
        <v>3590</v>
      </c>
      <c r="C1125" s="63">
        <v>1757666675494</v>
      </c>
      <c r="D1125" s="63" t="s">
        <v>3620</v>
      </c>
      <c r="E1125" s="63" t="s">
        <v>389</v>
      </c>
      <c r="F1125" s="63" t="s">
        <v>2735</v>
      </c>
    </row>
    <row r="1126" spans="2:6" x14ac:dyDescent="0.3">
      <c r="B1126" s="63" t="s">
        <v>3590</v>
      </c>
      <c r="C1126" s="63">
        <v>1757666675552</v>
      </c>
      <c r="D1126" s="63" t="s">
        <v>3621</v>
      </c>
      <c r="E1126" s="63" t="s">
        <v>389</v>
      </c>
      <c r="F1126" s="63" t="s">
        <v>2731</v>
      </c>
    </row>
    <row r="1127" spans="2:6" x14ac:dyDescent="0.3">
      <c r="B1127" s="63" t="s">
        <v>3590</v>
      </c>
      <c r="C1127" s="63">
        <v>1757666675608</v>
      </c>
      <c r="D1127" s="63" t="s">
        <v>3622</v>
      </c>
      <c r="E1127" s="63" t="s">
        <v>389</v>
      </c>
      <c r="F1127" s="63" t="s">
        <v>2735</v>
      </c>
    </row>
    <row r="1128" spans="2:6" x14ac:dyDescent="0.3">
      <c r="B1128" s="63" t="s">
        <v>3590</v>
      </c>
      <c r="C1128" s="63">
        <v>1757666675674</v>
      </c>
      <c r="D1128" s="63" t="s">
        <v>3623</v>
      </c>
      <c r="E1128" s="63" t="s">
        <v>389</v>
      </c>
      <c r="F1128" s="63" t="s">
        <v>2731</v>
      </c>
    </row>
    <row r="1129" spans="2:6" x14ac:dyDescent="0.3">
      <c r="B1129" s="63" t="s">
        <v>3590</v>
      </c>
      <c r="C1129" s="63">
        <v>1757666675747</v>
      </c>
      <c r="D1129" s="63" t="s">
        <v>3624</v>
      </c>
      <c r="E1129" s="63" t="s">
        <v>389</v>
      </c>
      <c r="F1129" s="63" t="s">
        <v>2735</v>
      </c>
    </row>
    <row r="1130" spans="2:6" x14ac:dyDescent="0.3">
      <c r="B1130" s="63" t="s">
        <v>3590</v>
      </c>
      <c r="C1130" s="63">
        <v>1757666675857</v>
      </c>
      <c r="D1130" s="63" t="s">
        <v>3625</v>
      </c>
      <c r="E1130" s="63" t="s">
        <v>389</v>
      </c>
      <c r="F1130" s="63" t="s">
        <v>2731</v>
      </c>
    </row>
    <row r="1131" spans="2:6" x14ac:dyDescent="0.3">
      <c r="B1131" s="63" t="s">
        <v>3590</v>
      </c>
      <c r="C1131" s="63">
        <v>1757666675964</v>
      </c>
      <c r="D1131" s="63" t="s">
        <v>3626</v>
      </c>
      <c r="E1131" s="63" t="s">
        <v>389</v>
      </c>
      <c r="F1131" s="63" t="s">
        <v>2735</v>
      </c>
    </row>
    <row r="1132" spans="2:6" x14ac:dyDescent="0.3">
      <c r="B1132" s="63" t="s">
        <v>3590</v>
      </c>
      <c r="C1132" s="63">
        <v>1757666676099</v>
      </c>
      <c r="D1132" s="63" t="s">
        <v>3627</v>
      </c>
      <c r="E1132" s="63" t="s">
        <v>389</v>
      </c>
      <c r="F1132" s="63" t="s">
        <v>2731</v>
      </c>
    </row>
    <row r="1133" spans="2:6" x14ac:dyDescent="0.3">
      <c r="B1133" s="63" t="s">
        <v>3590</v>
      </c>
      <c r="C1133" s="63">
        <v>1757666676312</v>
      </c>
      <c r="D1133" s="63" t="s">
        <v>3628</v>
      </c>
      <c r="E1133" s="63" t="s">
        <v>389</v>
      </c>
      <c r="F1133" s="63" t="s">
        <v>406</v>
      </c>
    </row>
    <row r="1134" spans="2:6" x14ac:dyDescent="0.3">
      <c r="B1134" s="63" t="s">
        <v>3590</v>
      </c>
      <c r="C1134" s="63">
        <v>1757666677615</v>
      </c>
      <c r="D1134" s="63" t="s">
        <v>3629</v>
      </c>
      <c r="E1134" s="63" t="s">
        <v>389</v>
      </c>
      <c r="F1134" s="63" t="s">
        <v>410</v>
      </c>
    </row>
    <row r="1135" spans="2:6" x14ac:dyDescent="0.3">
      <c r="B1135" s="63" t="s">
        <v>3590</v>
      </c>
      <c r="C1135" s="63">
        <v>1757666678891</v>
      </c>
      <c r="D1135" s="63" t="s">
        <v>3630</v>
      </c>
      <c r="E1135" s="63" t="s">
        <v>389</v>
      </c>
      <c r="F1135" s="63" t="s">
        <v>396</v>
      </c>
    </row>
    <row r="1136" spans="2:6" x14ac:dyDescent="0.3">
      <c r="B1136" s="63" t="s">
        <v>3590</v>
      </c>
      <c r="C1136" s="63">
        <v>1757666679350</v>
      </c>
      <c r="D1136" s="63" t="s">
        <v>3631</v>
      </c>
      <c r="E1136" s="63" t="s">
        <v>389</v>
      </c>
      <c r="F1136" s="63" t="s">
        <v>398</v>
      </c>
    </row>
    <row r="1137" spans="2:6" x14ac:dyDescent="0.3">
      <c r="B1137" s="63" t="s">
        <v>3590</v>
      </c>
      <c r="C1137" s="63">
        <v>1757666679913</v>
      </c>
      <c r="D1137" s="63" t="s">
        <v>3632</v>
      </c>
      <c r="E1137" s="63" t="s">
        <v>389</v>
      </c>
      <c r="F1137" s="63" t="s">
        <v>400</v>
      </c>
    </row>
    <row r="1138" spans="2:6" x14ac:dyDescent="0.3">
      <c r="B1138" s="63" t="s">
        <v>3590</v>
      </c>
      <c r="C1138" s="63">
        <v>1757666681284</v>
      </c>
      <c r="D1138" s="63" t="s">
        <v>3633</v>
      </c>
      <c r="E1138" s="63" t="s">
        <v>389</v>
      </c>
      <c r="F1138" s="63" t="s">
        <v>390</v>
      </c>
    </row>
    <row r="1139" spans="2:6" x14ac:dyDescent="0.3">
      <c r="B1139" s="63" t="s">
        <v>3590</v>
      </c>
      <c r="C1139" s="63">
        <v>1757666681766</v>
      </c>
      <c r="D1139" s="63" t="s">
        <v>3634</v>
      </c>
      <c r="E1139" s="63" t="s">
        <v>389</v>
      </c>
      <c r="F1139" s="63" t="s">
        <v>392</v>
      </c>
    </row>
    <row r="1140" spans="2:6" x14ac:dyDescent="0.3">
      <c r="B1140" s="63" t="s">
        <v>3590</v>
      </c>
      <c r="C1140" s="63">
        <v>1757666683735</v>
      </c>
      <c r="D1140" s="63" t="s">
        <v>3635</v>
      </c>
      <c r="E1140" s="63" t="s">
        <v>389</v>
      </c>
      <c r="F1140" s="63" t="s">
        <v>508</v>
      </c>
    </row>
    <row r="1141" spans="2:6" x14ac:dyDescent="0.3">
      <c r="B1141" s="63" t="s">
        <v>3590</v>
      </c>
      <c r="C1141" s="63">
        <v>1757666684929</v>
      </c>
      <c r="D1141" s="63" t="s">
        <v>3636</v>
      </c>
      <c r="E1141" s="63" t="s">
        <v>389</v>
      </c>
      <c r="F1141" s="63" t="s">
        <v>660</v>
      </c>
    </row>
    <row r="1142" spans="2:6" x14ac:dyDescent="0.3">
      <c r="B1142" s="63" t="s">
        <v>3590</v>
      </c>
      <c r="C1142" s="63">
        <v>1757666685814</v>
      </c>
      <c r="D1142" s="63" t="s">
        <v>3637</v>
      </c>
      <c r="E1142" s="63" t="s">
        <v>389</v>
      </c>
      <c r="F1142" s="63" t="s">
        <v>495</v>
      </c>
    </row>
    <row r="1143" spans="2:6" x14ac:dyDescent="0.3">
      <c r="B1143" s="63" t="s">
        <v>3590</v>
      </c>
      <c r="C1143" s="63">
        <v>1757666686872</v>
      </c>
      <c r="D1143" s="63" t="s">
        <v>3638</v>
      </c>
      <c r="E1143" s="63" t="s">
        <v>389</v>
      </c>
      <c r="F1143" s="63" t="s">
        <v>414</v>
      </c>
    </row>
    <row r="1144" spans="2:6" x14ac:dyDescent="0.3">
      <c r="B1144" s="63" t="s">
        <v>3590</v>
      </c>
      <c r="C1144" s="63">
        <v>1757666690307</v>
      </c>
      <c r="D1144" s="63" t="s">
        <v>3639</v>
      </c>
      <c r="E1144" s="63" t="s">
        <v>416</v>
      </c>
      <c r="F1144" s="63" t="s">
        <v>417</v>
      </c>
    </row>
    <row r="1145" spans="2:6" x14ac:dyDescent="0.3">
      <c r="B1145" s="63" t="s">
        <v>3590</v>
      </c>
      <c r="C1145" s="63">
        <v>1757666696203</v>
      </c>
      <c r="D1145" s="63" t="s">
        <v>3640</v>
      </c>
      <c r="E1145" s="63" t="s">
        <v>419</v>
      </c>
      <c r="F1145" s="63" t="s">
        <v>420</v>
      </c>
    </row>
    <row r="1146" spans="2:6" x14ac:dyDescent="0.3">
      <c r="B1146" s="63" t="s">
        <v>3590</v>
      </c>
      <c r="C1146" s="63">
        <v>1757666701598</v>
      </c>
      <c r="D1146" s="63" t="s">
        <v>3641</v>
      </c>
      <c r="E1146" s="63" t="s">
        <v>416</v>
      </c>
      <c r="F1146" s="63" t="s">
        <v>417</v>
      </c>
    </row>
    <row r="1147" spans="2:6" x14ac:dyDescent="0.3">
      <c r="B1147" s="63" t="s">
        <v>3590</v>
      </c>
      <c r="C1147" s="63">
        <v>1757666701740</v>
      </c>
      <c r="D1147" s="63" t="s">
        <v>3642</v>
      </c>
      <c r="E1147" s="63" t="s">
        <v>419</v>
      </c>
      <c r="F1147" s="63" t="s">
        <v>420</v>
      </c>
    </row>
    <row r="1148" spans="2:6" x14ac:dyDescent="0.3">
      <c r="B1148" s="63" t="s">
        <v>3590</v>
      </c>
      <c r="C1148" s="63">
        <v>1757666701826</v>
      </c>
      <c r="D1148" s="63" t="s">
        <v>3643</v>
      </c>
      <c r="E1148" s="63" t="s">
        <v>422</v>
      </c>
      <c r="F1148" s="63" t="s">
        <v>420</v>
      </c>
    </row>
    <row r="1149" spans="2:6" x14ac:dyDescent="0.3">
      <c r="B1149" s="63" t="s">
        <v>426</v>
      </c>
      <c r="C1149" s="63">
        <v>1757666719346</v>
      </c>
      <c r="D1149" s="63" t="s">
        <v>3644</v>
      </c>
      <c r="E1149" s="63" t="s">
        <v>428</v>
      </c>
      <c r="F1149" s="63" t="s">
        <v>453</v>
      </c>
    </row>
    <row r="1150" spans="2:6" x14ac:dyDescent="0.3">
      <c r="B1150" s="63" t="s">
        <v>426</v>
      </c>
      <c r="C1150" s="63">
        <v>1757666734818</v>
      </c>
      <c r="D1150" s="63" t="s">
        <v>3645</v>
      </c>
      <c r="E1150" s="63" t="s">
        <v>428</v>
      </c>
      <c r="F1150" s="63" t="s">
        <v>447</v>
      </c>
    </row>
    <row r="1151" spans="2:6" x14ac:dyDescent="0.3">
      <c r="B1151" s="63" t="s">
        <v>3590</v>
      </c>
      <c r="C1151" s="63">
        <v>1757666737750</v>
      </c>
      <c r="D1151" s="63" t="s">
        <v>3646</v>
      </c>
      <c r="E1151" s="63" t="s">
        <v>424</v>
      </c>
      <c r="F1151" s="63" t="s">
        <v>457</v>
      </c>
    </row>
    <row r="1152" spans="2:6" x14ac:dyDescent="0.3">
      <c r="B1152" s="63" t="s">
        <v>3590</v>
      </c>
      <c r="C1152" s="63">
        <v>1757666746279</v>
      </c>
      <c r="D1152" s="63" t="s">
        <v>3647</v>
      </c>
      <c r="E1152" s="63" t="s">
        <v>424</v>
      </c>
      <c r="F1152" s="63" t="s">
        <v>459</v>
      </c>
    </row>
    <row r="1153" spans="2:6" x14ac:dyDescent="0.3">
      <c r="B1153" s="63" t="s">
        <v>426</v>
      </c>
      <c r="C1153" s="63">
        <v>1757666750423</v>
      </c>
      <c r="D1153" s="63" t="s">
        <v>3648</v>
      </c>
      <c r="E1153" s="63" t="s">
        <v>428</v>
      </c>
      <c r="F1153" s="63" t="s">
        <v>435</v>
      </c>
    </row>
    <row r="1154" spans="2:6" x14ac:dyDescent="0.3">
      <c r="B1154" s="63" t="s">
        <v>426</v>
      </c>
      <c r="C1154" s="63">
        <v>1757666765228</v>
      </c>
      <c r="D1154" s="63" t="s">
        <v>3649</v>
      </c>
      <c r="E1154" s="63" t="s">
        <v>428</v>
      </c>
      <c r="F1154" s="63" t="s">
        <v>437</v>
      </c>
    </row>
    <row r="1155" spans="2:6" x14ac:dyDescent="0.3">
      <c r="B1155" s="63" t="s">
        <v>3590</v>
      </c>
      <c r="C1155" s="63">
        <v>1757666777750</v>
      </c>
      <c r="D1155" s="63" t="s">
        <v>3650</v>
      </c>
      <c r="E1155" s="63" t="s">
        <v>424</v>
      </c>
      <c r="F1155" s="63" t="s">
        <v>461</v>
      </c>
    </row>
    <row r="1156" spans="2:6" x14ac:dyDescent="0.3">
      <c r="B1156" s="63" t="s">
        <v>426</v>
      </c>
      <c r="C1156" s="63">
        <v>1757666781514</v>
      </c>
      <c r="D1156" s="63" t="s">
        <v>3651</v>
      </c>
      <c r="E1156" s="63" t="s">
        <v>428</v>
      </c>
      <c r="F1156" s="63" t="s">
        <v>439</v>
      </c>
    </row>
    <row r="1157" spans="2:6" x14ac:dyDescent="0.3">
      <c r="B1157" s="63" t="s">
        <v>3590</v>
      </c>
      <c r="C1157" s="63">
        <v>1757666788921</v>
      </c>
      <c r="D1157" s="63" t="s">
        <v>3652</v>
      </c>
      <c r="E1157" s="63" t="s">
        <v>424</v>
      </c>
      <c r="F1157" s="63" t="s">
        <v>449</v>
      </c>
    </row>
    <row r="1158" spans="2:6" x14ac:dyDescent="0.3">
      <c r="B1158" s="63" t="s">
        <v>3590</v>
      </c>
      <c r="C1158" s="63">
        <v>1757666799038</v>
      </c>
      <c r="D1158" s="63" t="s">
        <v>3653</v>
      </c>
      <c r="E1158" s="63" t="s">
        <v>424</v>
      </c>
      <c r="F1158" s="63" t="s">
        <v>451</v>
      </c>
    </row>
    <row r="1159" spans="2:6" x14ac:dyDescent="0.3">
      <c r="B1159" s="63" t="s">
        <v>426</v>
      </c>
      <c r="C1159" s="63">
        <v>1757666800012</v>
      </c>
      <c r="D1159" s="63" t="s">
        <v>3654</v>
      </c>
      <c r="E1159" s="63" t="s">
        <v>428</v>
      </c>
      <c r="F1159" s="63" t="s">
        <v>429</v>
      </c>
    </row>
    <row r="1160" spans="2:6" x14ac:dyDescent="0.3">
      <c r="B1160" s="63" t="s">
        <v>426</v>
      </c>
      <c r="C1160" s="63">
        <v>1757666817012</v>
      </c>
      <c r="D1160" s="63" t="s">
        <v>3655</v>
      </c>
      <c r="E1160" s="63" t="s">
        <v>428</v>
      </c>
      <c r="F1160" s="63" t="s">
        <v>431</v>
      </c>
    </row>
    <row r="1161" spans="2:6" x14ac:dyDescent="0.3">
      <c r="B1161" s="63" t="s">
        <v>3590</v>
      </c>
      <c r="C1161" s="63">
        <v>1757666822226</v>
      </c>
      <c r="D1161" s="63" t="s">
        <v>3656</v>
      </c>
      <c r="E1161" s="63" t="s">
        <v>424</v>
      </c>
      <c r="F1161" s="63" t="s">
        <v>441</v>
      </c>
    </row>
    <row r="1162" spans="2:6" x14ac:dyDescent="0.3">
      <c r="B1162" s="63" t="s">
        <v>426</v>
      </c>
      <c r="C1162" s="63">
        <v>1757666832522</v>
      </c>
      <c r="D1162" s="63" t="s">
        <v>3657</v>
      </c>
      <c r="E1162" s="63" t="s">
        <v>428</v>
      </c>
      <c r="F1162" s="63" t="s">
        <v>538</v>
      </c>
    </row>
    <row r="1163" spans="2:6" x14ac:dyDescent="0.3">
      <c r="B1163" s="63" t="s">
        <v>3590</v>
      </c>
      <c r="C1163" s="63">
        <v>1757666835519</v>
      </c>
      <c r="D1163" s="63" t="s">
        <v>3658</v>
      </c>
      <c r="E1163" s="63" t="s">
        <v>424</v>
      </c>
      <c r="F1163" s="63" t="s">
        <v>433</v>
      </c>
    </row>
    <row r="1164" spans="2:6" x14ac:dyDescent="0.3">
      <c r="B1164" s="63" t="s">
        <v>426</v>
      </c>
      <c r="C1164" s="63">
        <v>1757666849508</v>
      </c>
      <c r="D1164" s="63" t="s">
        <v>3659</v>
      </c>
      <c r="E1164" s="63" t="s">
        <v>428</v>
      </c>
      <c r="F1164" s="63" t="s">
        <v>672</v>
      </c>
    </row>
    <row r="1165" spans="2:6" x14ac:dyDescent="0.3">
      <c r="B1165" s="63" t="s">
        <v>426</v>
      </c>
      <c r="C1165" s="63">
        <v>1757666866418</v>
      </c>
      <c r="D1165" s="63" t="s">
        <v>3660</v>
      </c>
      <c r="E1165" s="63" t="s">
        <v>428</v>
      </c>
      <c r="F1165" s="63" t="s">
        <v>523</v>
      </c>
    </row>
    <row r="1166" spans="2:6" x14ac:dyDescent="0.3">
      <c r="B1166" s="63" t="s">
        <v>426</v>
      </c>
      <c r="C1166" s="63">
        <v>1757666887821</v>
      </c>
      <c r="D1166" s="63" t="s">
        <v>3661</v>
      </c>
      <c r="E1166" s="63" t="s">
        <v>428</v>
      </c>
      <c r="F1166" s="63" t="s">
        <v>455</v>
      </c>
    </row>
    <row r="1167" spans="2:6" x14ac:dyDescent="0.3">
      <c r="B1167" s="63" t="s">
        <v>3590</v>
      </c>
      <c r="C1167" s="63">
        <v>1757666897875</v>
      </c>
      <c r="D1167" s="63" t="s">
        <v>3662</v>
      </c>
      <c r="E1167" s="63" t="s">
        <v>463</v>
      </c>
      <c r="F1167" s="63" t="s">
        <v>464</v>
      </c>
    </row>
    <row r="1168" spans="2:6" x14ac:dyDescent="0.3">
      <c r="B1168" s="58" t="s">
        <v>3663</v>
      </c>
      <c r="C1168" s="58">
        <v>1757666912785</v>
      </c>
      <c r="D1168" s="58" t="s">
        <v>3664</v>
      </c>
      <c r="E1168" s="58" t="s">
        <v>416</v>
      </c>
      <c r="F1168" s="58" t="s">
        <v>466</v>
      </c>
    </row>
    <row r="1169" spans="2:6" x14ac:dyDescent="0.3">
      <c r="B1169" s="58" t="s">
        <v>3663</v>
      </c>
      <c r="C1169" s="58">
        <v>1757666912926</v>
      </c>
      <c r="D1169" s="58" t="s">
        <v>3665</v>
      </c>
      <c r="E1169" s="58" t="s">
        <v>468</v>
      </c>
      <c r="F1169" s="58" t="s">
        <v>2557</v>
      </c>
    </row>
    <row r="1170" spans="2:6" x14ac:dyDescent="0.3">
      <c r="B1170" s="58" t="s">
        <v>3663</v>
      </c>
      <c r="C1170" s="58">
        <v>1757666913431</v>
      </c>
      <c r="D1170" s="58" t="s">
        <v>3666</v>
      </c>
      <c r="E1170" s="58" t="s">
        <v>419</v>
      </c>
      <c r="F1170" s="58" t="s">
        <v>420</v>
      </c>
    </row>
    <row r="1171" spans="2:6" x14ac:dyDescent="0.3">
      <c r="B1171" s="58" t="s">
        <v>3663</v>
      </c>
      <c r="C1171" s="58">
        <v>1757666947259</v>
      </c>
      <c r="D1171" s="58" t="s">
        <v>3667</v>
      </c>
      <c r="E1171" s="58" t="s">
        <v>389</v>
      </c>
      <c r="F1171" s="58" t="s">
        <v>402</v>
      </c>
    </row>
    <row r="1172" spans="2:6" x14ac:dyDescent="0.3">
      <c r="B1172" s="58" t="s">
        <v>3663</v>
      </c>
      <c r="C1172" s="58">
        <v>1757666949824</v>
      </c>
      <c r="D1172" s="58" t="s">
        <v>3668</v>
      </c>
      <c r="E1172" s="58" t="s">
        <v>389</v>
      </c>
      <c r="F1172" s="58" t="s">
        <v>404</v>
      </c>
    </row>
    <row r="1173" spans="2:6" x14ac:dyDescent="0.3">
      <c r="B1173" s="58" t="s">
        <v>3663</v>
      </c>
      <c r="C1173" s="58">
        <v>1757666952129</v>
      </c>
      <c r="D1173" s="58" t="s">
        <v>3669</v>
      </c>
      <c r="E1173" s="58" t="s">
        <v>416</v>
      </c>
      <c r="F1173" s="58" t="s">
        <v>466</v>
      </c>
    </row>
    <row r="1174" spans="2:6" x14ac:dyDescent="0.3">
      <c r="B1174" s="58" t="s">
        <v>3663</v>
      </c>
      <c r="C1174" s="58">
        <v>1757666952253</v>
      </c>
      <c r="D1174" s="58" t="s">
        <v>3670</v>
      </c>
      <c r="E1174" s="58" t="s">
        <v>468</v>
      </c>
      <c r="F1174" s="58" t="s">
        <v>2557</v>
      </c>
    </row>
    <row r="1175" spans="2:6" x14ac:dyDescent="0.3">
      <c r="B1175" s="58" t="s">
        <v>3663</v>
      </c>
      <c r="C1175" s="58">
        <v>1757666958173</v>
      </c>
      <c r="D1175" s="58" t="s">
        <v>3671</v>
      </c>
      <c r="E1175" s="58" t="s">
        <v>419</v>
      </c>
      <c r="F1175" s="58" t="s">
        <v>420</v>
      </c>
    </row>
    <row r="1176" spans="2:6" x14ac:dyDescent="0.3">
      <c r="B1176" s="58" t="s">
        <v>3663</v>
      </c>
      <c r="C1176" s="58">
        <v>1757666958237</v>
      </c>
      <c r="D1176" s="58" t="s">
        <v>3672</v>
      </c>
      <c r="E1176" s="58" t="s">
        <v>422</v>
      </c>
      <c r="F1176" s="58" t="s">
        <v>420</v>
      </c>
    </row>
    <row r="1177" spans="2:6" x14ac:dyDescent="0.3">
      <c r="B1177" s="58" t="s">
        <v>426</v>
      </c>
      <c r="C1177" s="58">
        <v>1757666972792</v>
      </c>
      <c r="D1177" s="58" t="s">
        <v>3673</v>
      </c>
      <c r="E1177" s="58" t="s">
        <v>428</v>
      </c>
      <c r="F1177" s="58" t="s">
        <v>453</v>
      </c>
    </row>
    <row r="1178" spans="2:6" x14ac:dyDescent="0.3">
      <c r="B1178" s="58" t="s">
        <v>3663</v>
      </c>
      <c r="C1178" s="58">
        <v>1757666985458</v>
      </c>
      <c r="D1178" s="58" t="s">
        <v>3674</v>
      </c>
      <c r="E1178" s="58" t="s">
        <v>424</v>
      </c>
      <c r="F1178" s="58" t="s">
        <v>457</v>
      </c>
    </row>
    <row r="1179" spans="2:6" x14ac:dyDescent="0.3">
      <c r="B1179" s="58" t="s">
        <v>426</v>
      </c>
      <c r="C1179" s="58">
        <v>1757666987524</v>
      </c>
      <c r="D1179" s="58" t="s">
        <v>3675</v>
      </c>
      <c r="E1179" s="58" t="s">
        <v>428</v>
      </c>
      <c r="F1179" s="58" t="s">
        <v>447</v>
      </c>
    </row>
    <row r="1180" spans="2:6" x14ac:dyDescent="0.3">
      <c r="B1180" s="58" t="s">
        <v>3663</v>
      </c>
      <c r="C1180" s="58">
        <v>1757666993605</v>
      </c>
      <c r="D1180" s="58" t="s">
        <v>3676</v>
      </c>
      <c r="E1180" s="58" t="s">
        <v>424</v>
      </c>
      <c r="F1180" s="58" t="s">
        <v>459</v>
      </c>
    </row>
    <row r="1181" spans="2:6" x14ac:dyDescent="0.3">
      <c r="B1181" s="58" t="s">
        <v>426</v>
      </c>
      <c r="C1181" s="58">
        <v>1757667002290</v>
      </c>
      <c r="D1181" s="58" t="s">
        <v>3677</v>
      </c>
      <c r="E1181" s="58" t="s">
        <v>428</v>
      </c>
      <c r="F1181" s="58" t="s">
        <v>429</v>
      </c>
    </row>
    <row r="1182" spans="2:6" x14ac:dyDescent="0.3">
      <c r="B1182" s="58" t="s">
        <v>3663</v>
      </c>
      <c r="C1182" s="58">
        <v>1757667015923</v>
      </c>
      <c r="D1182" s="58" t="s">
        <v>3678</v>
      </c>
      <c r="E1182" s="58" t="s">
        <v>424</v>
      </c>
      <c r="F1182" s="58" t="s">
        <v>461</v>
      </c>
    </row>
    <row r="1183" spans="2:6" x14ac:dyDescent="0.3">
      <c r="B1183" s="58" t="s">
        <v>426</v>
      </c>
      <c r="C1183" s="58">
        <v>1757667017090</v>
      </c>
      <c r="D1183" s="58" t="s">
        <v>3679</v>
      </c>
      <c r="E1183" s="58" t="s">
        <v>428</v>
      </c>
      <c r="F1183" s="58" t="s">
        <v>431</v>
      </c>
    </row>
    <row r="1184" spans="2:6" x14ac:dyDescent="0.3">
      <c r="B1184" s="58" t="s">
        <v>3663</v>
      </c>
      <c r="C1184" s="58">
        <v>1757667026160</v>
      </c>
      <c r="D1184" s="58" t="s">
        <v>3680</v>
      </c>
      <c r="E1184" s="58" t="s">
        <v>424</v>
      </c>
      <c r="F1184" s="58" t="s">
        <v>449</v>
      </c>
    </row>
    <row r="1185" spans="1:6" x14ac:dyDescent="0.3">
      <c r="B1185" s="58" t="s">
        <v>426</v>
      </c>
      <c r="C1185" s="58">
        <v>1757667036259</v>
      </c>
      <c r="D1185" s="58" t="s">
        <v>3681</v>
      </c>
      <c r="E1185" s="58" t="s">
        <v>428</v>
      </c>
      <c r="F1185" s="58" t="s">
        <v>435</v>
      </c>
    </row>
    <row r="1186" spans="1:6" x14ac:dyDescent="0.3">
      <c r="B1186" s="58" t="s">
        <v>3663</v>
      </c>
      <c r="C1186" s="58">
        <v>1757667038900</v>
      </c>
      <c r="D1186" s="58" t="s">
        <v>3682</v>
      </c>
      <c r="E1186" s="58" t="s">
        <v>424</v>
      </c>
      <c r="F1186" s="58" t="s">
        <v>451</v>
      </c>
    </row>
    <row r="1187" spans="1:6" x14ac:dyDescent="0.3">
      <c r="B1187" s="58" t="s">
        <v>3663</v>
      </c>
      <c r="C1187" s="58">
        <v>1757667049799</v>
      </c>
      <c r="D1187" s="58" t="s">
        <v>3683</v>
      </c>
      <c r="E1187" s="58" t="s">
        <v>424</v>
      </c>
      <c r="F1187" s="58" t="s">
        <v>433</v>
      </c>
    </row>
    <row r="1188" spans="1:6" x14ac:dyDescent="0.3">
      <c r="B1188" s="58" t="s">
        <v>426</v>
      </c>
      <c r="C1188" s="58">
        <v>1757667055408</v>
      </c>
      <c r="D1188" s="58" t="s">
        <v>3684</v>
      </c>
      <c r="E1188" s="58" t="s">
        <v>428</v>
      </c>
      <c r="F1188" s="58" t="s">
        <v>437</v>
      </c>
    </row>
    <row r="1189" spans="1:6" x14ac:dyDescent="0.3">
      <c r="B1189" s="58" t="s">
        <v>426</v>
      </c>
      <c r="C1189" s="58">
        <v>1757667073871</v>
      </c>
      <c r="D1189" s="58" t="s">
        <v>3685</v>
      </c>
      <c r="E1189" s="58" t="s">
        <v>428</v>
      </c>
      <c r="F1189" s="58" t="s">
        <v>439</v>
      </c>
    </row>
    <row r="1190" spans="1:6" x14ac:dyDescent="0.3">
      <c r="B1190" s="58" t="s">
        <v>3663</v>
      </c>
      <c r="C1190" s="58">
        <v>1757667089463</v>
      </c>
      <c r="D1190" s="58" t="s">
        <v>3686</v>
      </c>
      <c r="E1190" s="58" t="s">
        <v>424</v>
      </c>
      <c r="F1190" s="58" t="s">
        <v>441</v>
      </c>
    </row>
    <row r="1191" spans="1:6" x14ac:dyDescent="0.3">
      <c r="B1191" s="58" t="s">
        <v>426</v>
      </c>
      <c r="C1191" s="58">
        <v>1757667090109</v>
      </c>
      <c r="D1191" s="58" t="s">
        <v>3687</v>
      </c>
      <c r="E1191" s="58" t="s">
        <v>428</v>
      </c>
      <c r="F1191" s="58" t="s">
        <v>538</v>
      </c>
    </row>
    <row r="1192" spans="1:6" x14ac:dyDescent="0.3">
      <c r="B1192" s="58" t="s">
        <v>426</v>
      </c>
      <c r="C1192" s="58">
        <v>1757667107849</v>
      </c>
      <c r="D1192" s="58" t="s">
        <v>3688</v>
      </c>
      <c r="E1192" s="58" t="s">
        <v>428</v>
      </c>
      <c r="F1192" s="58" t="s">
        <v>672</v>
      </c>
    </row>
    <row r="1193" spans="1:6" x14ac:dyDescent="0.3">
      <c r="B1193" s="58" t="s">
        <v>426</v>
      </c>
      <c r="C1193" s="58">
        <v>1757667124813</v>
      </c>
      <c r="D1193" s="58" t="s">
        <v>3689</v>
      </c>
      <c r="E1193" s="58" t="s">
        <v>428</v>
      </c>
      <c r="F1193" s="58" t="s">
        <v>523</v>
      </c>
    </row>
    <row r="1194" spans="1:6" x14ac:dyDescent="0.3">
      <c r="B1194" s="58" t="s">
        <v>426</v>
      </c>
      <c r="C1194" s="58">
        <v>1757667146141</v>
      </c>
      <c r="D1194" s="58" t="s">
        <v>3690</v>
      </c>
      <c r="E1194" s="58" t="s">
        <v>428</v>
      </c>
      <c r="F1194" s="58" t="s">
        <v>455</v>
      </c>
    </row>
    <row r="1195" spans="1:6" x14ac:dyDescent="0.3">
      <c r="B1195" s="58" t="s">
        <v>3663</v>
      </c>
      <c r="C1195" s="58">
        <v>1757667150385</v>
      </c>
      <c r="D1195" s="58" t="s">
        <v>3691</v>
      </c>
      <c r="E1195" s="58" t="s">
        <v>463</v>
      </c>
      <c r="F1195" s="58" t="s">
        <v>464</v>
      </c>
    </row>
    <row r="1196" spans="1:6" ht="21" x14ac:dyDescent="0.4">
      <c r="A1196" s="69" t="s">
        <v>52</v>
      </c>
      <c r="B1196" s="63" t="s">
        <v>3949</v>
      </c>
      <c r="C1196" s="63">
        <v>1757671335847</v>
      </c>
      <c r="D1196" s="63" t="s">
        <v>3950</v>
      </c>
      <c r="E1196" s="63" t="s">
        <v>416</v>
      </c>
      <c r="F1196" t="s">
        <v>417</v>
      </c>
    </row>
    <row r="1197" spans="1:6" x14ac:dyDescent="0.3">
      <c r="B1197" s="63" t="s">
        <v>3949</v>
      </c>
      <c r="C1197" s="63">
        <v>1757671350396</v>
      </c>
      <c r="D1197" s="63" t="s">
        <v>3951</v>
      </c>
      <c r="E1197" s="63" t="s">
        <v>419</v>
      </c>
      <c r="F1197" t="s">
        <v>420</v>
      </c>
    </row>
    <row r="1198" spans="1:6" x14ac:dyDescent="0.3">
      <c r="B1198" s="63" t="s">
        <v>3949</v>
      </c>
      <c r="C1198" s="63">
        <v>1757671405028</v>
      </c>
      <c r="D1198" s="63" t="s">
        <v>3952</v>
      </c>
      <c r="E1198" s="63" t="s">
        <v>389</v>
      </c>
      <c r="F1198" t="s">
        <v>511</v>
      </c>
    </row>
    <row r="1199" spans="1:6" x14ac:dyDescent="0.3">
      <c r="B1199" s="63" t="s">
        <v>3949</v>
      </c>
      <c r="C1199" s="63">
        <v>1757671408470</v>
      </c>
      <c r="D1199" s="63" t="s">
        <v>3953</v>
      </c>
      <c r="E1199" s="63" t="s">
        <v>389</v>
      </c>
      <c r="F1199" t="s">
        <v>1594</v>
      </c>
    </row>
    <row r="1200" spans="1:6" x14ac:dyDescent="0.3">
      <c r="B1200" s="63" t="s">
        <v>3949</v>
      </c>
      <c r="C1200" s="63">
        <v>1757671410752</v>
      </c>
      <c r="D1200" s="63" t="s">
        <v>3954</v>
      </c>
      <c r="E1200" s="63" t="s">
        <v>389</v>
      </c>
      <c r="F1200" t="s">
        <v>1126</v>
      </c>
    </row>
    <row r="1201" spans="2:6" x14ac:dyDescent="0.3">
      <c r="B1201" s="63" t="s">
        <v>3949</v>
      </c>
      <c r="C1201" s="63">
        <v>1757671411440</v>
      </c>
      <c r="D1201" s="63" t="s">
        <v>3955</v>
      </c>
      <c r="E1201" s="63" t="s">
        <v>389</v>
      </c>
      <c r="F1201" t="s">
        <v>2014</v>
      </c>
    </row>
    <row r="1202" spans="2:6" x14ac:dyDescent="0.3">
      <c r="B1202" s="63" t="s">
        <v>3949</v>
      </c>
      <c r="C1202" s="63">
        <v>1757671417072</v>
      </c>
      <c r="D1202" s="63" t="s">
        <v>3956</v>
      </c>
      <c r="E1202" s="63" t="s">
        <v>389</v>
      </c>
      <c r="F1202" t="s">
        <v>390</v>
      </c>
    </row>
    <row r="1203" spans="2:6" x14ac:dyDescent="0.3">
      <c r="B1203" s="63" t="s">
        <v>3949</v>
      </c>
      <c r="C1203" s="63">
        <v>1757671419609</v>
      </c>
      <c r="D1203" s="63" t="s">
        <v>3957</v>
      </c>
      <c r="E1203" s="63" t="s">
        <v>389</v>
      </c>
      <c r="F1203" t="s">
        <v>1689</v>
      </c>
    </row>
    <row r="1204" spans="2:6" x14ac:dyDescent="0.3">
      <c r="B1204" s="63" t="s">
        <v>3949</v>
      </c>
      <c r="C1204" s="63">
        <v>1757671419709</v>
      </c>
      <c r="D1204" s="63" t="s">
        <v>3958</v>
      </c>
      <c r="E1204" s="63" t="s">
        <v>389</v>
      </c>
      <c r="F1204" t="s">
        <v>392</v>
      </c>
    </row>
    <row r="1205" spans="2:6" x14ac:dyDescent="0.3">
      <c r="B1205" s="63" t="s">
        <v>3949</v>
      </c>
      <c r="C1205" s="63">
        <v>1757671422051</v>
      </c>
      <c r="D1205" s="63" t="s">
        <v>3959</v>
      </c>
      <c r="E1205" s="63" t="s">
        <v>389</v>
      </c>
      <c r="F1205" t="s">
        <v>410</v>
      </c>
    </row>
    <row r="1206" spans="2:6" x14ac:dyDescent="0.3">
      <c r="B1206" s="63" t="s">
        <v>3949</v>
      </c>
      <c r="C1206" s="63">
        <v>1757671423449</v>
      </c>
      <c r="D1206" s="63" t="s">
        <v>3960</v>
      </c>
      <c r="E1206" s="63" t="s">
        <v>389</v>
      </c>
      <c r="F1206" t="s">
        <v>1599</v>
      </c>
    </row>
    <row r="1207" spans="2:6" x14ac:dyDescent="0.3">
      <c r="B1207" s="63" t="s">
        <v>3949</v>
      </c>
      <c r="C1207" s="63">
        <v>1757671424153</v>
      </c>
      <c r="D1207" s="63" t="s">
        <v>3961</v>
      </c>
      <c r="E1207" s="63" t="s">
        <v>389</v>
      </c>
      <c r="F1207" t="s">
        <v>660</v>
      </c>
    </row>
    <row r="1208" spans="2:6" x14ac:dyDescent="0.3">
      <c r="B1208" s="63" t="s">
        <v>3949</v>
      </c>
      <c r="C1208" s="63">
        <v>1757671425215</v>
      </c>
      <c r="D1208" s="63" t="s">
        <v>3962</v>
      </c>
      <c r="E1208" s="63" t="s">
        <v>389</v>
      </c>
      <c r="F1208" t="s">
        <v>1587</v>
      </c>
    </row>
    <row r="1209" spans="2:6" x14ac:dyDescent="0.3">
      <c r="B1209" s="63" t="s">
        <v>3949</v>
      </c>
      <c r="C1209" s="63">
        <v>1757671426701</v>
      </c>
      <c r="D1209" s="63" t="s">
        <v>3963</v>
      </c>
      <c r="E1209" s="63" t="s">
        <v>389</v>
      </c>
      <c r="F1209" t="s">
        <v>661</v>
      </c>
    </row>
    <row r="1210" spans="2:6" x14ac:dyDescent="0.3">
      <c r="B1210" s="63" t="s">
        <v>3949</v>
      </c>
      <c r="C1210" s="63">
        <v>1757671426835</v>
      </c>
      <c r="D1210" s="63" t="s">
        <v>3964</v>
      </c>
      <c r="E1210" s="63" t="s">
        <v>389</v>
      </c>
      <c r="F1210" t="s">
        <v>661</v>
      </c>
    </row>
    <row r="1211" spans="2:6" x14ac:dyDescent="0.3">
      <c r="B1211" s="63" t="s">
        <v>3949</v>
      </c>
      <c r="C1211" s="63">
        <v>1757671428340</v>
      </c>
      <c r="D1211" s="63" t="s">
        <v>3965</v>
      </c>
      <c r="E1211" s="63" t="s">
        <v>422</v>
      </c>
      <c r="F1211" t="s">
        <v>420</v>
      </c>
    </row>
    <row r="1212" spans="2:6" x14ac:dyDescent="0.3">
      <c r="B1212" s="63" t="s">
        <v>426</v>
      </c>
      <c r="C1212" s="63">
        <v>1757671443920</v>
      </c>
      <c r="D1212" s="63" t="s">
        <v>3966</v>
      </c>
      <c r="E1212" s="63" t="s">
        <v>428</v>
      </c>
      <c r="F1212" t="s">
        <v>435</v>
      </c>
    </row>
    <row r="1213" spans="2:6" x14ac:dyDescent="0.3">
      <c r="B1213" s="63" t="s">
        <v>426</v>
      </c>
      <c r="C1213" s="63">
        <v>1757671458693</v>
      </c>
      <c r="D1213" s="63" t="s">
        <v>3967</v>
      </c>
      <c r="E1213" s="63" t="s">
        <v>428</v>
      </c>
      <c r="F1213" t="s">
        <v>437</v>
      </c>
    </row>
    <row r="1214" spans="2:6" x14ac:dyDescent="0.3">
      <c r="B1214" s="63" t="s">
        <v>426</v>
      </c>
      <c r="C1214" s="63">
        <v>1757671475050</v>
      </c>
      <c r="D1214" s="63" t="s">
        <v>3968</v>
      </c>
      <c r="E1214" s="63" t="s">
        <v>428</v>
      </c>
      <c r="F1214" t="s">
        <v>439</v>
      </c>
    </row>
    <row r="1215" spans="2:6" x14ac:dyDescent="0.3">
      <c r="B1215" s="63" t="s">
        <v>426</v>
      </c>
      <c r="C1215" s="63">
        <v>1757671493495</v>
      </c>
      <c r="D1215" s="63" t="s">
        <v>3969</v>
      </c>
      <c r="E1215" s="63" t="s">
        <v>428</v>
      </c>
      <c r="F1215" t="s">
        <v>429</v>
      </c>
    </row>
    <row r="1216" spans="2:6" x14ac:dyDescent="0.3">
      <c r="B1216" s="63" t="s">
        <v>3949</v>
      </c>
      <c r="C1216" s="63">
        <v>1757671498412</v>
      </c>
      <c r="D1216" s="63" t="s">
        <v>3970</v>
      </c>
      <c r="E1216" s="63" t="s">
        <v>424</v>
      </c>
      <c r="F1216" t="s">
        <v>518</v>
      </c>
    </row>
    <row r="1217" spans="2:6" x14ac:dyDescent="0.3">
      <c r="B1217" s="63" t="s">
        <v>3949</v>
      </c>
      <c r="C1217" s="63">
        <v>1757671498570</v>
      </c>
      <c r="D1217" s="63" t="s">
        <v>3971</v>
      </c>
      <c r="E1217" s="63" t="s">
        <v>424</v>
      </c>
      <c r="F1217" t="s">
        <v>457</v>
      </c>
    </row>
    <row r="1218" spans="2:6" x14ac:dyDescent="0.3">
      <c r="B1218" s="63" t="s">
        <v>3949</v>
      </c>
      <c r="C1218" s="63">
        <v>1757671499025</v>
      </c>
      <c r="D1218" s="63" t="s">
        <v>3972</v>
      </c>
      <c r="E1218" s="63" t="s">
        <v>424</v>
      </c>
      <c r="F1218" t="s">
        <v>459</v>
      </c>
    </row>
    <row r="1219" spans="2:6" x14ac:dyDescent="0.3">
      <c r="B1219" s="63" t="s">
        <v>3949</v>
      </c>
      <c r="C1219" s="63">
        <v>1757671499604</v>
      </c>
      <c r="D1219" s="63" t="s">
        <v>3973</v>
      </c>
      <c r="E1219" s="63" t="s">
        <v>424</v>
      </c>
      <c r="F1219" t="s">
        <v>461</v>
      </c>
    </row>
    <row r="1220" spans="2:6" x14ac:dyDescent="0.3">
      <c r="B1220" s="63" t="s">
        <v>3949</v>
      </c>
      <c r="C1220" s="63">
        <v>1757671502670</v>
      </c>
      <c r="D1220" s="63" t="s">
        <v>3974</v>
      </c>
      <c r="E1220" s="63" t="s">
        <v>424</v>
      </c>
      <c r="F1220" t="s">
        <v>441</v>
      </c>
    </row>
    <row r="1221" spans="2:6" x14ac:dyDescent="0.3">
      <c r="B1221" s="63" t="s">
        <v>426</v>
      </c>
      <c r="C1221" s="63">
        <v>1757671511205</v>
      </c>
      <c r="D1221" s="63" t="s">
        <v>3975</v>
      </c>
      <c r="E1221" s="63" t="s">
        <v>428</v>
      </c>
      <c r="F1221" t="s">
        <v>431</v>
      </c>
    </row>
    <row r="1222" spans="2:6" x14ac:dyDescent="0.3">
      <c r="B1222" s="63" t="s">
        <v>426</v>
      </c>
      <c r="C1222" s="63">
        <v>1757671526773</v>
      </c>
      <c r="D1222" s="63" t="s">
        <v>3976</v>
      </c>
      <c r="E1222" s="63" t="s">
        <v>428</v>
      </c>
      <c r="F1222" t="s">
        <v>447</v>
      </c>
    </row>
    <row r="1223" spans="2:6" x14ac:dyDescent="0.3">
      <c r="B1223" s="63" t="s">
        <v>3949</v>
      </c>
      <c r="C1223" s="63">
        <v>1757671532464</v>
      </c>
      <c r="D1223" s="63" t="s">
        <v>3977</v>
      </c>
      <c r="E1223" s="63" t="s">
        <v>424</v>
      </c>
      <c r="F1223" t="s">
        <v>433</v>
      </c>
    </row>
    <row r="1224" spans="2:6" x14ac:dyDescent="0.3">
      <c r="B1224" s="63" t="s">
        <v>3949</v>
      </c>
      <c r="C1224" s="63">
        <v>1757671533897</v>
      </c>
      <c r="D1224" s="63" t="s">
        <v>3978</v>
      </c>
      <c r="E1224" s="63" t="s">
        <v>424</v>
      </c>
      <c r="F1224" t="s">
        <v>449</v>
      </c>
    </row>
    <row r="1225" spans="2:6" x14ac:dyDescent="0.3">
      <c r="B1225" s="63" t="s">
        <v>3949</v>
      </c>
      <c r="C1225" s="63">
        <v>1757671534494</v>
      </c>
      <c r="D1225" s="63" t="s">
        <v>3979</v>
      </c>
      <c r="E1225" s="63" t="s">
        <v>424</v>
      </c>
      <c r="F1225" t="s">
        <v>451</v>
      </c>
    </row>
    <row r="1226" spans="2:6" x14ac:dyDescent="0.3">
      <c r="B1226" s="63" t="s">
        <v>426</v>
      </c>
      <c r="C1226" s="63">
        <v>1757671542279</v>
      </c>
      <c r="D1226" s="63" t="s">
        <v>3980</v>
      </c>
      <c r="E1226" s="63" t="s">
        <v>428</v>
      </c>
      <c r="F1226" t="s">
        <v>538</v>
      </c>
    </row>
    <row r="1227" spans="2:6" x14ac:dyDescent="0.3">
      <c r="B1227" s="63" t="s">
        <v>426</v>
      </c>
      <c r="C1227" s="63">
        <v>1757671559983</v>
      </c>
      <c r="D1227" s="63" t="s">
        <v>3981</v>
      </c>
      <c r="E1227" s="63" t="s">
        <v>428</v>
      </c>
      <c r="F1227" t="s">
        <v>672</v>
      </c>
    </row>
    <row r="1228" spans="2:6" x14ac:dyDescent="0.3">
      <c r="B1228" s="63" t="s">
        <v>426</v>
      </c>
      <c r="C1228" s="63">
        <v>1757671576907</v>
      </c>
      <c r="D1228" s="63" t="s">
        <v>3982</v>
      </c>
      <c r="E1228" s="63" t="s">
        <v>428</v>
      </c>
      <c r="F1228" t="s">
        <v>523</v>
      </c>
    </row>
    <row r="1229" spans="2:6" x14ac:dyDescent="0.3">
      <c r="B1229" s="63" t="s">
        <v>426</v>
      </c>
      <c r="C1229" s="63">
        <v>1757671598298</v>
      </c>
      <c r="D1229" s="63" t="s">
        <v>3983</v>
      </c>
      <c r="E1229" s="63" t="s">
        <v>428</v>
      </c>
      <c r="F1229" t="s">
        <v>455</v>
      </c>
    </row>
    <row r="1230" spans="2:6" x14ac:dyDescent="0.3">
      <c r="B1230" s="63" t="s">
        <v>3949</v>
      </c>
      <c r="C1230" s="63">
        <v>1757671600401</v>
      </c>
      <c r="D1230" s="63" t="s">
        <v>3984</v>
      </c>
      <c r="E1230" s="63" t="s">
        <v>463</v>
      </c>
      <c r="F1230" t="s">
        <v>464</v>
      </c>
    </row>
    <row r="1231" spans="2:6" x14ac:dyDescent="0.3">
      <c r="B1231" s="58" t="s">
        <v>3985</v>
      </c>
      <c r="C1231" s="58">
        <v>1757671610079</v>
      </c>
      <c r="D1231" s="58" t="s">
        <v>3986</v>
      </c>
      <c r="E1231" s="58" t="s">
        <v>416</v>
      </c>
      <c r="F1231" s="58" t="s">
        <v>466</v>
      </c>
    </row>
    <row r="1232" spans="2:6" x14ac:dyDescent="0.3">
      <c r="B1232" s="58" t="s">
        <v>3985</v>
      </c>
      <c r="C1232" s="58">
        <v>1757671610294</v>
      </c>
      <c r="D1232" s="58" t="s">
        <v>3987</v>
      </c>
      <c r="E1232" s="58" t="s">
        <v>468</v>
      </c>
      <c r="F1232" s="58" t="s">
        <v>3988</v>
      </c>
    </row>
    <row r="1233" spans="2:6" x14ac:dyDescent="0.3">
      <c r="B1233" s="58" t="s">
        <v>3985</v>
      </c>
      <c r="C1233" s="58">
        <v>1757671610806</v>
      </c>
      <c r="D1233" s="58" t="s">
        <v>3989</v>
      </c>
      <c r="E1233" s="58" t="s">
        <v>419</v>
      </c>
      <c r="F1233" s="58" t="s">
        <v>420</v>
      </c>
    </row>
    <row r="1234" spans="2:6" x14ac:dyDescent="0.3">
      <c r="B1234" s="58" t="s">
        <v>3985</v>
      </c>
      <c r="C1234" s="58">
        <v>1757671640438</v>
      </c>
      <c r="D1234" s="58" t="s">
        <v>3990</v>
      </c>
      <c r="E1234" s="58" t="s">
        <v>422</v>
      </c>
      <c r="F1234" s="58" t="s">
        <v>420</v>
      </c>
    </row>
    <row r="1235" spans="2:6" x14ac:dyDescent="0.3">
      <c r="B1235" s="58" t="s">
        <v>426</v>
      </c>
      <c r="C1235" s="58">
        <v>1757671655864</v>
      </c>
      <c r="D1235" s="58" t="s">
        <v>3991</v>
      </c>
      <c r="E1235" s="58" t="s">
        <v>428</v>
      </c>
      <c r="F1235" s="58" t="s">
        <v>429</v>
      </c>
    </row>
    <row r="1236" spans="2:6" x14ac:dyDescent="0.3">
      <c r="B1236" s="58" t="s">
        <v>426</v>
      </c>
      <c r="C1236" s="58">
        <v>1757671671298</v>
      </c>
      <c r="D1236" s="58" t="s">
        <v>3992</v>
      </c>
      <c r="E1236" s="58" t="s">
        <v>428</v>
      </c>
      <c r="F1236" s="58" t="s">
        <v>431</v>
      </c>
    </row>
    <row r="1237" spans="2:6" x14ac:dyDescent="0.3">
      <c r="B1237" s="58" t="s">
        <v>3985</v>
      </c>
      <c r="C1237" s="58">
        <v>1757671676557</v>
      </c>
      <c r="D1237" s="58" t="s">
        <v>3993</v>
      </c>
      <c r="E1237" s="58" t="s">
        <v>424</v>
      </c>
      <c r="F1237" s="58" t="s">
        <v>433</v>
      </c>
    </row>
    <row r="1238" spans="2:6" x14ac:dyDescent="0.3">
      <c r="B1238" s="58" t="s">
        <v>426</v>
      </c>
      <c r="C1238" s="58">
        <v>1757671690372</v>
      </c>
      <c r="D1238" s="58" t="s">
        <v>3994</v>
      </c>
      <c r="E1238" s="58" t="s">
        <v>428</v>
      </c>
      <c r="F1238" s="58" t="s">
        <v>435</v>
      </c>
    </row>
    <row r="1239" spans="2:6" x14ac:dyDescent="0.3">
      <c r="B1239" s="58" t="s">
        <v>426</v>
      </c>
      <c r="C1239" s="58">
        <v>1757671709505</v>
      </c>
      <c r="D1239" s="58" t="s">
        <v>3995</v>
      </c>
      <c r="E1239" s="58" t="s">
        <v>428</v>
      </c>
      <c r="F1239" s="58" t="s">
        <v>437</v>
      </c>
    </row>
    <row r="1240" spans="2:6" x14ac:dyDescent="0.3">
      <c r="B1240" s="58" t="s">
        <v>426</v>
      </c>
      <c r="C1240" s="58">
        <v>1757671727910</v>
      </c>
      <c r="D1240" s="58" t="s">
        <v>3996</v>
      </c>
      <c r="E1240" s="58" t="s">
        <v>428</v>
      </c>
      <c r="F1240" s="58" t="s">
        <v>439</v>
      </c>
    </row>
    <row r="1241" spans="2:6" x14ac:dyDescent="0.3">
      <c r="B1241" s="58" t="s">
        <v>426</v>
      </c>
      <c r="C1241" s="58">
        <v>1757671742668</v>
      </c>
      <c r="D1241" s="58" t="s">
        <v>3997</v>
      </c>
      <c r="E1241" s="58" t="s">
        <v>428</v>
      </c>
      <c r="F1241" s="58" t="s">
        <v>447</v>
      </c>
    </row>
    <row r="1242" spans="2:6" x14ac:dyDescent="0.3">
      <c r="B1242" s="58" t="s">
        <v>426</v>
      </c>
      <c r="C1242" s="58">
        <v>1757671759567</v>
      </c>
      <c r="D1242" s="58" t="s">
        <v>3998</v>
      </c>
      <c r="E1242" s="58" t="s">
        <v>428</v>
      </c>
      <c r="F1242" s="58" t="s">
        <v>523</v>
      </c>
    </row>
    <row r="1243" spans="2:6" x14ac:dyDescent="0.3">
      <c r="B1243" s="58" t="s">
        <v>426</v>
      </c>
      <c r="C1243" s="58">
        <v>1757671775723</v>
      </c>
      <c r="D1243" s="58" t="s">
        <v>3999</v>
      </c>
      <c r="E1243" s="58" t="s">
        <v>428</v>
      </c>
      <c r="F1243" s="58" t="s">
        <v>538</v>
      </c>
    </row>
    <row r="1244" spans="2:6" x14ac:dyDescent="0.3">
      <c r="B1244" s="58" t="s">
        <v>3985</v>
      </c>
      <c r="C1244" s="58">
        <v>1757671786944</v>
      </c>
      <c r="D1244" s="58" t="s">
        <v>4000</v>
      </c>
      <c r="E1244" s="58" t="s">
        <v>424</v>
      </c>
      <c r="F1244" s="58" t="s">
        <v>441</v>
      </c>
    </row>
    <row r="1245" spans="2:6" x14ac:dyDescent="0.3">
      <c r="B1245" s="58" t="s">
        <v>3985</v>
      </c>
      <c r="C1245" s="58">
        <v>1757671788170</v>
      </c>
      <c r="D1245" s="58" t="s">
        <v>4001</v>
      </c>
      <c r="E1245" s="58" t="s">
        <v>424</v>
      </c>
      <c r="F1245" s="58" t="s">
        <v>518</v>
      </c>
    </row>
    <row r="1246" spans="2:6" x14ac:dyDescent="0.3">
      <c r="B1246" s="58" t="s">
        <v>3985</v>
      </c>
      <c r="C1246" s="58">
        <v>1757671788813</v>
      </c>
      <c r="D1246" s="58" t="s">
        <v>4002</v>
      </c>
      <c r="E1246" s="58" t="s">
        <v>424</v>
      </c>
      <c r="F1246" s="58" t="s">
        <v>457</v>
      </c>
    </row>
    <row r="1247" spans="2:6" x14ac:dyDescent="0.3">
      <c r="B1247" s="58" t="s">
        <v>3985</v>
      </c>
      <c r="C1247" s="58">
        <v>1757671789754</v>
      </c>
      <c r="D1247" s="58" t="s">
        <v>4003</v>
      </c>
      <c r="E1247" s="58" t="s">
        <v>424</v>
      </c>
      <c r="F1247" s="58" t="s">
        <v>459</v>
      </c>
    </row>
    <row r="1248" spans="2:6" x14ac:dyDescent="0.3">
      <c r="B1248" s="58" t="s">
        <v>3985</v>
      </c>
      <c r="C1248" s="58">
        <v>1757671790423</v>
      </c>
      <c r="D1248" s="58" t="s">
        <v>4004</v>
      </c>
      <c r="E1248" s="58" t="s">
        <v>424</v>
      </c>
      <c r="F1248" s="58" t="s">
        <v>461</v>
      </c>
    </row>
    <row r="1249" spans="1:6" x14ac:dyDescent="0.3">
      <c r="B1249" s="58" t="s">
        <v>3985</v>
      </c>
      <c r="C1249" s="58">
        <v>1757671791635</v>
      </c>
      <c r="D1249" s="58" t="s">
        <v>4005</v>
      </c>
      <c r="E1249" s="58" t="s">
        <v>424</v>
      </c>
      <c r="F1249" s="58" t="s">
        <v>449</v>
      </c>
    </row>
    <row r="1250" spans="1:6" x14ac:dyDescent="0.3">
      <c r="B1250" s="58" t="s">
        <v>3985</v>
      </c>
      <c r="C1250" s="58">
        <v>1757671792715</v>
      </c>
      <c r="D1250" s="58" t="s">
        <v>4006</v>
      </c>
      <c r="E1250" s="58" t="s">
        <v>424</v>
      </c>
      <c r="F1250" s="58" t="s">
        <v>451</v>
      </c>
    </row>
    <row r="1251" spans="1:6" x14ac:dyDescent="0.3">
      <c r="B1251" s="58" t="s">
        <v>426</v>
      </c>
      <c r="C1251" s="58">
        <v>1757671793403</v>
      </c>
      <c r="D1251" s="58" t="s">
        <v>4007</v>
      </c>
      <c r="E1251" s="58" t="s">
        <v>428</v>
      </c>
      <c r="F1251" s="58" t="s">
        <v>672</v>
      </c>
    </row>
    <row r="1252" spans="1:6" x14ac:dyDescent="0.3">
      <c r="B1252" s="58" t="s">
        <v>426</v>
      </c>
      <c r="C1252" s="58">
        <v>1757671813961</v>
      </c>
      <c r="D1252" s="58" t="s">
        <v>4008</v>
      </c>
      <c r="E1252" s="58" t="s">
        <v>428</v>
      </c>
      <c r="F1252" s="58" t="s">
        <v>455</v>
      </c>
    </row>
    <row r="1253" spans="1:6" x14ac:dyDescent="0.3">
      <c r="B1253" s="58" t="s">
        <v>3985</v>
      </c>
      <c r="C1253" s="58">
        <v>1757671814626</v>
      </c>
      <c r="D1253" s="58" t="s">
        <v>4009</v>
      </c>
      <c r="E1253" s="58" t="s">
        <v>463</v>
      </c>
      <c r="F1253" s="58" t="s">
        <v>464</v>
      </c>
    </row>
    <row r="1254" spans="1:6" ht="21" x14ac:dyDescent="0.4">
      <c r="A1254" s="69" t="s">
        <v>53</v>
      </c>
      <c r="B1254" s="63" t="s">
        <v>4010</v>
      </c>
      <c r="C1254" s="63">
        <v>1757678020599</v>
      </c>
      <c r="D1254" s="63" t="s">
        <v>4011</v>
      </c>
      <c r="E1254" s="63" t="s">
        <v>416</v>
      </c>
      <c r="F1254" t="s">
        <v>417</v>
      </c>
    </row>
    <row r="1255" spans="1:6" x14ac:dyDescent="0.3">
      <c r="B1255" s="63" t="s">
        <v>4010</v>
      </c>
      <c r="C1255" s="63">
        <v>1757678021112</v>
      </c>
      <c r="D1255" s="63" t="s">
        <v>4012</v>
      </c>
      <c r="E1255" s="63" t="s">
        <v>419</v>
      </c>
      <c r="F1255" t="s">
        <v>420</v>
      </c>
    </row>
    <row r="1256" spans="1:6" x14ac:dyDescent="0.3">
      <c r="B1256" s="63" t="s">
        <v>4010</v>
      </c>
      <c r="C1256" s="63">
        <v>1757678105424</v>
      </c>
      <c r="D1256" s="63" t="s">
        <v>4013</v>
      </c>
      <c r="E1256" s="63" t="s">
        <v>389</v>
      </c>
      <c r="F1256" t="s">
        <v>414</v>
      </c>
    </row>
    <row r="1257" spans="1:6" x14ac:dyDescent="0.3">
      <c r="B1257" s="63" t="s">
        <v>4010</v>
      </c>
      <c r="C1257" s="63">
        <v>1757678106818</v>
      </c>
      <c r="D1257" s="63" t="s">
        <v>4014</v>
      </c>
      <c r="E1257" s="63" t="s">
        <v>389</v>
      </c>
      <c r="F1257" t="s">
        <v>495</v>
      </c>
    </row>
    <row r="1258" spans="1:6" x14ac:dyDescent="0.3">
      <c r="B1258" s="63" t="s">
        <v>4010</v>
      </c>
      <c r="C1258" s="63">
        <v>1757678107696</v>
      </c>
      <c r="D1258" s="63" t="s">
        <v>4015</v>
      </c>
      <c r="E1258" s="63" t="s">
        <v>389</v>
      </c>
      <c r="F1258" t="s">
        <v>508</v>
      </c>
    </row>
    <row r="1259" spans="1:6" x14ac:dyDescent="0.3">
      <c r="B1259" s="63" t="s">
        <v>4010</v>
      </c>
      <c r="C1259" s="63">
        <v>1757678108911</v>
      </c>
      <c r="D1259" s="63" t="s">
        <v>4016</v>
      </c>
      <c r="E1259" s="63" t="s">
        <v>389</v>
      </c>
      <c r="F1259" t="s">
        <v>660</v>
      </c>
    </row>
    <row r="1260" spans="1:6" x14ac:dyDescent="0.3">
      <c r="B1260" s="63" t="s">
        <v>4010</v>
      </c>
      <c r="C1260" s="63">
        <v>1757678110920</v>
      </c>
      <c r="D1260" s="63" t="s">
        <v>4017</v>
      </c>
      <c r="E1260" s="63" t="s">
        <v>389</v>
      </c>
      <c r="F1260" t="s">
        <v>410</v>
      </c>
    </row>
    <row r="1261" spans="1:6" x14ac:dyDescent="0.3">
      <c r="B1261" s="63" t="s">
        <v>4010</v>
      </c>
      <c r="C1261" s="63">
        <v>1757678119854</v>
      </c>
      <c r="D1261" s="63" t="s">
        <v>4018</v>
      </c>
      <c r="E1261" s="63" t="s">
        <v>389</v>
      </c>
      <c r="F1261" t="s">
        <v>390</v>
      </c>
    </row>
    <row r="1262" spans="1:6" x14ac:dyDescent="0.3">
      <c r="B1262" s="63" t="s">
        <v>4010</v>
      </c>
      <c r="C1262" s="63">
        <v>1757678121099</v>
      </c>
      <c r="D1262" s="63" t="s">
        <v>4019</v>
      </c>
      <c r="E1262" s="63" t="s">
        <v>389</v>
      </c>
      <c r="F1262" t="s">
        <v>392</v>
      </c>
    </row>
    <row r="1263" spans="1:6" x14ac:dyDescent="0.3">
      <c r="B1263" s="63" t="s">
        <v>4010</v>
      </c>
      <c r="C1263" s="63">
        <v>1757678122008</v>
      </c>
      <c r="D1263" s="63" t="s">
        <v>4020</v>
      </c>
      <c r="E1263" s="63" t="s">
        <v>389</v>
      </c>
      <c r="F1263" t="s">
        <v>396</v>
      </c>
    </row>
    <row r="1264" spans="1:6" x14ac:dyDescent="0.3">
      <c r="B1264" s="63" t="s">
        <v>4010</v>
      </c>
      <c r="C1264" s="63">
        <v>1757678122561</v>
      </c>
      <c r="D1264" s="63" t="s">
        <v>4021</v>
      </c>
      <c r="E1264" s="63" t="s">
        <v>389</v>
      </c>
      <c r="F1264" t="s">
        <v>398</v>
      </c>
    </row>
    <row r="1265" spans="2:6" x14ac:dyDescent="0.3">
      <c r="B1265" s="63" t="s">
        <v>4010</v>
      </c>
      <c r="C1265" s="63">
        <v>1757678123081</v>
      </c>
      <c r="D1265" s="63" t="s">
        <v>4022</v>
      </c>
      <c r="E1265" s="63" t="s">
        <v>389</v>
      </c>
      <c r="F1265" t="s">
        <v>400</v>
      </c>
    </row>
    <row r="1266" spans="2:6" x14ac:dyDescent="0.3">
      <c r="B1266" s="63" t="s">
        <v>4010</v>
      </c>
      <c r="C1266" s="63">
        <v>1757678125908</v>
      </c>
      <c r="D1266" s="63" t="s">
        <v>4023</v>
      </c>
      <c r="E1266" s="63" t="s">
        <v>389</v>
      </c>
      <c r="F1266" t="s">
        <v>406</v>
      </c>
    </row>
    <row r="1267" spans="2:6" x14ac:dyDescent="0.3">
      <c r="B1267" s="63" t="s">
        <v>4010</v>
      </c>
      <c r="C1267" s="63">
        <v>1757678203325</v>
      </c>
      <c r="D1267" s="63" t="s">
        <v>4024</v>
      </c>
      <c r="E1267" s="63" t="s">
        <v>422</v>
      </c>
      <c r="F1267" t="s">
        <v>420</v>
      </c>
    </row>
    <row r="1268" spans="2:6" x14ac:dyDescent="0.3">
      <c r="B1268" s="63" t="s">
        <v>426</v>
      </c>
      <c r="C1268" s="63">
        <v>1757678221051</v>
      </c>
      <c r="D1268" s="63" t="s">
        <v>4025</v>
      </c>
      <c r="E1268" s="63" t="s">
        <v>428</v>
      </c>
      <c r="F1268" t="s">
        <v>453</v>
      </c>
    </row>
    <row r="1269" spans="2:6" x14ac:dyDescent="0.3">
      <c r="B1269" s="63" t="s">
        <v>426</v>
      </c>
      <c r="C1269" s="63">
        <v>1757678242424</v>
      </c>
      <c r="D1269" s="63" t="s">
        <v>4026</v>
      </c>
      <c r="E1269" s="63" t="s">
        <v>428</v>
      </c>
      <c r="F1269" t="s">
        <v>455</v>
      </c>
    </row>
    <row r="1270" spans="2:6" x14ac:dyDescent="0.3">
      <c r="B1270" s="63" t="s">
        <v>4010</v>
      </c>
      <c r="C1270" s="63">
        <v>1757678246779</v>
      </c>
      <c r="D1270" s="63" t="s">
        <v>4027</v>
      </c>
      <c r="E1270" s="63" t="s">
        <v>424</v>
      </c>
      <c r="F1270" t="s">
        <v>457</v>
      </c>
    </row>
    <row r="1271" spans="2:6" x14ac:dyDescent="0.3">
      <c r="B1271" s="63" t="s">
        <v>4010</v>
      </c>
      <c r="C1271" s="63">
        <v>1757678253108</v>
      </c>
      <c r="D1271" s="63" t="s">
        <v>4028</v>
      </c>
      <c r="E1271" s="63" t="s">
        <v>424</v>
      </c>
      <c r="F1271" t="s">
        <v>459</v>
      </c>
    </row>
    <row r="1272" spans="2:6" x14ac:dyDescent="0.3">
      <c r="B1272" s="63" t="s">
        <v>426</v>
      </c>
      <c r="C1272" s="63">
        <v>1757678258673</v>
      </c>
      <c r="D1272" s="63" t="s">
        <v>4029</v>
      </c>
      <c r="E1272" s="63" t="s">
        <v>428</v>
      </c>
      <c r="F1272" t="s">
        <v>523</v>
      </c>
    </row>
    <row r="1273" spans="2:6" x14ac:dyDescent="0.3">
      <c r="B1273" s="63" t="s">
        <v>426</v>
      </c>
      <c r="C1273" s="63">
        <v>1757678274194</v>
      </c>
      <c r="D1273" s="63" t="s">
        <v>4030</v>
      </c>
      <c r="E1273" s="63" t="s">
        <v>428</v>
      </c>
      <c r="F1273" t="s">
        <v>538</v>
      </c>
    </row>
    <row r="1274" spans="2:6" x14ac:dyDescent="0.3">
      <c r="B1274" s="63" t="s">
        <v>4010</v>
      </c>
      <c r="C1274" s="63">
        <v>1757678276500</v>
      </c>
      <c r="D1274" s="63" t="s">
        <v>4031</v>
      </c>
      <c r="E1274" s="63" t="s">
        <v>424</v>
      </c>
      <c r="F1274" t="s">
        <v>461</v>
      </c>
    </row>
    <row r="1275" spans="2:6" x14ac:dyDescent="0.3">
      <c r="B1275" s="63" t="s">
        <v>426</v>
      </c>
      <c r="C1275" s="63">
        <v>1757678291936</v>
      </c>
      <c r="D1275" s="63" t="s">
        <v>4032</v>
      </c>
      <c r="E1275" s="63" t="s">
        <v>428</v>
      </c>
      <c r="F1275" t="s">
        <v>672</v>
      </c>
    </row>
    <row r="1276" spans="2:6" x14ac:dyDescent="0.3">
      <c r="B1276" s="63" t="s">
        <v>426</v>
      </c>
      <c r="C1276" s="63">
        <v>1757678309657</v>
      </c>
      <c r="D1276" s="63" t="s">
        <v>4033</v>
      </c>
      <c r="E1276" s="63" t="s">
        <v>428</v>
      </c>
      <c r="F1276" t="s">
        <v>429</v>
      </c>
    </row>
    <row r="1277" spans="2:6" x14ac:dyDescent="0.3">
      <c r="B1277" s="63" t="s">
        <v>426</v>
      </c>
      <c r="C1277" s="63">
        <v>1757678327386</v>
      </c>
      <c r="D1277" s="63" t="s">
        <v>4034</v>
      </c>
      <c r="E1277" s="63" t="s">
        <v>428</v>
      </c>
      <c r="F1277" t="s">
        <v>431</v>
      </c>
    </row>
    <row r="1278" spans="2:6" x14ac:dyDescent="0.3">
      <c r="B1278" s="63" t="s">
        <v>4010</v>
      </c>
      <c r="C1278" s="63">
        <v>1757678332057</v>
      </c>
      <c r="D1278" s="63" t="s">
        <v>4035</v>
      </c>
      <c r="E1278" s="63" t="s">
        <v>424</v>
      </c>
      <c r="F1278" t="s">
        <v>433</v>
      </c>
    </row>
    <row r="1279" spans="2:6" x14ac:dyDescent="0.3">
      <c r="B1279" s="63" t="s">
        <v>426</v>
      </c>
      <c r="C1279" s="63">
        <v>1757678342929</v>
      </c>
      <c r="D1279" s="63" t="s">
        <v>4036</v>
      </c>
      <c r="E1279" s="63" t="s">
        <v>428</v>
      </c>
      <c r="F1279" t="s">
        <v>447</v>
      </c>
    </row>
    <row r="1280" spans="2:6" x14ac:dyDescent="0.3">
      <c r="B1280" s="63" t="s">
        <v>426</v>
      </c>
      <c r="C1280" s="63">
        <v>1757678358494</v>
      </c>
      <c r="D1280" s="63" t="s">
        <v>4037</v>
      </c>
      <c r="E1280" s="63" t="s">
        <v>428</v>
      </c>
      <c r="F1280" t="s">
        <v>435</v>
      </c>
    </row>
    <row r="1281" spans="2:6" x14ac:dyDescent="0.3">
      <c r="B1281" s="63" t="s">
        <v>4010</v>
      </c>
      <c r="C1281" s="63">
        <v>1757678362720</v>
      </c>
      <c r="D1281" s="63" t="s">
        <v>4038</v>
      </c>
      <c r="E1281" s="63" t="s">
        <v>424</v>
      </c>
      <c r="F1281" t="s">
        <v>449</v>
      </c>
    </row>
    <row r="1282" spans="2:6" x14ac:dyDescent="0.3">
      <c r="B1282" s="63" t="s">
        <v>426</v>
      </c>
      <c r="C1282" s="63">
        <v>1757678373286</v>
      </c>
      <c r="D1282" s="63" t="s">
        <v>4039</v>
      </c>
      <c r="E1282" s="63" t="s">
        <v>428</v>
      </c>
      <c r="F1282" t="s">
        <v>437</v>
      </c>
    </row>
    <row r="1283" spans="2:6" x14ac:dyDescent="0.3">
      <c r="B1283" s="63" t="s">
        <v>4010</v>
      </c>
      <c r="C1283" s="63">
        <v>1757678375462</v>
      </c>
      <c r="D1283" s="63" t="s">
        <v>4040</v>
      </c>
      <c r="E1283" s="63" t="s">
        <v>424</v>
      </c>
      <c r="F1283" s="63" t="s">
        <v>451</v>
      </c>
    </row>
    <row r="1284" spans="2:6" x14ac:dyDescent="0.3">
      <c r="B1284" s="63" t="s">
        <v>426</v>
      </c>
      <c r="C1284" s="63">
        <v>1757678389612</v>
      </c>
      <c r="D1284" s="63" t="s">
        <v>4041</v>
      </c>
      <c r="E1284" s="63" t="s">
        <v>428</v>
      </c>
      <c r="F1284" s="63" t="s">
        <v>439</v>
      </c>
    </row>
    <row r="1285" spans="2:6" x14ac:dyDescent="0.3">
      <c r="B1285" s="63" t="s">
        <v>4010</v>
      </c>
      <c r="C1285" s="63">
        <v>1757678403056</v>
      </c>
      <c r="D1285" s="63" t="s">
        <v>4042</v>
      </c>
      <c r="E1285" s="63" t="s">
        <v>424</v>
      </c>
      <c r="F1285" s="63" t="s">
        <v>441</v>
      </c>
    </row>
    <row r="1286" spans="2:6" x14ac:dyDescent="0.3">
      <c r="B1286" s="63" t="s">
        <v>4010</v>
      </c>
      <c r="C1286" s="63">
        <v>1757678404660</v>
      </c>
      <c r="D1286" s="63" t="s">
        <v>4043</v>
      </c>
      <c r="E1286" s="63" t="s">
        <v>463</v>
      </c>
      <c r="F1286" s="63" t="s">
        <v>464</v>
      </c>
    </row>
    <row r="1287" spans="2:6" x14ac:dyDescent="0.3">
      <c r="B1287" s="58" t="s">
        <v>4044</v>
      </c>
      <c r="C1287" s="58">
        <v>1757678416239</v>
      </c>
      <c r="D1287" s="58" t="s">
        <v>4045</v>
      </c>
      <c r="E1287" s="58" t="s">
        <v>416</v>
      </c>
      <c r="F1287" s="58" t="s">
        <v>466</v>
      </c>
    </row>
    <row r="1288" spans="2:6" x14ac:dyDescent="0.3">
      <c r="B1288" s="58" t="s">
        <v>4044</v>
      </c>
      <c r="C1288" s="58">
        <v>1757678416411</v>
      </c>
      <c r="D1288" s="58" t="s">
        <v>4046</v>
      </c>
      <c r="E1288" s="58" t="s">
        <v>468</v>
      </c>
      <c r="F1288" s="58" t="s">
        <v>2557</v>
      </c>
    </row>
    <row r="1289" spans="2:6" x14ac:dyDescent="0.3">
      <c r="B1289" s="58" t="s">
        <v>4044</v>
      </c>
      <c r="C1289" s="58">
        <v>1757678430807</v>
      </c>
      <c r="D1289" s="58" t="s">
        <v>4047</v>
      </c>
      <c r="E1289" s="58" t="s">
        <v>419</v>
      </c>
      <c r="F1289" s="58" t="s">
        <v>420</v>
      </c>
    </row>
    <row r="1290" spans="2:6" x14ac:dyDescent="0.3">
      <c r="B1290" s="58" t="s">
        <v>4044</v>
      </c>
      <c r="C1290" s="58">
        <v>1757678486733</v>
      </c>
      <c r="D1290" s="58" t="s">
        <v>4048</v>
      </c>
      <c r="E1290" s="58" t="s">
        <v>422</v>
      </c>
      <c r="F1290" s="58" t="s">
        <v>420</v>
      </c>
    </row>
    <row r="1291" spans="2:6" x14ac:dyDescent="0.3">
      <c r="B1291" s="58" t="s">
        <v>426</v>
      </c>
      <c r="C1291" s="58">
        <v>1757678502126</v>
      </c>
      <c r="D1291" s="58" t="s">
        <v>4049</v>
      </c>
      <c r="E1291" s="58" t="s">
        <v>428</v>
      </c>
      <c r="F1291" s="58" t="s">
        <v>429</v>
      </c>
    </row>
    <row r="1292" spans="2:6" x14ac:dyDescent="0.3">
      <c r="B1292" s="58" t="s">
        <v>426</v>
      </c>
      <c r="C1292" s="58">
        <v>1757678516920</v>
      </c>
      <c r="D1292" s="58" t="s">
        <v>4050</v>
      </c>
      <c r="E1292" s="58" t="s">
        <v>428</v>
      </c>
      <c r="F1292" s="58" t="s">
        <v>431</v>
      </c>
    </row>
    <row r="1293" spans="2:6" x14ac:dyDescent="0.3">
      <c r="B1293" s="58" t="s">
        <v>4044</v>
      </c>
      <c r="C1293" s="58">
        <v>1757678525250</v>
      </c>
      <c r="D1293" s="58" t="s">
        <v>4051</v>
      </c>
      <c r="E1293" s="58" t="s">
        <v>424</v>
      </c>
      <c r="F1293" s="58" t="s">
        <v>433</v>
      </c>
    </row>
    <row r="1294" spans="2:6" x14ac:dyDescent="0.3">
      <c r="B1294" s="58" t="s">
        <v>426</v>
      </c>
      <c r="C1294" s="58">
        <v>1757678533174</v>
      </c>
      <c r="D1294" s="58" t="s">
        <v>4052</v>
      </c>
      <c r="E1294" s="58" t="s">
        <v>428</v>
      </c>
      <c r="F1294" s="58" t="s">
        <v>538</v>
      </c>
    </row>
    <row r="1295" spans="2:6" x14ac:dyDescent="0.3">
      <c r="B1295" s="58" t="s">
        <v>426</v>
      </c>
      <c r="C1295" s="58">
        <v>1757678550966</v>
      </c>
      <c r="D1295" s="58" t="s">
        <v>4053</v>
      </c>
      <c r="E1295" s="58" t="s">
        <v>428</v>
      </c>
      <c r="F1295" s="58" t="s">
        <v>672</v>
      </c>
    </row>
    <row r="1296" spans="2:6" x14ac:dyDescent="0.3">
      <c r="B1296" s="58" t="s">
        <v>426</v>
      </c>
      <c r="C1296" s="58">
        <v>1757678565695</v>
      </c>
      <c r="D1296" s="58" t="s">
        <v>4054</v>
      </c>
      <c r="E1296" s="58" t="s">
        <v>428</v>
      </c>
      <c r="F1296" s="58" t="s">
        <v>453</v>
      </c>
    </row>
    <row r="1297" spans="1:6" x14ac:dyDescent="0.3">
      <c r="B1297" s="58" t="s">
        <v>426</v>
      </c>
      <c r="C1297" s="58">
        <v>1757678580485</v>
      </c>
      <c r="D1297" s="58" t="s">
        <v>4055</v>
      </c>
      <c r="E1297" s="58" t="s">
        <v>428</v>
      </c>
      <c r="F1297" s="58" t="s">
        <v>447</v>
      </c>
    </row>
    <row r="1298" spans="1:6" x14ac:dyDescent="0.3">
      <c r="B1298" s="58" t="s">
        <v>4044</v>
      </c>
      <c r="C1298" s="58">
        <v>1757678585636</v>
      </c>
      <c r="D1298" s="58" t="s">
        <v>4056</v>
      </c>
      <c r="E1298" s="58" t="s">
        <v>424</v>
      </c>
      <c r="F1298" s="58" t="s">
        <v>457</v>
      </c>
    </row>
    <row r="1299" spans="1:6" x14ac:dyDescent="0.3">
      <c r="B1299" s="58" t="s">
        <v>4044</v>
      </c>
      <c r="C1299" s="58">
        <v>1757678598957</v>
      </c>
      <c r="D1299" s="58" t="s">
        <v>4057</v>
      </c>
      <c r="E1299" s="58" t="s">
        <v>424</v>
      </c>
      <c r="F1299" s="58" t="s">
        <v>459</v>
      </c>
    </row>
    <row r="1300" spans="1:6" x14ac:dyDescent="0.3">
      <c r="B1300" s="58" t="s">
        <v>426</v>
      </c>
      <c r="C1300" s="58">
        <v>1757678599647</v>
      </c>
      <c r="D1300" s="58" t="s">
        <v>4058</v>
      </c>
      <c r="E1300" s="58" t="s">
        <v>428</v>
      </c>
      <c r="F1300" s="58" t="s">
        <v>435</v>
      </c>
    </row>
    <row r="1301" spans="1:6" x14ac:dyDescent="0.3">
      <c r="B1301" s="58" t="s">
        <v>426</v>
      </c>
      <c r="C1301" s="58">
        <v>1757678618114</v>
      </c>
      <c r="D1301" s="58" t="s">
        <v>4059</v>
      </c>
      <c r="E1301" s="58" t="s">
        <v>428</v>
      </c>
      <c r="F1301" s="58" t="s">
        <v>437</v>
      </c>
    </row>
    <row r="1302" spans="1:6" x14ac:dyDescent="0.3">
      <c r="B1302" s="58" t="s">
        <v>4044</v>
      </c>
      <c r="C1302" s="58">
        <v>1757678627064</v>
      </c>
      <c r="D1302" s="58" t="s">
        <v>4060</v>
      </c>
      <c r="E1302" s="58" t="s">
        <v>424</v>
      </c>
      <c r="F1302" s="58" t="s">
        <v>461</v>
      </c>
    </row>
    <row r="1303" spans="1:6" x14ac:dyDescent="0.3">
      <c r="B1303" s="58" t="s">
        <v>426</v>
      </c>
      <c r="C1303" s="58">
        <v>1757678636579</v>
      </c>
      <c r="D1303" s="58" t="s">
        <v>4061</v>
      </c>
      <c r="E1303" s="58" t="s">
        <v>428</v>
      </c>
      <c r="F1303" s="58" t="s">
        <v>439</v>
      </c>
    </row>
    <row r="1304" spans="1:6" x14ac:dyDescent="0.3">
      <c r="B1304" s="58" t="s">
        <v>426</v>
      </c>
      <c r="C1304" s="58">
        <v>1757678653498</v>
      </c>
      <c r="D1304" s="58" t="s">
        <v>4062</v>
      </c>
      <c r="E1304" s="58" t="s">
        <v>428</v>
      </c>
      <c r="F1304" s="58" t="s">
        <v>523</v>
      </c>
    </row>
    <row r="1305" spans="1:6" x14ac:dyDescent="0.3">
      <c r="B1305" s="58" t="s">
        <v>426</v>
      </c>
      <c r="C1305" s="58">
        <v>1757678674932</v>
      </c>
      <c r="D1305" s="58" t="s">
        <v>4063</v>
      </c>
      <c r="E1305" s="58" t="s">
        <v>428</v>
      </c>
      <c r="F1305" s="58" t="s">
        <v>455</v>
      </c>
    </row>
    <row r="1306" spans="1:6" x14ac:dyDescent="0.3">
      <c r="B1306" s="58" t="s">
        <v>4044</v>
      </c>
      <c r="C1306" s="58">
        <v>1757678683859</v>
      </c>
      <c r="D1306" s="58" t="s">
        <v>4064</v>
      </c>
      <c r="E1306" s="58" t="s">
        <v>424</v>
      </c>
      <c r="F1306" s="58" t="s">
        <v>449</v>
      </c>
    </row>
    <row r="1307" spans="1:6" x14ac:dyDescent="0.3">
      <c r="B1307" s="58" t="s">
        <v>4044</v>
      </c>
      <c r="C1307" s="58">
        <v>1757678687535</v>
      </c>
      <c r="D1307" s="58" t="s">
        <v>4065</v>
      </c>
      <c r="E1307" s="58" t="s">
        <v>424</v>
      </c>
      <c r="F1307" s="58" t="s">
        <v>451</v>
      </c>
    </row>
    <row r="1308" spans="1:6" x14ac:dyDescent="0.3">
      <c r="B1308" s="58" t="s">
        <v>4044</v>
      </c>
      <c r="C1308" s="58">
        <v>1757678691608</v>
      </c>
      <c r="D1308" s="58" t="s">
        <v>4066</v>
      </c>
      <c r="E1308" s="58" t="s">
        <v>424</v>
      </c>
      <c r="F1308" s="58" t="s">
        <v>441</v>
      </c>
    </row>
    <row r="1309" spans="1:6" x14ac:dyDescent="0.3">
      <c r="B1309" s="58" t="s">
        <v>4044</v>
      </c>
      <c r="C1309" s="58">
        <v>1757678694927</v>
      </c>
      <c r="D1309" s="58" t="s">
        <v>4067</v>
      </c>
      <c r="E1309" s="58" t="s">
        <v>463</v>
      </c>
      <c r="F1309" s="58" t="s">
        <v>464</v>
      </c>
    </row>
    <row r="1310" spans="1:6" ht="21" x14ac:dyDescent="0.4">
      <c r="A1310" s="69" t="s">
        <v>66</v>
      </c>
      <c r="B1310" s="63" t="s">
        <v>4265</v>
      </c>
      <c r="C1310" s="63">
        <v>1757683296816</v>
      </c>
      <c r="D1310" s="63" t="s">
        <v>4266</v>
      </c>
      <c r="E1310" s="63" t="s">
        <v>416</v>
      </c>
    </row>
    <row r="1311" spans="1:6" x14ac:dyDescent="0.3">
      <c r="B1311" s="63" t="s">
        <v>4265</v>
      </c>
      <c r="C1311" s="63">
        <v>1757683311339</v>
      </c>
      <c r="D1311" s="63" t="s">
        <v>4267</v>
      </c>
      <c r="E1311" s="63" t="s">
        <v>419</v>
      </c>
    </row>
    <row r="1312" spans="1:6" x14ac:dyDescent="0.3">
      <c r="B1312" s="63" t="s">
        <v>4265</v>
      </c>
      <c r="C1312" s="63">
        <v>1757683311409</v>
      </c>
      <c r="D1312" s="63" t="s">
        <v>4268</v>
      </c>
      <c r="E1312" s="63" t="s">
        <v>389</v>
      </c>
    </row>
    <row r="1313" spans="2:5" x14ac:dyDescent="0.3">
      <c r="B1313" s="63" t="s">
        <v>4265</v>
      </c>
      <c r="C1313" s="63">
        <v>1757683311495</v>
      </c>
      <c r="D1313" s="63" t="s">
        <v>4269</v>
      </c>
      <c r="E1313" s="63" t="s">
        <v>389</v>
      </c>
    </row>
    <row r="1314" spans="2:5" x14ac:dyDescent="0.3">
      <c r="B1314" s="63" t="s">
        <v>4265</v>
      </c>
      <c r="C1314" s="63">
        <v>1757683311547</v>
      </c>
      <c r="D1314" s="63" t="s">
        <v>4270</v>
      </c>
      <c r="E1314" s="63" t="s">
        <v>389</v>
      </c>
    </row>
    <row r="1315" spans="2:5" x14ac:dyDescent="0.3">
      <c r="B1315" s="63" t="s">
        <v>4265</v>
      </c>
      <c r="C1315" s="63">
        <v>1757683311598</v>
      </c>
      <c r="D1315" s="63" t="s">
        <v>4271</v>
      </c>
      <c r="E1315" s="63" t="s">
        <v>389</v>
      </c>
    </row>
    <row r="1316" spans="2:5" x14ac:dyDescent="0.3">
      <c r="B1316" s="63" t="s">
        <v>4265</v>
      </c>
      <c r="C1316" s="63">
        <v>1757683311642</v>
      </c>
      <c r="D1316" s="63" t="s">
        <v>4272</v>
      </c>
      <c r="E1316" s="63" t="s">
        <v>389</v>
      </c>
    </row>
    <row r="1317" spans="2:5" x14ac:dyDescent="0.3">
      <c r="B1317" s="63" t="s">
        <v>4265</v>
      </c>
      <c r="C1317" s="63">
        <v>1757683311703</v>
      </c>
      <c r="D1317" s="63" t="s">
        <v>4273</v>
      </c>
      <c r="E1317" s="63" t="s">
        <v>389</v>
      </c>
    </row>
    <row r="1318" spans="2:5" x14ac:dyDescent="0.3">
      <c r="B1318" s="63" t="s">
        <v>4265</v>
      </c>
      <c r="C1318" s="63">
        <v>1757683311771</v>
      </c>
      <c r="D1318" s="63" t="s">
        <v>4274</v>
      </c>
      <c r="E1318" s="63" t="s">
        <v>389</v>
      </c>
    </row>
    <row r="1319" spans="2:5" x14ac:dyDescent="0.3">
      <c r="B1319" s="63" t="s">
        <v>4265</v>
      </c>
      <c r="C1319" s="63">
        <v>1757683311844</v>
      </c>
      <c r="D1319" s="63" t="s">
        <v>4275</v>
      </c>
      <c r="E1319" s="63" t="s">
        <v>389</v>
      </c>
    </row>
    <row r="1320" spans="2:5" x14ac:dyDescent="0.3">
      <c r="B1320" s="63" t="s">
        <v>4265</v>
      </c>
      <c r="C1320" s="63">
        <v>1757683311917</v>
      </c>
      <c r="D1320" s="63" t="s">
        <v>4276</v>
      </c>
      <c r="E1320" s="63" t="s">
        <v>389</v>
      </c>
    </row>
    <row r="1321" spans="2:5" x14ac:dyDescent="0.3">
      <c r="B1321" s="63" t="s">
        <v>4265</v>
      </c>
      <c r="C1321" s="63">
        <v>1757683311980</v>
      </c>
      <c r="D1321" s="63" t="s">
        <v>4277</v>
      </c>
      <c r="E1321" s="63" t="s">
        <v>389</v>
      </c>
    </row>
    <row r="1322" spans="2:5" x14ac:dyDescent="0.3">
      <c r="B1322" s="63" t="s">
        <v>4265</v>
      </c>
      <c r="C1322" s="63">
        <v>1757683314799</v>
      </c>
      <c r="D1322" s="63" t="s">
        <v>4278</v>
      </c>
      <c r="E1322" s="63" t="s">
        <v>389</v>
      </c>
    </row>
    <row r="1323" spans="2:5" x14ac:dyDescent="0.3">
      <c r="B1323" s="63" t="s">
        <v>4265</v>
      </c>
      <c r="C1323" s="63">
        <v>1757683317921</v>
      </c>
      <c r="D1323" s="63" t="s">
        <v>4279</v>
      </c>
      <c r="E1323" s="63" t="s">
        <v>422</v>
      </c>
    </row>
    <row r="1324" spans="2:5" x14ac:dyDescent="0.3">
      <c r="B1324" s="63" t="s">
        <v>426</v>
      </c>
      <c r="C1324" s="63">
        <v>1757683333319</v>
      </c>
      <c r="D1324" s="63" t="s">
        <v>4280</v>
      </c>
      <c r="E1324" s="63" t="s">
        <v>428</v>
      </c>
    </row>
    <row r="1325" spans="2:5" x14ac:dyDescent="0.3">
      <c r="B1325" s="63" t="s">
        <v>426</v>
      </c>
      <c r="C1325" s="63">
        <v>1757683348067</v>
      </c>
      <c r="D1325" s="63" t="s">
        <v>4281</v>
      </c>
      <c r="E1325" s="63" t="s">
        <v>428</v>
      </c>
    </row>
    <row r="1326" spans="2:5" x14ac:dyDescent="0.3">
      <c r="B1326" s="63" t="s">
        <v>426</v>
      </c>
      <c r="C1326" s="63">
        <v>1757683364300</v>
      </c>
      <c r="D1326" s="63" t="s">
        <v>4282</v>
      </c>
      <c r="E1326" s="63" t="s">
        <v>428</v>
      </c>
    </row>
    <row r="1327" spans="2:5" x14ac:dyDescent="0.3">
      <c r="B1327" s="63" t="s">
        <v>4265</v>
      </c>
      <c r="C1327" s="63">
        <v>1757683376083</v>
      </c>
      <c r="D1327" s="63" t="s">
        <v>4283</v>
      </c>
      <c r="E1327" s="63" t="s">
        <v>424</v>
      </c>
    </row>
    <row r="1328" spans="2:5" x14ac:dyDescent="0.3">
      <c r="B1328" s="63" t="s">
        <v>426</v>
      </c>
      <c r="C1328" s="63">
        <v>1757683381950</v>
      </c>
      <c r="D1328" s="63" t="s">
        <v>4284</v>
      </c>
      <c r="E1328" s="63" t="s">
        <v>428</v>
      </c>
    </row>
    <row r="1329" spans="2:5" x14ac:dyDescent="0.3">
      <c r="B1329" s="63" t="s">
        <v>426</v>
      </c>
      <c r="C1329" s="63">
        <v>1757683399501</v>
      </c>
      <c r="D1329" s="63" t="s">
        <v>4285</v>
      </c>
      <c r="E1329" s="63" t="s">
        <v>428</v>
      </c>
    </row>
    <row r="1330" spans="2:5" x14ac:dyDescent="0.3">
      <c r="B1330" s="63" t="s">
        <v>4265</v>
      </c>
      <c r="C1330" s="63">
        <v>1757683410488</v>
      </c>
      <c r="D1330" s="63" t="s">
        <v>4286</v>
      </c>
      <c r="E1330" s="63" t="s">
        <v>424</v>
      </c>
    </row>
    <row r="1331" spans="2:5" x14ac:dyDescent="0.3">
      <c r="B1331" s="63" t="s">
        <v>426</v>
      </c>
      <c r="C1331" s="63">
        <v>1757683414930</v>
      </c>
      <c r="D1331" s="63" t="s">
        <v>4287</v>
      </c>
      <c r="E1331" s="63" t="s">
        <v>428</v>
      </c>
    </row>
    <row r="1332" spans="2:5" x14ac:dyDescent="0.3">
      <c r="B1332" s="63" t="s">
        <v>426</v>
      </c>
      <c r="C1332" s="63">
        <v>1757683431903</v>
      </c>
      <c r="D1332" s="63" t="s">
        <v>4288</v>
      </c>
      <c r="E1332" s="63" t="s">
        <v>428</v>
      </c>
    </row>
    <row r="1333" spans="2:5" x14ac:dyDescent="0.3">
      <c r="B1333" s="63" t="s">
        <v>426</v>
      </c>
      <c r="C1333" s="63">
        <v>1757683449585</v>
      </c>
      <c r="D1333" s="63" t="s">
        <v>4289</v>
      </c>
      <c r="E1333" s="63" t="s">
        <v>428</v>
      </c>
    </row>
    <row r="1334" spans="2:5" x14ac:dyDescent="0.3">
      <c r="B1334" s="63" t="s">
        <v>4265</v>
      </c>
      <c r="C1334" s="63">
        <v>1757683454715</v>
      </c>
      <c r="D1334" s="63" t="s">
        <v>4290</v>
      </c>
      <c r="E1334" s="63" t="s">
        <v>424</v>
      </c>
    </row>
    <row r="1335" spans="2:5" x14ac:dyDescent="0.3">
      <c r="B1335" s="63" t="s">
        <v>426</v>
      </c>
      <c r="C1335" s="63">
        <v>1757683466516</v>
      </c>
      <c r="D1335" s="63" t="s">
        <v>4291</v>
      </c>
      <c r="E1335" s="63" t="s">
        <v>428</v>
      </c>
    </row>
    <row r="1336" spans="2:5" x14ac:dyDescent="0.3">
      <c r="B1336" s="63" t="s">
        <v>4265</v>
      </c>
      <c r="C1336" s="63">
        <v>1757683480284</v>
      </c>
      <c r="D1336" s="63" t="s">
        <v>4292</v>
      </c>
      <c r="E1336" s="63" t="s">
        <v>424</v>
      </c>
    </row>
    <row r="1337" spans="2:5" x14ac:dyDescent="0.3">
      <c r="B1337" s="63" t="s">
        <v>426</v>
      </c>
      <c r="C1337" s="63">
        <v>1757683481951</v>
      </c>
      <c r="D1337" s="63" t="s">
        <v>4293</v>
      </c>
      <c r="E1337" s="63" t="s">
        <v>428</v>
      </c>
    </row>
    <row r="1338" spans="2:5" x14ac:dyDescent="0.3">
      <c r="B1338" s="63" t="s">
        <v>4265</v>
      </c>
      <c r="C1338" s="63">
        <v>1757683482026</v>
      </c>
      <c r="D1338" s="63" t="s">
        <v>4294</v>
      </c>
      <c r="E1338" s="63" t="s">
        <v>424</v>
      </c>
    </row>
    <row r="1339" spans="2:5" x14ac:dyDescent="0.3">
      <c r="B1339" s="63" t="s">
        <v>4265</v>
      </c>
      <c r="C1339" s="63">
        <v>1757683490607</v>
      </c>
      <c r="D1339" s="63" t="s">
        <v>4295</v>
      </c>
      <c r="E1339" s="63" t="s">
        <v>424</v>
      </c>
    </row>
    <row r="1340" spans="2:5" x14ac:dyDescent="0.3">
      <c r="B1340" s="63" t="s">
        <v>4265</v>
      </c>
      <c r="C1340" s="63">
        <v>1757683491151</v>
      </c>
      <c r="D1340" s="63" t="s">
        <v>4296</v>
      </c>
      <c r="E1340" s="63" t="s">
        <v>424</v>
      </c>
    </row>
    <row r="1341" spans="2:5" x14ac:dyDescent="0.3">
      <c r="B1341" s="63" t="s">
        <v>4265</v>
      </c>
      <c r="C1341" s="63">
        <v>1757683497023</v>
      </c>
      <c r="D1341" s="63" t="s">
        <v>4297</v>
      </c>
      <c r="E1341" s="63" t="s">
        <v>463</v>
      </c>
    </row>
    <row r="1342" spans="2:5" x14ac:dyDescent="0.3">
      <c r="B1342" s="63" t="s">
        <v>426</v>
      </c>
      <c r="C1342" s="63">
        <v>1757683503290</v>
      </c>
      <c r="D1342" s="63" t="s">
        <v>4298</v>
      </c>
      <c r="E1342" s="63" t="s">
        <v>428</v>
      </c>
    </row>
    <row r="1343" spans="2:5" x14ac:dyDescent="0.3">
      <c r="B1343" s="58" t="s">
        <v>4299</v>
      </c>
      <c r="C1343" s="58">
        <v>1757683511069</v>
      </c>
      <c r="D1343" s="58" t="s">
        <v>4300</v>
      </c>
      <c r="E1343" s="58" t="s">
        <v>416</v>
      </c>
    </row>
    <row r="1344" spans="2:5" x14ac:dyDescent="0.3">
      <c r="B1344" s="58" t="s">
        <v>4299</v>
      </c>
      <c r="C1344" s="58">
        <v>1757683511544</v>
      </c>
      <c r="D1344" s="58" t="s">
        <v>4301</v>
      </c>
      <c r="E1344" s="58" t="s">
        <v>468</v>
      </c>
    </row>
    <row r="1345" spans="2:6" x14ac:dyDescent="0.3">
      <c r="B1345" s="58" t="s">
        <v>4299</v>
      </c>
      <c r="C1345" s="58">
        <v>1757683512055</v>
      </c>
      <c r="D1345" s="58" t="s">
        <v>4302</v>
      </c>
      <c r="E1345" s="58" t="s">
        <v>419</v>
      </c>
    </row>
    <row r="1346" spans="2:6" x14ac:dyDescent="0.3">
      <c r="B1346" s="58" t="s">
        <v>4299</v>
      </c>
      <c r="C1346" s="58">
        <v>1757683526761</v>
      </c>
      <c r="D1346" s="58" t="s">
        <v>4303</v>
      </c>
      <c r="E1346" s="58" t="s">
        <v>422</v>
      </c>
    </row>
    <row r="1347" spans="2:6" x14ac:dyDescent="0.3">
      <c r="B1347" s="58" t="s">
        <v>426</v>
      </c>
      <c r="C1347" s="58">
        <v>1757683546482</v>
      </c>
      <c r="D1347" s="58" t="s">
        <v>4304</v>
      </c>
      <c r="E1347" s="58" t="s">
        <v>428</v>
      </c>
    </row>
    <row r="1348" spans="2:6" x14ac:dyDescent="0.3">
      <c r="B1348" s="58" t="s">
        <v>4299</v>
      </c>
      <c r="C1348" s="58">
        <v>1757683551891</v>
      </c>
      <c r="D1348" s="58" t="s">
        <v>4305</v>
      </c>
      <c r="E1348" s="58" t="s">
        <v>4306</v>
      </c>
      <c r="F1348" s="58" t="s">
        <v>420</v>
      </c>
    </row>
    <row r="1349" spans="2:6" x14ac:dyDescent="0.3">
      <c r="B1349" s="58" t="s">
        <v>4299</v>
      </c>
      <c r="C1349" s="58">
        <v>1757683553375</v>
      </c>
      <c r="D1349" s="58" t="s">
        <v>4307</v>
      </c>
      <c r="E1349" s="58" t="s">
        <v>4306</v>
      </c>
      <c r="F1349" s="58" t="s">
        <v>420</v>
      </c>
    </row>
    <row r="1350" spans="2:6" x14ac:dyDescent="0.3">
      <c r="B1350" s="58" t="s">
        <v>4299</v>
      </c>
      <c r="C1350" s="58">
        <v>1757683555326</v>
      </c>
      <c r="D1350" s="58" t="s">
        <v>4308</v>
      </c>
      <c r="E1350" s="58" t="s">
        <v>1201</v>
      </c>
      <c r="F1350" s="58" t="s">
        <v>420</v>
      </c>
    </row>
    <row r="1351" spans="2:6" x14ac:dyDescent="0.3">
      <c r="B1351" s="58" t="s">
        <v>426</v>
      </c>
      <c r="C1351" s="58">
        <v>1757683568947</v>
      </c>
      <c r="D1351" s="58" t="s">
        <v>4309</v>
      </c>
      <c r="E1351" s="58" t="s">
        <v>428</v>
      </c>
      <c r="F1351" s="58" t="s">
        <v>437</v>
      </c>
    </row>
    <row r="1352" spans="2:6" x14ac:dyDescent="0.3">
      <c r="B1352" s="58" t="s">
        <v>426</v>
      </c>
      <c r="C1352" s="58">
        <v>1757683587327</v>
      </c>
      <c r="D1352" s="58" t="s">
        <v>4310</v>
      </c>
      <c r="E1352" s="58" t="s">
        <v>428</v>
      </c>
      <c r="F1352" s="58" t="s">
        <v>439</v>
      </c>
    </row>
    <row r="1353" spans="2:6" x14ac:dyDescent="0.3">
      <c r="B1353" s="58" t="s">
        <v>4299</v>
      </c>
      <c r="C1353" s="58">
        <v>1757683590162</v>
      </c>
      <c r="D1353" s="58" t="s">
        <v>4311</v>
      </c>
      <c r="E1353" s="58" t="s">
        <v>424</v>
      </c>
      <c r="F1353" s="58" t="s">
        <v>441</v>
      </c>
    </row>
    <row r="1354" spans="2:6" x14ac:dyDescent="0.3">
      <c r="B1354" s="58" t="s">
        <v>426</v>
      </c>
      <c r="C1354" s="58">
        <v>1757683602770</v>
      </c>
      <c r="D1354" s="58" t="s">
        <v>4312</v>
      </c>
      <c r="E1354" s="58" t="s">
        <v>428</v>
      </c>
      <c r="F1354" s="58" t="s">
        <v>429</v>
      </c>
    </row>
    <row r="1355" spans="2:6" x14ac:dyDescent="0.3">
      <c r="B1355" s="58" t="s">
        <v>426</v>
      </c>
      <c r="C1355" s="58">
        <v>1757683617501</v>
      </c>
      <c r="D1355" s="58" t="s">
        <v>4313</v>
      </c>
      <c r="E1355" s="58" t="s">
        <v>428</v>
      </c>
      <c r="F1355" s="58" t="s">
        <v>431</v>
      </c>
    </row>
    <row r="1356" spans="2:6" x14ac:dyDescent="0.3">
      <c r="B1356" s="58" t="s">
        <v>4299</v>
      </c>
      <c r="C1356" s="58">
        <v>1757683620391</v>
      </c>
      <c r="D1356" s="58" t="s">
        <v>4314</v>
      </c>
      <c r="E1356" s="58" t="s">
        <v>424</v>
      </c>
      <c r="F1356" s="58" t="s">
        <v>433</v>
      </c>
    </row>
    <row r="1357" spans="2:6" x14ac:dyDescent="0.3">
      <c r="B1357" s="58" t="s">
        <v>426</v>
      </c>
      <c r="C1357" s="58">
        <v>1757683633618</v>
      </c>
      <c r="D1357" s="58" t="s">
        <v>4315</v>
      </c>
      <c r="E1357" s="58" t="s">
        <v>428</v>
      </c>
      <c r="F1357" s="58" t="s">
        <v>538</v>
      </c>
    </row>
    <row r="1358" spans="2:6" x14ac:dyDescent="0.3">
      <c r="B1358" s="58" t="s">
        <v>426</v>
      </c>
      <c r="C1358" s="58">
        <v>1757683651356</v>
      </c>
      <c r="D1358" s="58" t="s">
        <v>4316</v>
      </c>
      <c r="E1358" s="58" t="s">
        <v>428</v>
      </c>
      <c r="F1358" s="58" t="s">
        <v>672</v>
      </c>
    </row>
    <row r="1359" spans="2:6" x14ac:dyDescent="0.3">
      <c r="B1359" s="58" t="s">
        <v>426</v>
      </c>
      <c r="C1359" s="58">
        <v>1757683666055</v>
      </c>
      <c r="D1359" s="58" t="s">
        <v>4317</v>
      </c>
      <c r="E1359" s="58" t="s">
        <v>428</v>
      </c>
      <c r="F1359" s="58" t="s">
        <v>453</v>
      </c>
    </row>
    <row r="1360" spans="2:6" x14ac:dyDescent="0.3">
      <c r="B1360" s="58" t="s">
        <v>426</v>
      </c>
      <c r="C1360" s="58">
        <v>1757683682966</v>
      </c>
      <c r="D1360" s="58" t="s">
        <v>4318</v>
      </c>
      <c r="E1360" s="58" t="s">
        <v>428</v>
      </c>
      <c r="F1360" s="58" t="s">
        <v>523</v>
      </c>
    </row>
    <row r="1361" spans="1:6" x14ac:dyDescent="0.3">
      <c r="B1361" s="58" t="s">
        <v>426</v>
      </c>
      <c r="C1361" s="58">
        <v>1757683697664</v>
      </c>
      <c r="D1361" s="58" t="s">
        <v>4319</v>
      </c>
      <c r="E1361" s="58" t="s">
        <v>428</v>
      </c>
      <c r="F1361" s="58" t="s">
        <v>447</v>
      </c>
    </row>
    <row r="1362" spans="1:6" x14ac:dyDescent="0.3">
      <c r="B1362" s="58" t="s">
        <v>4299</v>
      </c>
      <c r="C1362" s="58">
        <v>1757683708844</v>
      </c>
      <c r="D1362" s="58" t="s">
        <v>4320</v>
      </c>
      <c r="E1362" s="58" t="s">
        <v>424</v>
      </c>
      <c r="F1362" s="58" t="s">
        <v>457</v>
      </c>
    </row>
    <row r="1363" spans="1:6" x14ac:dyDescent="0.3">
      <c r="B1363" s="58" t="s">
        <v>4299</v>
      </c>
      <c r="C1363" s="58">
        <v>1757683709326</v>
      </c>
      <c r="D1363" s="58" t="s">
        <v>4321</v>
      </c>
      <c r="E1363" s="58" t="s">
        <v>424</v>
      </c>
      <c r="F1363" s="58" t="s">
        <v>459</v>
      </c>
    </row>
    <row r="1364" spans="1:6" x14ac:dyDescent="0.3">
      <c r="B1364" s="58" t="s">
        <v>4299</v>
      </c>
      <c r="C1364" s="58">
        <v>1757683710402</v>
      </c>
      <c r="D1364" s="58" t="s">
        <v>4322</v>
      </c>
      <c r="E1364" s="58" t="s">
        <v>424</v>
      </c>
      <c r="F1364" s="58" t="s">
        <v>461</v>
      </c>
    </row>
    <row r="1365" spans="1:6" x14ac:dyDescent="0.3">
      <c r="B1365" s="58" t="s">
        <v>4299</v>
      </c>
      <c r="C1365" s="58">
        <v>1757683715725</v>
      </c>
      <c r="D1365" s="58" t="s">
        <v>4323</v>
      </c>
      <c r="E1365" s="58" t="s">
        <v>424</v>
      </c>
      <c r="F1365" s="58" t="s">
        <v>449</v>
      </c>
    </row>
    <row r="1366" spans="1:6" x14ac:dyDescent="0.3">
      <c r="B1366" s="58" t="s">
        <v>4299</v>
      </c>
      <c r="C1366" s="58">
        <v>1757683716022</v>
      </c>
      <c r="D1366" s="58" t="s">
        <v>4324</v>
      </c>
      <c r="E1366" s="58" t="s">
        <v>424</v>
      </c>
      <c r="F1366" s="58" t="s">
        <v>451</v>
      </c>
    </row>
    <row r="1367" spans="1:6" x14ac:dyDescent="0.3">
      <c r="B1367" s="58" t="s">
        <v>4299</v>
      </c>
      <c r="C1367" s="58">
        <v>1757683716762</v>
      </c>
      <c r="D1367" s="58" t="s">
        <v>4325</v>
      </c>
      <c r="E1367" s="58" t="s">
        <v>463</v>
      </c>
      <c r="F1367" s="58" t="s">
        <v>464</v>
      </c>
    </row>
    <row r="1368" spans="1:6" x14ac:dyDescent="0.3">
      <c r="B1368" s="58" t="s">
        <v>426</v>
      </c>
      <c r="C1368" s="58">
        <v>1757683718212</v>
      </c>
      <c r="D1368" s="58" t="s">
        <v>4326</v>
      </c>
      <c r="E1368" s="58" t="s">
        <v>428</v>
      </c>
      <c r="F1368" s="58" t="s">
        <v>455</v>
      </c>
    </row>
    <row r="1369" spans="1:6" ht="21" x14ac:dyDescent="0.4">
      <c r="A1369" s="69" t="s">
        <v>54</v>
      </c>
      <c r="B1369" s="63" t="s">
        <v>4327</v>
      </c>
      <c r="C1369" s="63">
        <v>1757685905483</v>
      </c>
      <c r="D1369" s="63" t="s">
        <v>4328</v>
      </c>
      <c r="E1369" s="63" t="s">
        <v>416</v>
      </c>
      <c r="F1369" s="63" t="s">
        <v>417</v>
      </c>
    </row>
    <row r="1370" spans="1:6" x14ac:dyDescent="0.3">
      <c r="B1370" s="63" t="s">
        <v>4327</v>
      </c>
      <c r="C1370" s="63">
        <v>1757685905991</v>
      </c>
      <c r="D1370" s="63" t="s">
        <v>4329</v>
      </c>
      <c r="E1370" s="63" t="s">
        <v>419</v>
      </c>
      <c r="F1370" s="63" t="s">
        <v>420</v>
      </c>
    </row>
    <row r="1371" spans="1:6" x14ac:dyDescent="0.3">
      <c r="B1371" s="63" t="s">
        <v>4327</v>
      </c>
      <c r="C1371" s="63">
        <v>1757685921851</v>
      </c>
      <c r="D1371" s="63" t="s">
        <v>4330</v>
      </c>
      <c r="E1371" s="63" t="s">
        <v>389</v>
      </c>
      <c r="F1371" s="63" t="s">
        <v>406</v>
      </c>
    </row>
    <row r="1372" spans="1:6" x14ac:dyDescent="0.3">
      <c r="B1372" s="63" t="s">
        <v>4327</v>
      </c>
      <c r="C1372" s="63">
        <v>1757685982961</v>
      </c>
      <c r="D1372" s="63" t="s">
        <v>4331</v>
      </c>
      <c r="E1372" s="63" t="s">
        <v>389</v>
      </c>
      <c r="F1372" s="63" t="s">
        <v>410</v>
      </c>
    </row>
    <row r="1373" spans="1:6" x14ac:dyDescent="0.3">
      <c r="B1373" s="63" t="s">
        <v>4327</v>
      </c>
      <c r="C1373" s="63">
        <v>1757685984650</v>
      </c>
      <c r="D1373" s="63" t="s">
        <v>4332</v>
      </c>
      <c r="E1373" s="63" t="s">
        <v>389</v>
      </c>
      <c r="F1373" s="63" t="s">
        <v>390</v>
      </c>
    </row>
    <row r="1374" spans="1:6" x14ac:dyDescent="0.3">
      <c r="B1374" s="63" t="s">
        <v>4327</v>
      </c>
      <c r="C1374" s="63">
        <v>1757685985399</v>
      </c>
      <c r="D1374" s="63" t="s">
        <v>4333</v>
      </c>
      <c r="E1374" s="63" t="s">
        <v>389</v>
      </c>
      <c r="F1374" s="63" t="s">
        <v>392</v>
      </c>
    </row>
    <row r="1375" spans="1:6" x14ac:dyDescent="0.3">
      <c r="B1375" s="63" t="s">
        <v>4327</v>
      </c>
      <c r="C1375" s="63">
        <v>1757685988227</v>
      </c>
      <c r="D1375" s="63" t="s">
        <v>4334</v>
      </c>
      <c r="E1375" s="63" t="s">
        <v>389</v>
      </c>
      <c r="F1375" s="63" t="s">
        <v>396</v>
      </c>
    </row>
    <row r="1376" spans="1:6" x14ac:dyDescent="0.3">
      <c r="B1376" s="63" t="s">
        <v>4327</v>
      </c>
      <c r="C1376" s="63">
        <v>1757685989141</v>
      </c>
      <c r="D1376" s="63" t="s">
        <v>4335</v>
      </c>
      <c r="E1376" s="63" t="s">
        <v>389</v>
      </c>
      <c r="F1376" s="63" t="s">
        <v>398</v>
      </c>
    </row>
    <row r="1377" spans="2:6" x14ac:dyDescent="0.3">
      <c r="B1377" s="63" t="s">
        <v>4327</v>
      </c>
      <c r="C1377" s="63">
        <v>1757685989932</v>
      </c>
      <c r="D1377" s="63" t="s">
        <v>4336</v>
      </c>
      <c r="E1377" s="63" t="s">
        <v>389</v>
      </c>
      <c r="F1377" s="63" t="s">
        <v>400</v>
      </c>
    </row>
    <row r="1378" spans="2:6" x14ac:dyDescent="0.3">
      <c r="B1378" s="63" t="s">
        <v>4327</v>
      </c>
      <c r="C1378" s="63">
        <v>1757685994894</v>
      </c>
      <c r="D1378" s="63" t="s">
        <v>4337</v>
      </c>
      <c r="E1378" s="63" t="s">
        <v>389</v>
      </c>
      <c r="F1378" s="63" t="s">
        <v>508</v>
      </c>
    </row>
    <row r="1379" spans="2:6" x14ac:dyDescent="0.3">
      <c r="B1379" s="63" t="s">
        <v>4327</v>
      </c>
      <c r="C1379" s="63">
        <v>1757685996075</v>
      </c>
      <c r="D1379" s="63" t="s">
        <v>4338</v>
      </c>
      <c r="E1379" s="63" t="s">
        <v>389</v>
      </c>
      <c r="F1379" s="63" t="s">
        <v>3238</v>
      </c>
    </row>
    <row r="1380" spans="2:6" x14ac:dyDescent="0.3">
      <c r="B1380" s="63" t="s">
        <v>4327</v>
      </c>
      <c r="C1380" s="63">
        <v>1757685998817</v>
      </c>
      <c r="D1380" s="63" t="s">
        <v>4339</v>
      </c>
      <c r="E1380" s="63" t="s">
        <v>389</v>
      </c>
      <c r="F1380" s="63" t="s">
        <v>3240</v>
      </c>
    </row>
    <row r="1381" spans="2:6" x14ac:dyDescent="0.3">
      <c r="B1381" s="63" t="s">
        <v>4327</v>
      </c>
      <c r="C1381" s="63">
        <v>1757686000258</v>
      </c>
      <c r="D1381" s="63" t="s">
        <v>4340</v>
      </c>
      <c r="E1381" s="63" t="s">
        <v>389</v>
      </c>
      <c r="F1381" s="63" t="s">
        <v>660</v>
      </c>
    </row>
    <row r="1382" spans="2:6" x14ac:dyDescent="0.3">
      <c r="B1382" s="63" t="s">
        <v>4327</v>
      </c>
      <c r="C1382" s="63">
        <v>1757686012664</v>
      </c>
      <c r="D1382" s="63" t="s">
        <v>4341</v>
      </c>
      <c r="E1382" s="63" t="s">
        <v>389</v>
      </c>
      <c r="F1382" s="63" t="s">
        <v>1587</v>
      </c>
    </row>
    <row r="1383" spans="2:6" x14ac:dyDescent="0.3">
      <c r="B1383" s="63" t="s">
        <v>4327</v>
      </c>
      <c r="C1383" s="63">
        <v>1757686013366</v>
      </c>
      <c r="D1383" s="63" t="s">
        <v>4342</v>
      </c>
      <c r="E1383" s="63" t="s">
        <v>389</v>
      </c>
      <c r="F1383" s="63" t="s">
        <v>495</v>
      </c>
    </row>
    <row r="1384" spans="2:6" x14ac:dyDescent="0.3">
      <c r="B1384" s="63" t="s">
        <v>4327</v>
      </c>
      <c r="C1384" s="63">
        <v>1757686013497</v>
      </c>
      <c r="D1384" s="63" t="s">
        <v>4343</v>
      </c>
      <c r="E1384" s="63" t="s">
        <v>389</v>
      </c>
      <c r="F1384" s="63" t="s">
        <v>495</v>
      </c>
    </row>
    <row r="1385" spans="2:6" x14ac:dyDescent="0.3">
      <c r="B1385" s="63" t="s">
        <v>4327</v>
      </c>
      <c r="C1385" s="63">
        <v>1757686013623</v>
      </c>
      <c r="D1385" s="63" t="s">
        <v>4344</v>
      </c>
      <c r="E1385" s="63" t="s">
        <v>389</v>
      </c>
      <c r="F1385" s="63" t="s">
        <v>495</v>
      </c>
    </row>
    <row r="1386" spans="2:6" x14ac:dyDescent="0.3">
      <c r="B1386" s="63" t="s">
        <v>4327</v>
      </c>
      <c r="C1386" s="63">
        <v>1757686013754</v>
      </c>
      <c r="D1386" s="63" t="s">
        <v>4345</v>
      </c>
      <c r="E1386" s="63" t="s">
        <v>389</v>
      </c>
      <c r="F1386" s="63" t="s">
        <v>495</v>
      </c>
    </row>
    <row r="1387" spans="2:6" x14ac:dyDescent="0.3">
      <c r="B1387" s="63" t="s">
        <v>4327</v>
      </c>
      <c r="C1387" s="63">
        <v>1757686013816</v>
      </c>
      <c r="D1387" s="63" t="s">
        <v>4346</v>
      </c>
      <c r="E1387" s="63" t="s">
        <v>389</v>
      </c>
      <c r="F1387" s="63" t="s">
        <v>495</v>
      </c>
    </row>
    <row r="1388" spans="2:6" x14ac:dyDescent="0.3">
      <c r="B1388" s="63" t="s">
        <v>4327</v>
      </c>
      <c r="C1388" s="63">
        <v>1757686014711</v>
      </c>
      <c r="D1388" s="63" t="s">
        <v>4347</v>
      </c>
      <c r="E1388" s="63" t="s">
        <v>389</v>
      </c>
      <c r="F1388" s="63" t="s">
        <v>414</v>
      </c>
    </row>
    <row r="1389" spans="2:6" x14ac:dyDescent="0.3">
      <c r="B1389" s="63" t="s">
        <v>4327</v>
      </c>
      <c r="C1389" s="63">
        <v>1757686018580</v>
      </c>
      <c r="D1389" s="63" t="s">
        <v>4348</v>
      </c>
      <c r="E1389" s="63" t="s">
        <v>422</v>
      </c>
      <c r="F1389" s="63" t="s">
        <v>420</v>
      </c>
    </row>
    <row r="1390" spans="2:6" x14ac:dyDescent="0.3">
      <c r="B1390" s="63" t="s">
        <v>426</v>
      </c>
      <c r="C1390" s="63">
        <v>1757686036162</v>
      </c>
      <c r="D1390" s="63" t="s">
        <v>4349</v>
      </c>
      <c r="E1390" s="63" t="s">
        <v>428</v>
      </c>
      <c r="F1390" s="63" t="s">
        <v>453</v>
      </c>
    </row>
    <row r="1391" spans="2:6" x14ac:dyDescent="0.3">
      <c r="B1391" s="63" t="s">
        <v>426</v>
      </c>
      <c r="C1391" s="63">
        <v>1757686053904</v>
      </c>
      <c r="D1391" s="63" t="s">
        <v>4350</v>
      </c>
      <c r="E1391" s="63" t="s">
        <v>428</v>
      </c>
      <c r="F1391" s="63" t="s">
        <v>429</v>
      </c>
    </row>
    <row r="1392" spans="2:6" x14ac:dyDescent="0.3">
      <c r="B1392" s="63" t="s">
        <v>4327</v>
      </c>
      <c r="C1392" s="63">
        <v>1757686059943</v>
      </c>
      <c r="D1392" s="63" t="s">
        <v>4351</v>
      </c>
      <c r="E1392" s="63" t="s">
        <v>424</v>
      </c>
      <c r="F1392" s="63" t="s">
        <v>457</v>
      </c>
    </row>
    <row r="1393" spans="2:6" x14ac:dyDescent="0.3">
      <c r="B1393" s="63" t="s">
        <v>4327</v>
      </c>
      <c r="C1393" s="63">
        <v>1757686060775</v>
      </c>
      <c r="D1393" s="63" t="s">
        <v>4352</v>
      </c>
      <c r="E1393" s="63" t="s">
        <v>424</v>
      </c>
      <c r="F1393" s="63" t="s">
        <v>459</v>
      </c>
    </row>
    <row r="1394" spans="2:6" x14ac:dyDescent="0.3">
      <c r="B1394" s="63" t="s">
        <v>4327</v>
      </c>
      <c r="C1394" s="63">
        <v>1757686061742</v>
      </c>
      <c r="D1394" s="63" t="s">
        <v>4353</v>
      </c>
      <c r="E1394" s="63" t="s">
        <v>424</v>
      </c>
      <c r="F1394" s="63" t="s">
        <v>461</v>
      </c>
    </row>
    <row r="1395" spans="2:6" x14ac:dyDescent="0.3">
      <c r="B1395" s="63" t="s">
        <v>426</v>
      </c>
      <c r="C1395" s="63">
        <v>1757686070904</v>
      </c>
      <c r="D1395" s="63" t="s">
        <v>4354</v>
      </c>
      <c r="E1395" s="63" t="s">
        <v>428</v>
      </c>
      <c r="F1395" s="63" t="s">
        <v>431</v>
      </c>
    </row>
    <row r="1396" spans="2:6" x14ac:dyDescent="0.3">
      <c r="B1396" s="63" t="s">
        <v>4327</v>
      </c>
      <c r="C1396" s="63">
        <v>1757686075250</v>
      </c>
      <c r="D1396" s="63" t="s">
        <v>4355</v>
      </c>
      <c r="E1396" s="63" t="s">
        <v>424</v>
      </c>
      <c r="F1396" s="63" t="s">
        <v>433</v>
      </c>
    </row>
    <row r="1397" spans="2:6" x14ac:dyDescent="0.3">
      <c r="B1397" s="63" t="s">
        <v>426</v>
      </c>
      <c r="C1397" s="63">
        <v>1757686086381</v>
      </c>
      <c r="D1397" s="63" t="s">
        <v>4356</v>
      </c>
      <c r="E1397" s="63" t="s">
        <v>428</v>
      </c>
      <c r="F1397" s="63" t="s">
        <v>447</v>
      </c>
    </row>
    <row r="1398" spans="2:6" x14ac:dyDescent="0.3">
      <c r="B1398" s="63" t="s">
        <v>4327</v>
      </c>
      <c r="C1398" s="63">
        <v>1757686088161</v>
      </c>
      <c r="D1398" s="63" t="s">
        <v>4357</v>
      </c>
      <c r="E1398" s="63" t="s">
        <v>424</v>
      </c>
      <c r="F1398" s="63" t="s">
        <v>449</v>
      </c>
    </row>
    <row r="1399" spans="2:6" x14ac:dyDescent="0.3">
      <c r="B1399" s="63" t="s">
        <v>4327</v>
      </c>
      <c r="C1399" s="63">
        <v>1757686095547</v>
      </c>
      <c r="D1399" s="63" t="s">
        <v>4358</v>
      </c>
      <c r="E1399" s="63" t="s">
        <v>424</v>
      </c>
      <c r="F1399" s="63" t="s">
        <v>451</v>
      </c>
    </row>
    <row r="1400" spans="2:6" x14ac:dyDescent="0.3">
      <c r="B1400" s="63" t="s">
        <v>426</v>
      </c>
      <c r="C1400" s="63">
        <v>1757686101854</v>
      </c>
      <c r="D1400" s="63" t="s">
        <v>4359</v>
      </c>
      <c r="E1400" s="63" t="s">
        <v>428</v>
      </c>
      <c r="F1400" s="63" t="s">
        <v>435</v>
      </c>
    </row>
    <row r="1401" spans="2:6" x14ac:dyDescent="0.3">
      <c r="B1401" s="63" t="s">
        <v>426</v>
      </c>
      <c r="C1401" s="63">
        <v>1757686117289</v>
      </c>
      <c r="D1401" s="63" t="s">
        <v>4360</v>
      </c>
      <c r="E1401" s="63" t="s">
        <v>428</v>
      </c>
      <c r="F1401" s="63" t="s">
        <v>437</v>
      </c>
    </row>
    <row r="1402" spans="2:6" x14ac:dyDescent="0.3">
      <c r="B1402" s="63" t="s">
        <v>426</v>
      </c>
      <c r="C1402" s="63">
        <v>1757686133562</v>
      </c>
      <c r="D1402" s="63" t="s">
        <v>4361</v>
      </c>
      <c r="E1402" s="63" t="s">
        <v>428</v>
      </c>
      <c r="F1402" s="63" t="s">
        <v>439</v>
      </c>
    </row>
    <row r="1403" spans="2:6" x14ac:dyDescent="0.3">
      <c r="B1403" s="63" t="s">
        <v>426</v>
      </c>
      <c r="C1403" s="63">
        <v>1757686149008</v>
      </c>
      <c r="D1403" s="63" t="s">
        <v>4362</v>
      </c>
      <c r="E1403" s="63" t="s">
        <v>428</v>
      </c>
      <c r="F1403" s="63" t="s">
        <v>538</v>
      </c>
    </row>
    <row r="1404" spans="2:6" x14ac:dyDescent="0.3">
      <c r="B1404" s="63" t="s">
        <v>4327</v>
      </c>
      <c r="C1404" s="63">
        <v>1757686152134</v>
      </c>
      <c r="D1404" s="63" t="s">
        <v>4363</v>
      </c>
      <c r="E1404" s="63" t="s">
        <v>424</v>
      </c>
      <c r="F1404" s="63" t="s">
        <v>441</v>
      </c>
    </row>
    <row r="1405" spans="2:6" x14ac:dyDescent="0.3">
      <c r="B1405" s="63" t="s">
        <v>426</v>
      </c>
      <c r="C1405" s="63">
        <v>1757686165925</v>
      </c>
      <c r="D1405" s="63" t="s">
        <v>4364</v>
      </c>
      <c r="E1405" s="63" t="s">
        <v>428</v>
      </c>
      <c r="F1405" s="63" t="s">
        <v>672</v>
      </c>
    </row>
    <row r="1406" spans="2:6" x14ac:dyDescent="0.3">
      <c r="B1406" s="63" t="s">
        <v>426</v>
      </c>
      <c r="C1406" s="63">
        <v>1757686182802</v>
      </c>
      <c r="D1406" s="63" t="s">
        <v>4365</v>
      </c>
      <c r="E1406" s="63" t="s">
        <v>428</v>
      </c>
      <c r="F1406" s="63" t="s">
        <v>523</v>
      </c>
    </row>
    <row r="1407" spans="2:6" x14ac:dyDescent="0.3">
      <c r="B1407" s="63" t="s">
        <v>4327</v>
      </c>
      <c r="C1407" s="63">
        <v>1757686203294</v>
      </c>
      <c r="D1407" s="63" t="s">
        <v>4366</v>
      </c>
      <c r="E1407" s="63" t="s">
        <v>463</v>
      </c>
      <c r="F1407" s="63" t="s">
        <v>464</v>
      </c>
    </row>
    <row r="1408" spans="2:6" x14ac:dyDescent="0.3">
      <c r="B1408" s="63" t="s">
        <v>426</v>
      </c>
      <c r="C1408" s="63">
        <v>1757686204883</v>
      </c>
      <c r="D1408" s="63" t="s">
        <v>4367</v>
      </c>
      <c r="E1408" s="63" t="s">
        <v>428</v>
      </c>
      <c r="F1408" s="63" t="s">
        <v>455</v>
      </c>
    </row>
    <row r="1409" spans="2:6" x14ac:dyDescent="0.3">
      <c r="B1409" s="58" t="s">
        <v>4368</v>
      </c>
      <c r="C1409" s="58">
        <v>1757686209948</v>
      </c>
      <c r="D1409" s="58" t="s">
        <v>4369</v>
      </c>
      <c r="E1409" s="58" t="s">
        <v>416</v>
      </c>
      <c r="F1409" t="s">
        <v>466</v>
      </c>
    </row>
    <row r="1410" spans="2:6" x14ac:dyDescent="0.3">
      <c r="B1410" s="58" t="s">
        <v>4368</v>
      </c>
      <c r="C1410" s="58">
        <v>1757686210077</v>
      </c>
      <c r="D1410" s="58" t="s">
        <v>4370</v>
      </c>
      <c r="E1410" s="58" t="s">
        <v>468</v>
      </c>
      <c r="F1410" t="s">
        <v>2557</v>
      </c>
    </row>
    <row r="1411" spans="2:6" x14ac:dyDescent="0.3">
      <c r="B1411" s="58" t="s">
        <v>4368</v>
      </c>
      <c r="C1411" s="58">
        <v>1757686210588</v>
      </c>
      <c r="D1411" s="58" t="s">
        <v>4371</v>
      </c>
      <c r="E1411" s="58" t="s">
        <v>419</v>
      </c>
      <c r="F1411" t="s">
        <v>420</v>
      </c>
    </row>
    <row r="1412" spans="2:6" x14ac:dyDescent="0.3">
      <c r="B1412" s="58" t="s">
        <v>4368</v>
      </c>
      <c r="C1412" s="58">
        <v>1757686252125</v>
      </c>
      <c r="D1412" s="58" t="s">
        <v>4372</v>
      </c>
      <c r="E1412" s="58" t="s">
        <v>389</v>
      </c>
      <c r="F1412" t="s">
        <v>3295</v>
      </c>
    </row>
    <row r="1413" spans="2:6" x14ac:dyDescent="0.3">
      <c r="B1413" s="58" t="s">
        <v>4368</v>
      </c>
      <c r="C1413" s="58">
        <v>1757686252223</v>
      </c>
      <c r="D1413" s="58" t="s">
        <v>4373</v>
      </c>
      <c r="E1413" s="58" t="s">
        <v>389</v>
      </c>
      <c r="F1413" t="s">
        <v>4374</v>
      </c>
    </row>
    <row r="1414" spans="2:6" x14ac:dyDescent="0.3">
      <c r="B1414" s="58" t="s">
        <v>4368</v>
      </c>
      <c r="C1414" s="58">
        <v>1757686252941</v>
      </c>
      <c r="D1414" s="58" t="s">
        <v>4375</v>
      </c>
      <c r="E1414" s="58" t="s">
        <v>389</v>
      </c>
      <c r="F1414" t="s">
        <v>3295</v>
      </c>
    </row>
    <row r="1415" spans="2:6" x14ac:dyDescent="0.3">
      <c r="B1415" s="58" t="s">
        <v>4368</v>
      </c>
      <c r="C1415" s="58">
        <v>1757686254224</v>
      </c>
      <c r="D1415" s="58" t="s">
        <v>4376</v>
      </c>
      <c r="E1415" s="58" t="s">
        <v>389</v>
      </c>
      <c r="F1415" t="s">
        <v>4374</v>
      </c>
    </row>
    <row r="1416" spans="2:6" x14ac:dyDescent="0.3">
      <c r="B1416" s="58" t="s">
        <v>4368</v>
      </c>
      <c r="C1416" s="58">
        <v>1757686254899</v>
      </c>
      <c r="D1416" s="58" t="s">
        <v>4377</v>
      </c>
      <c r="E1416" s="58" t="s">
        <v>389</v>
      </c>
      <c r="F1416" t="s">
        <v>3295</v>
      </c>
    </row>
    <row r="1417" spans="2:6" x14ac:dyDescent="0.3">
      <c r="B1417" s="58" t="s">
        <v>4368</v>
      </c>
      <c r="C1417" s="58">
        <v>1757686257148</v>
      </c>
      <c r="D1417" s="58" t="s">
        <v>4378</v>
      </c>
      <c r="E1417" s="58" t="s">
        <v>389</v>
      </c>
      <c r="F1417" t="s">
        <v>3238</v>
      </c>
    </row>
    <row r="1418" spans="2:6" x14ac:dyDescent="0.3">
      <c r="B1418" s="58" t="s">
        <v>4368</v>
      </c>
      <c r="C1418" s="58">
        <v>1757686257225</v>
      </c>
      <c r="D1418" s="58" t="s">
        <v>4379</v>
      </c>
      <c r="E1418" s="58" t="s">
        <v>389</v>
      </c>
      <c r="F1418" t="s">
        <v>3240</v>
      </c>
    </row>
    <row r="1419" spans="2:6" x14ac:dyDescent="0.3">
      <c r="B1419" s="58" t="s">
        <v>4368</v>
      </c>
      <c r="C1419" s="58">
        <v>1757686257524</v>
      </c>
      <c r="D1419" s="58" t="s">
        <v>4380</v>
      </c>
      <c r="E1419" s="58" t="s">
        <v>389</v>
      </c>
      <c r="F1419" t="s">
        <v>3238</v>
      </c>
    </row>
    <row r="1420" spans="2:6" x14ac:dyDescent="0.3">
      <c r="B1420" s="58" t="s">
        <v>4368</v>
      </c>
      <c r="C1420" s="58">
        <v>1757686257648</v>
      </c>
      <c r="D1420" s="58" t="s">
        <v>4381</v>
      </c>
      <c r="E1420" s="58" t="s">
        <v>389</v>
      </c>
      <c r="F1420" t="s">
        <v>3295</v>
      </c>
    </row>
    <row r="1421" spans="2:6" x14ac:dyDescent="0.3">
      <c r="B1421" s="58" t="s">
        <v>4368</v>
      </c>
      <c r="C1421" s="58">
        <v>1757686257842</v>
      </c>
      <c r="D1421" s="58" t="s">
        <v>4382</v>
      </c>
      <c r="E1421" s="58" t="s">
        <v>389</v>
      </c>
      <c r="F1421" t="s">
        <v>3238</v>
      </c>
    </row>
    <row r="1422" spans="2:6" x14ac:dyDescent="0.3">
      <c r="B1422" s="58" t="s">
        <v>4368</v>
      </c>
      <c r="C1422" s="58">
        <v>1757686257986</v>
      </c>
      <c r="D1422" s="58" t="s">
        <v>4383</v>
      </c>
      <c r="E1422" s="58" t="s">
        <v>389</v>
      </c>
      <c r="F1422" t="s">
        <v>3240</v>
      </c>
    </row>
    <row r="1423" spans="2:6" x14ac:dyDescent="0.3">
      <c r="B1423" s="58" t="s">
        <v>4368</v>
      </c>
      <c r="C1423" s="58">
        <v>1757686258068</v>
      </c>
      <c r="D1423" s="58" t="s">
        <v>4384</v>
      </c>
      <c r="E1423" s="58" t="s">
        <v>389</v>
      </c>
      <c r="F1423" t="s">
        <v>3238</v>
      </c>
    </row>
    <row r="1424" spans="2:6" x14ac:dyDescent="0.3">
      <c r="B1424" s="58" t="s">
        <v>4368</v>
      </c>
      <c r="C1424" s="58">
        <v>1757686265513</v>
      </c>
      <c r="D1424" s="58" t="s">
        <v>4385</v>
      </c>
      <c r="E1424" s="58" t="s">
        <v>389</v>
      </c>
      <c r="F1424" t="s">
        <v>412</v>
      </c>
    </row>
    <row r="1425" spans="2:6" x14ac:dyDescent="0.3">
      <c r="B1425" s="58" t="s">
        <v>4368</v>
      </c>
      <c r="C1425" s="58">
        <v>1757686265586</v>
      </c>
      <c r="D1425" s="58" t="s">
        <v>4386</v>
      </c>
      <c r="E1425" s="58" t="s">
        <v>389</v>
      </c>
      <c r="F1425" t="s">
        <v>661</v>
      </c>
    </row>
    <row r="1426" spans="2:6" x14ac:dyDescent="0.3">
      <c r="B1426" s="58" t="s">
        <v>4368</v>
      </c>
      <c r="C1426" s="58">
        <v>1757686265677</v>
      </c>
      <c r="D1426" s="58" t="s">
        <v>4387</v>
      </c>
      <c r="E1426" s="58" t="s">
        <v>389</v>
      </c>
      <c r="F1426" t="s">
        <v>414</v>
      </c>
    </row>
    <row r="1427" spans="2:6" x14ac:dyDescent="0.3">
      <c r="B1427" s="58" t="s">
        <v>4368</v>
      </c>
      <c r="C1427" s="58">
        <v>1757686265778</v>
      </c>
      <c r="D1427" s="58" t="s">
        <v>4388</v>
      </c>
      <c r="E1427" s="58" t="s">
        <v>389</v>
      </c>
      <c r="F1427" t="s">
        <v>414</v>
      </c>
    </row>
    <row r="1428" spans="2:6" x14ac:dyDescent="0.3">
      <c r="B1428" s="58" t="s">
        <v>4368</v>
      </c>
      <c r="C1428" s="58">
        <v>1757686265829</v>
      </c>
      <c r="D1428" s="58" t="s">
        <v>4389</v>
      </c>
      <c r="E1428" s="58" t="s">
        <v>389</v>
      </c>
      <c r="F1428" t="s">
        <v>414</v>
      </c>
    </row>
    <row r="1429" spans="2:6" x14ac:dyDescent="0.3">
      <c r="B1429" s="58" t="s">
        <v>4368</v>
      </c>
      <c r="C1429" s="58">
        <v>1757686265908</v>
      </c>
      <c r="D1429" s="58" t="s">
        <v>4390</v>
      </c>
      <c r="E1429" s="58" t="s">
        <v>389</v>
      </c>
      <c r="F1429" t="s">
        <v>414</v>
      </c>
    </row>
    <row r="1430" spans="2:6" x14ac:dyDescent="0.3">
      <c r="B1430" s="58" t="s">
        <v>4368</v>
      </c>
      <c r="C1430" s="58">
        <v>1757686266042</v>
      </c>
      <c r="D1430" s="58" t="s">
        <v>4391</v>
      </c>
      <c r="E1430" s="58" t="s">
        <v>389</v>
      </c>
      <c r="F1430" t="s">
        <v>414</v>
      </c>
    </row>
    <row r="1431" spans="2:6" x14ac:dyDescent="0.3">
      <c r="B1431" s="58" t="s">
        <v>4368</v>
      </c>
      <c r="C1431" s="58">
        <v>1757686266136</v>
      </c>
      <c r="D1431" s="58" t="s">
        <v>4392</v>
      </c>
      <c r="E1431" s="58" t="s">
        <v>389</v>
      </c>
      <c r="F1431" t="s">
        <v>414</v>
      </c>
    </row>
    <row r="1432" spans="2:6" x14ac:dyDescent="0.3">
      <c r="B1432" s="58" t="s">
        <v>4368</v>
      </c>
      <c r="C1432" s="58">
        <v>1757686266186</v>
      </c>
      <c r="D1432" s="58" t="s">
        <v>4393</v>
      </c>
      <c r="E1432" s="58" t="s">
        <v>389</v>
      </c>
      <c r="F1432" t="s">
        <v>414</v>
      </c>
    </row>
    <row r="1433" spans="2:6" x14ac:dyDescent="0.3">
      <c r="B1433" s="58" t="s">
        <v>4368</v>
      </c>
      <c r="C1433" s="58">
        <v>1757686266887</v>
      </c>
      <c r="D1433" s="58" t="s">
        <v>4394</v>
      </c>
      <c r="E1433" s="58" t="s">
        <v>389</v>
      </c>
      <c r="F1433" t="s">
        <v>1559</v>
      </c>
    </row>
    <row r="1434" spans="2:6" x14ac:dyDescent="0.3">
      <c r="B1434" s="58" t="s">
        <v>4368</v>
      </c>
      <c r="C1434" s="58">
        <v>1757686272316</v>
      </c>
      <c r="D1434" s="58" t="s">
        <v>4395</v>
      </c>
      <c r="E1434" s="58" t="s">
        <v>416</v>
      </c>
      <c r="F1434" t="s">
        <v>466</v>
      </c>
    </row>
    <row r="1435" spans="2:6" x14ac:dyDescent="0.3">
      <c r="B1435" s="58" t="s">
        <v>4368</v>
      </c>
      <c r="C1435" s="58">
        <v>1757686272723</v>
      </c>
      <c r="D1435" s="58" t="s">
        <v>4396</v>
      </c>
      <c r="E1435" s="58" t="s">
        <v>468</v>
      </c>
      <c r="F1435" t="s">
        <v>2557</v>
      </c>
    </row>
    <row r="1436" spans="2:6" x14ac:dyDescent="0.3">
      <c r="B1436" s="58" t="s">
        <v>4368</v>
      </c>
      <c r="C1436" s="58">
        <v>1757686278571</v>
      </c>
      <c r="D1436" s="58" t="s">
        <v>4397</v>
      </c>
      <c r="E1436" s="58" t="s">
        <v>419</v>
      </c>
      <c r="F1436" t="s">
        <v>420</v>
      </c>
    </row>
    <row r="1437" spans="2:6" x14ac:dyDescent="0.3">
      <c r="B1437" s="58" t="s">
        <v>4368</v>
      </c>
      <c r="C1437" s="58">
        <v>1757686288351</v>
      </c>
      <c r="D1437" s="58" t="s">
        <v>4398</v>
      </c>
      <c r="E1437" s="58" t="s">
        <v>389</v>
      </c>
      <c r="F1437" t="s">
        <v>3238</v>
      </c>
    </row>
    <row r="1438" spans="2:6" x14ac:dyDescent="0.3">
      <c r="B1438" s="58" t="s">
        <v>4368</v>
      </c>
      <c r="C1438" s="58">
        <v>1757686291368</v>
      </c>
      <c r="D1438" s="58" t="s">
        <v>4399</v>
      </c>
      <c r="E1438" s="58" t="s">
        <v>389</v>
      </c>
      <c r="F1438" t="s">
        <v>1559</v>
      </c>
    </row>
    <row r="1439" spans="2:6" x14ac:dyDescent="0.3">
      <c r="B1439" s="58" t="s">
        <v>4368</v>
      </c>
      <c r="C1439" s="58">
        <v>1757686295168</v>
      </c>
      <c r="D1439" s="58" t="s">
        <v>4400</v>
      </c>
      <c r="E1439" s="58" t="s">
        <v>422</v>
      </c>
      <c r="F1439" t="s">
        <v>420</v>
      </c>
    </row>
    <row r="1440" spans="2:6" x14ac:dyDescent="0.3">
      <c r="B1440" s="58" t="s">
        <v>426</v>
      </c>
      <c r="C1440" s="58">
        <v>1757686309825</v>
      </c>
      <c r="D1440" s="58" t="s">
        <v>4401</v>
      </c>
      <c r="E1440" s="58" t="s">
        <v>428</v>
      </c>
      <c r="F1440" t="s">
        <v>453</v>
      </c>
    </row>
    <row r="1441" spans="2:6" x14ac:dyDescent="0.3">
      <c r="B1441" s="58" t="s">
        <v>426</v>
      </c>
      <c r="C1441" s="58">
        <v>1757686325301</v>
      </c>
      <c r="D1441" s="58" t="s">
        <v>4402</v>
      </c>
      <c r="E1441" s="58" t="s">
        <v>428</v>
      </c>
      <c r="F1441" t="s">
        <v>429</v>
      </c>
    </row>
    <row r="1442" spans="2:6" x14ac:dyDescent="0.3">
      <c r="B1442" s="58" t="s">
        <v>4368</v>
      </c>
      <c r="C1442" s="58">
        <v>1757686326155</v>
      </c>
      <c r="D1442" s="58" t="s">
        <v>4403</v>
      </c>
      <c r="E1442" s="58" t="s">
        <v>424</v>
      </c>
      <c r="F1442" t="s">
        <v>457</v>
      </c>
    </row>
    <row r="1443" spans="2:6" x14ac:dyDescent="0.3">
      <c r="B1443" s="58" t="s">
        <v>4368</v>
      </c>
      <c r="C1443" s="58">
        <v>1757686328489</v>
      </c>
      <c r="D1443" s="58" t="s">
        <v>4404</v>
      </c>
      <c r="E1443" s="58" t="s">
        <v>424</v>
      </c>
      <c r="F1443" t="s">
        <v>459</v>
      </c>
    </row>
    <row r="1444" spans="2:6" x14ac:dyDescent="0.3">
      <c r="B1444" s="58" t="s">
        <v>426</v>
      </c>
      <c r="C1444" s="58">
        <v>1757686340061</v>
      </c>
      <c r="D1444" s="58" t="s">
        <v>4405</v>
      </c>
      <c r="E1444" s="58" t="s">
        <v>428</v>
      </c>
      <c r="F1444" t="s">
        <v>431</v>
      </c>
    </row>
    <row r="1445" spans="2:6" x14ac:dyDescent="0.3">
      <c r="B1445" s="58" t="s">
        <v>4368</v>
      </c>
      <c r="C1445" s="58">
        <v>1757686357418</v>
      </c>
      <c r="D1445" s="58" t="s">
        <v>4406</v>
      </c>
      <c r="E1445" s="58" t="s">
        <v>424</v>
      </c>
      <c r="F1445" t="s">
        <v>461</v>
      </c>
    </row>
    <row r="1446" spans="2:6" x14ac:dyDescent="0.3">
      <c r="B1446" s="58" t="s">
        <v>4368</v>
      </c>
      <c r="C1446" s="58">
        <v>1757686358760</v>
      </c>
      <c r="D1446" s="58" t="s">
        <v>4407</v>
      </c>
      <c r="E1446" s="58" t="s">
        <v>424</v>
      </c>
      <c r="F1446" t="s">
        <v>433</v>
      </c>
    </row>
    <row r="1447" spans="2:6" x14ac:dyDescent="0.3">
      <c r="B1447" s="58" t="s">
        <v>426</v>
      </c>
      <c r="C1447" s="58">
        <v>1757686359189</v>
      </c>
      <c r="D1447" s="58" t="s">
        <v>4408</v>
      </c>
      <c r="E1447" s="58" t="s">
        <v>428</v>
      </c>
      <c r="F1447" t="s">
        <v>435</v>
      </c>
    </row>
    <row r="1448" spans="2:6" x14ac:dyDescent="0.3">
      <c r="B1448" s="58" t="s">
        <v>426</v>
      </c>
      <c r="C1448" s="58">
        <v>1757686378269</v>
      </c>
      <c r="D1448" s="58" t="s">
        <v>4409</v>
      </c>
      <c r="E1448" s="58" t="s">
        <v>428</v>
      </c>
      <c r="F1448" t="s">
        <v>437</v>
      </c>
    </row>
    <row r="1449" spans="2:6" x14ac:dyDescent="0.3">
      <c r="B1449" s="58" t="s">
        <v>426</v>
      </c>
      <c r="C1449" s="58">
        <v>1757686396655</v>
      </c>
      <c r="D1449" s="58" t="s">
        <v>4410</v>
      </c>
      <c r="E1449" s="58" t="s">
        <v>428</v>
      </c>
      <c r="F1449" t="s">
        <v>439</v>
      </c>
    </row>
    <row r="1450" spans="2:6" x14ac:dyDescent="0.3">
      <c r="B1450" s="58" t="s">
        <v>4368</v>
      </c>
      <c r="C1450" s="58">
        <v>1757686398409</v>
      </c>
      <c r="D1450" s="58" t="s">
        <v>4411</v>
      </c>
      <c r="E1450" s="58" t="s">
        <v>424</v>
      </c>
      <c r="F1450" t="s">
        <v>441</v>
      </c>
    </row>
    <row r="1451" spans="2:6" x14ac:dyDescent="0.3">
      <c r="B1451" s="58" t="s">
        <v>426</v>
      </c>
      <c r="C1451" s="58">
        <v>1757686411340</v>
      </c>
      <c r="D1451" s="58" t="s">
        <v>4412</v>
      </c>
      <c r="E1451" s="58" t="s">
        <v>428</v>
      </c>
      <c r="F1451" t="s">
        <v>447</v>
      </c>
    </row>
    <row r="1452" spans="2:6" x14ac:dyDescent="0.3">
      <c r="B1452" s="58" t="s">
        <v>4368</v>
      </c>
      <c r="C1452" s="58">
        <v>1757686414271</v>
      </c>
      <c r="D1452" s="58" t="s">
        <v>4413</v>
      </c>
      <c r="E1452" s="58" t="s">
        <v>424</v>
      </c>
      <c r="F1452" t="s">
        <v>449</v>
      </c>
    </row>
    <row r="1453" spans="2:6" x14ac:dyDescent="0.3">
      <c r="B1453" s="58" t="s">
        <v>4368</v>
      </c>
      <c r="C1453" s="58">
        <v>1757686422100</v>
      </c>
      <c r="D1453" s="58" t="s">
        <v>4414</v>
      </c>
      <c r="E1453" s="58" t="s">
        <v>424</v>
      </c>
      <c r="F1453" t="s">
        <v>451</v>
      </c>
    </row>
    <row r="1454" spans="2:6" x14ac:dyDescent="0.3">
      <c r="B1454" s="58" t="s">
        <v>426</v>
      </c>
      <c r="C1454" s="58">
        <v>1757686427543</v>
      </c>
      <c r="D1454" s="58" t="s">
        <v>4415</v>
      </c>
      <c r="E1454" s="58" t="s">
        <v>428</v>
      </c>
      <c r="F1454" t="s">
        <v>538</v>
      </c>
    </row>
    <row r="1455" spans="2:6" x14ac:dyDescent="0.3">
      <c r="B1455" s="58" t="s">
        <v>4368</v>
      </c>
      <c r="C1455" s="58">
        <v>1757686430330</v>
      </c>
      <c r="D1455" s="58" t="s">
        <v>4416</v>
      </c>
      <c r="E1455" s="58" t="s">
        <v>424</v>
      </c>
      <c r="F1455" t="s">
        <v>445</v>
      </c>
    </row>
    <row r="1456" spans="2:6" x14ac:dyDescent="0.3">
      <c r="B1456" s="58" t="s">
        <v>4368</v>
      </c>
      <c r="C1456" s="58">
        <v>1757686435630</v>
      </c>
      <c r="D1456" s="58" t="s">
        <v>4417</v>
      </c>
      <c r="E1456" s="58" t="s">
        <v>424</v>
      </c>
      <c r="F1456" t="s">
        <v>570</v>
      </c>
    </row>
    <row r="1457" spans="1:6" x14ac:dyDescent="0.3">
      <c r="B1457" s="58" t="s">
        <v>426</v>
      </c>
      <c r="C1457" s="58">
        <v>1757686444455</v>
      </c>
      <c r="D1457" s="58" t="s">
        <v>4418</v>
      </c>
      <c r="E1457" s="58" t="s">
        <v>428</v>
      </c>
      <c r="F1457" t="s">
        <v>523</v>
      </c>
    </row>
    <row r="1458" spans="1:6" x14ac:dyDescent="0.3">
      <c r="B1458" s="58" t="s">
        <v>4368</v>
      </c>
      <c r="C1458" s="58">
        <v>1757686445092</v>
      </c>
      <c r="D1458" s="58" t="s">
        <v>4419</v>
      </c>
      <c r="E1458" s="58" t="s">
        <v>463</v>
      </c>
      <c r="F1458" t="s">
        <v>464</v>
      </c>
    </row>
    <row r="1459" spans="1:6" ht="21" x14ac:dyDescent="0.4">
      <c r="A1459" s="69" t="s">
        <v>55</v>
      </c>
      <c r="B1459" s="63" t="s">
        <v>4598</v>
      </c>
      <c r="C1459" s="63">
        <v>1757690907052</v>
      </c>
      <c r="D1459" s="63" t="s">
        <v>4599</v>
      </c>
      <c r="E1459" s="63" t="s">
        <v>416</v>
      </c>
      <c r="F1459" t="s">
        <v>417</v>
      </c>
    </row>
    <row r="1460" spans="1:6" x14ac:dyDescent="0.3">
      <c r="B1460" s="63" t="s">
        <v>4598</v>
      </c>
      <c r="C1460" s="63">
        <v>1757690921587</v>
      </c>
      <c r="D1460" s="63" t="s">
        <v>4600</v>
      </c>
      <c r="E1460" s="63" t="s">
        <v>419</v>
      </c>
      <c r="F1460" t="s">
        <v>420</v>
      </c>
    </row>
    <row r="1461" spans="1:6" x14ac:dyDescent="0.3">
      <c r="B1461" s="63" t="s">
        <v>4598</v>
      </c>
      <c r="C1461" s="63">
        <v>1757690926271</v>
      </c>
      <c r="D1461" s="63" t="s">
        <v>4601</v>
      </c>
      <c r="E1461" s="63" t="s">
        <v>389</v>
      </c>
      <c r="F1461" t="s">
        <v>502</v>
      </c>
    </row>
    <row r="1462" spans="1:6" x14ac:dyDescent="0.3">
      <c r="B1462" s="63" t="s">
        <v>4598</v>
      </c>
      <c r="C1462" s="63">
        <v>1757690927728</v>
      </c>
      <c r="D1462" s="63" t="s">
        <v>4602</v>
      </c>
      <c r="E1462" s="63" t="s">
        <v>389</v>
      </c>
      <c r="F1462" t="s">
        <v>504</v>
      </c>
    </row>
    <row r="1463" spans="1:6" x14ac:dyDescent="0.3">
      <c r="B1463" s="63" t="s">
        <v>4598</v>
      </c>
      <c r="C1463" s="63">
        <v>1757690929294</v>
      </c>
      <c r="D1463" s="63" t="s">
        <v>4603</v>
      </c>
      <c r="E1463" s="63" t="s">
        <v>389</v>
      </c>
      <c r="F1463" t="s">
        <v>1592</v>
      </c>
    </row>
    <row r="1464" spans="1:6" x14ac:dyDescent="0.3">
      <c r="B1464" s="63" t="s">
        <v>4598</v>
      </c>
      <c r="C1464" s="63">
        <v>1757690935665</v>
      </c>
      <c r="D1464" s="63" t="s">
        <v>4604</v>
      </c>
      <c r="E1464" s="63" t="s">
        <v>389</v>
      </c>
      <c r="F1464" t="s">
        <v>818</v>
      </c>
    </row>
    <row r="1465" spans="1:6" x14ac:dyDescent="0.3">
      <c r="B1465" s="63" t="s">
        <v>4598</v>
      </c>
      <c r="C1465" s="63">
        <v>1757690937040</v>
      </c>
      <c r="D1465" s="63" t="s">
        <v>4605</v>
      </c>
      <c r="E1465" s="63" t="s">
        <v>389</v>
      </c>
      <c r="F1465" t="s">
        <v>392</v>
      </c>
    </row>
    <row r="1466" spans="1:6" x14ac:dyDescent="0.3">
      <c r="B1466" s="63" t="s">
        <v>4598</v>
      </c>
      <c r="C1466" s="63">
        <v>1757690938460</v>
      </c>
      <c r="D1466" s="63" t="s">
        <v>4606</v>
      </c>
      <c r="E1466" s="63" t="s">
        <v>389</v>
      </c>
      <c r="F1466" t="s">
        <v>508</v>
      </c>
    </row>
    <row r="1467" spans="1:6" x14ac:dyDescent="0.3">
      <c r="B1467" s="63" t="s">
        <v>4598</v>
      </c>
      <c r="C1467" s="63">
        <v>1757690939074</v>
      </c>
      <c r="D1467" s="63" t="s">
        <v>4607</v>
      </c>
      <c r="E1467" s="63" t="s">
        <v>389</v>
      </c>
      <c r="F1467" t="s">
        <v>660</v>
      </c>
    </row>
    <row r="1468" spans="1:6" x14ac:dyDescent="0.3">
      <c r="B1468" s="63" t="s">
        <v>4598</v>
      </c>
      <c r="C1468" s="63">
        <v>1757690940027</v>
      </c>
      <c r="D1468" s="63" t="s">
        <v>4608</v>
      </c>
      <c r="E1468" s="63" t="s">
        <v>389</v>
      </c>
      <c r="F1468" t="s">
        <v>406</v>
      </c>
    </row>
    <row r="1469" spans="1:6" x14ac:dyDescent="0.3">
      <c r="B1469" s="63" t="s">
        <v>4598</v>
      </c>
      <c r="C1469" s="63">
        <v>1757690941789</v>
      </c>
      <c r="D1469" s="63" t="s">
        <v>4609</v>
      </c>
      <c r="E1469" s="63" t="s">
        <v>389</v>
      </c>
      <c r="F1469" t="s">
        <v>495</v>
      </c>
    </row>
    <row r="1470" spans="1:6" x14ac:dyDescent="0.3">
      <c r="B1470" s="63" t="s">
        <v>4598</v>
      </c>
      <c r="C1470" s="63">
        <v>1757690942576</v>
      </c>
      <c r="D1470" s="63" t="s">
        <v>4610</v>
      </c>
      <c r="E1470" s="63" t="s">
        <v>389</v>
      </c>
      <c r="F1470" t="s">
        <v>410</v>
      </c>
    </row>
    <row r="1471" spans="1:6" x14ac:dyDescent="0.3">
      <c r="B1471" s="63" t="s">
        <v>4598</v>
      </c>
      <c r="C1471" s="63">
        <v>1757690945081</v>
      </c>
      <c r="D1471" s="63" t="s">
        <v>4611</v>
      </c>
      <c r="E1471" s="63" t="s">
        <v>389</v>
      </c>
      <c r="F1471" t="s">
        <v>414</v>
      </c>
    </row>
    <row r="1472" spans="1:6" x14ac:dyDescent="0.3">
      <c r="B1472" s="63" t="s">
        <v>4598</v>
      </c>
      <c r="C1472" s="63">
        <v>1757690945225</v>
      </c>
      <c r="D1472" s="63" t="s">
        <v>4612</v>
      </c>
      <c r="E1472" s="63" t="s">
        <v>389</v>
      </c>
      <c r="F1472" t="s">
        <v>414</v>
      </c>
    </row>
    <row r="1473" spans="2:6" x14ac:dyDescent="0.3">
      <c r="B1473" s="63" t="s">
        <v>4598</v>
      </c>
      <c r="C1473" s="63">
        <v>1757690945387</v>
      </c>
      <c r="D1473" s="63" t="s">
        <v>4613</v>
      </c>
      <c r="E1473" s="63" t="s">
        <v>389</v>
      </c>
      <c r="F1473" t="s">
        <v>414</v>
      </c>
    </row>
    <row r="1474" spans="2:6" x14ac:dyDescent="0.3">
      <c r="B1474" s="63" t="s">
        <v>4598</v>
      </c>
      <c r="C1474" s="63">
        <v>1757690947580</v>
      </c>
      <c r="D1474" s="63" t="s">
        <v>4614</v>
      </c>
      <c r="E1474" s="63" t="s">
        <v>422</v>
      </c>
      <c r="F1474" t="s">
        <v>420</v>
      </c>
    </row>
    <row r="1475" spans="2:6" x14ac:dyDescent="0.3">
      <c r="B1475" s="63" t="s">
        <v>4598</v>
      </c>
      <c r="C1475" s="63">
        <v>1757690959344</v>
      </c>
      <c r="D1475" s="63" t="s">
        <v>4615</v>
      </c>
      <c r="E1475" s="63" t="s">
        <v>424</v>
      </c>
      <c r="F1475" t="s">
        <v>549</v>
      </c>
    </row>
    <row r="1476" spans="2:6" x14ac:dyDescent="0.3">
      <c r="B1476" s="63" t="s">
        <v>4598</v>
      </c>
      <c r="C1476" s="63">
        <v>1757690970192</v>
      </c>
      <c r="D1476" s="63" t="s">
        <v>4616</v>
      </c>
      <c r="E1476" s="63" t="s">
        <v>424</v>
      </c>
      <c r="F1476" t="s">
        <v>551</v>
      </c>
    </row>
    <row r="1477" spans="2:6" x14ac:dyDescent="0.3">
      <c r="B1477" s="63" t="s">
        <v>426</v>
      </c>
      <c r="C1477" s="63">
        <v>1757690976657</v>
      </c>
      <c r="D1477" s="63" t="s">
        <v>4617</v>
      </c>
      <c r="E1477" s="63" t="s">
        <v>428</v>
      </c>
      <c r="F1477" t="s">
        <v>439</v>
      </c>
    </row>
    <row r="1478" spans="2:6" x14ac:dyDescent="0.3">
      <c r="B1478" s="63" t="s">
        <v>4598</v>
      </c>
      <c r="C1478" s="63">
        <v>1757690986080</v>
      </c>
      <c r="D1478" s="63" t="s">
        <v>4618</v>
      </c>
      <c r="E1478" s="63" t="s">
        <v>424</v>
      </c>
      <c r="F1478" t="s">
        <v>441</v>
      </c>
    </row>
    <row r="1479" spans="2:6" x14ac:dyDescent="0.3">
      <c r="B1479" s="63" t="s">
        <v>426</v>
      </c>
      <c r="C1479" s="63">
        <v>1757690993627</v>
      </c>
      <c r="D1479" s="63" t="s">
        <v>4619</v>
      </c>
      <c r="E1479" s="63" t="s">
        <v>428</v>
      </c>
      <c r="F1479" t="s">
        <v>431</v>
      </c>
    </row>
    <row r="1480" spans="2:6" x14ac:dyDescent="0.3">
      <c r="B1480" s="63" t="s">
        <v>4598</v>
      </c>
      <c r="C1480" s="63">
        <v>1757690995271</v>
      </c>
      <c r="D1480" s="63" t="s">
        <v>4620</v>
      </c>
      <c r="E1480" s="63" t="s">
        <v>424</v>
      </c>
      <c r="F1480" t="s">
        <v>830</v>
      </c>
    </row>
    <row r="1481" spans="2:6" x14ac:dyDescent="0.3">
      <c r="B1481" s="63" t="s">
        <v>4598</v>
      </c>
      <c r="C1481" s="63">
        <v>1757691007452</v>
      </c>
      <c r="D1481" s="63" t="s">
        <v>4621</v>
      </c>
      <c r="E1481" s="63" t="s">
        <v>424</v>
      </c>
      <c r="F1481" t="s">
        <v>433</v>
      </c>
    </row>
    <row r="1482" spans="2:6" x14ac:dyDescent="0.3">
      <c r="B1482" s="63" t="s">
        <v>426</v>
      </c>
      <c r="C1482" s="63">
        <v>1757691009086</v>
      </c>
      <c r="D1482" s="63" t="s">
        <v>4622</v>
      </c>
      <c r="E1482" s="63" t="s">
        <v>428</v>
      </c>
      <c r="F1482" t="s">
        <v>538</v>
      </c>
    </row>
    <row r="1483" spans="2:6" x14ac:dyDescent="0.3">
      <c r="B1483" s="63" t="s">
        <v>426</v>
      </c>
      <c r="C1483" s="63">
        <v>1757691026057</v>
      </c>
      <c r="D1483" s="63" t="s">
        <v>4623</v>
      </c>
      <c r="E1483" s="63" t="s">
        <v>428</v>
      </c>
      <c r="F1483" t="s">
        <v>672</v>
      </c>
    </row>
    <row r="1484" spans="2:6" x14ac:dyDescent="0.3">
      <c r="B1484" s="63" t="s">
        <v>426</v>
      </c>
      <c r="C1484" s="63">
        <v>1757691043748</v>
      </c>
      <c r="D1484" s="63" t="s">
        <v>4624</v>
      </c>
      <c r="E1484" s="63" t="s">
        <v>428</v>
      </c>
      <c r="F1484" t="s">
        <v>453</v>
      </c>
    </row>
    <row r="1485" spans="2:6" x14ac:dyDescent="0.3">
      <c r="B1485" s="63" t="s">
        <v>426</v>
      </c>
      <c r="C1485" s="63">
        <v>1757691060666</v>
      </c>
      <c r="D1485" s="63" t="s">
        <v>4625</v>
      </c>
      <c r="E1485" s="63" t="s">
        <v>428</v>
      </c>
      <c r="F1485" t="s">
        <v>523</v>
      </c>
    </row>
    <row r="1486" spans="2:6" x14ac:dyDescent="0.3">
      <c r="B1486" s="63" t="s">
        <v>4598</v>
      </c>
      <c r="C1486" s="63">
        <v>1757691063074</v>
      </c>
      <c r="D1486" s="63" t="s">
        <v>4626</v>
      </c>
      <c r="E1486" s="63" t="s">
        <v>424</v>
      </c>
      <c r="F1486" t="s">
        <v>457</v>
      </c>
    </row>
    <row r="1487" spans="2:6" x14ac:dyDescent="0.3">
      <c r="B1487" s="63" t="s">
        <v>426</v>
      </c>
      <c r="C1487" s="63">
        <v>1757691076156</v>
      </c>
      <c r="D1487" s="63" t="s">
        <v>4627</v>
      </c>
      <c r="E1487" s="63" t="s">
        <v>428</v>
      </c>
      <c r="F1487" t="s">
        <v>447</v>
      </c>
    </row>
    <row r="1488" spans="2:6" x14ac:dyDescent="0.3">
      <c r="B1488" s="63" t="s">
        <v>426</v>
      </c>
      <c r="C1488" s="63">
        <v>1757691097467</v>
      </c>
      <c r="D1488" s="63" t="s">
        <v>4628</v>
      </c>
      <c r="E1488" s="63" t="s">
        <v>428</v>
      </c>
      <c r="F1488" t="s">
        <v>455</v>
      </c>
    </row>
    <row r="1489" spans="2:6" x14ac:dyDescent="0.3">
      <c r="B1489" s="63" t="s">
        <v>4598</v>
      </c>
      <c r="C1489" s="63">
        <v>1757691098338</v>
      </c>
      <c r="D1489" s="63" t="s">
        <v>4629</v>
      </c>
      <c r="E1489" s="63" t="s">
        <v>424</v>
      </c>
      <c r="F1489" t="s">
        <v>459</v>
      </c>
    </row>
    <row r="1490" spans="2:6" x14ac:dyDescent="0.3">
      <c r="B1490" s="63" t="s">
        <v>4598</v>
      </c>
      <c r="C1490" s="63">
        <v>1757691099497</v>
      </c>
      <c r="D1490" s="63" t="s">
        <v>4630</v>
      </c>
      <c r="E1490" s="63" t="s">
        <v>424</v>
      </c>
      <c r="F1490" t="s">
        <v>461</v>
      </c>
    </row>
    <row r="1491" spans="2:6" x14ac:dyDescent="0.3">
      <c r="B1491" s="63" t="s">
        <v>4598</v>
      </c>
      <c r="C1491" s="63">
        <v>1757691109911</v>
      </c>
      <c r="D1491" s="63" t="s">
        <v>4631</v>
      </c>
      <c r="E1491" s="63" t="s">
        <v>424</v>
      </c>
      <c r="F1491" t="s">
        <v>449</v>
      </c>
    </row>
    <row r="1492" spans="2:6" x14ac:dyDescent="0.3">
      <c r="B1492" s="63" t="s">
        <v>4598</v>
      </c>
      <c r="C1492" s="63">
        <v>1757691110515</v>
      </c>
      <c r="D1492" s="63" t="s">
        <v>4632</v>
      </c>
      <c r="E1492" s="63" t="s">
        <v>424</v>
      </c>
      <c r="F1492" t="s">
        <v>451</v>
      </c>
    </row>
    <row r="1493" spans="2:6" x14ac:dyDescent="0.3">
      <c r="B1493" s="63" t="s">
        <v>4598</v>
      </c>
      <c r="C1493" s="63">
        <v>1757691111664</v>
      </c>
      <c r="D1493" s="63" t="s">
        <v>4633</v>
      </c>
      <c r="E1493" s="63" t="s">
        <v>463</v>
      </c>
      <c r="F1493" t="s">
        <v>464</v>
      </c>
    </row>
    <row r="1494" spans="2:6" x14ac:dyDescent="0.3">
      <c r="B1494" s="58" t="s">
        <v>4634</v>
      </c>
      <c r="C1494" s="58">
        <v>1757691120183</v>
      </c>
      <c r="D1494" s="58" t="s">
        <v>4635</v>
      </c>
      <c r="E1494" s="58" t="s">
        <v>416</v>
      </c>
      <c r="F1494" t="s">
        <v>466</v>
      </c>
    </row>
    <row r="1495" spans="2:6" x14ac:dyDescent="0.3">
      <c r="B1495" s="58" t="s">
        <v>4634</v>
      </c>
      <c r="C1495" s="58">
        <v>1757691120401</v>
      </c>
      <c r="D1495" s="58" t="s">
        <v>4636</v>
      </c>
      <c r="E1495" s="58" t="s">
        <v>468</v>
      </c>
      <c r="F1495" t="s">
        <v>4637</v>
      </c>
    </row>
    <row r="1496" spans="2:6" x14ac:dyDescent="0.3">
      <c r="B1496" s="58" t="s">
        <v>4634</v>
      </c>
      <c r="C1496" s="58">
        <v>1757691134800</v>
      </c>
      <c r="D1496" s="58" t="s">
        <v>4638</v>
      </c>
      <c r="E1496" s="58" t="s">
        <v>419</v>
      </c>
      <c r="F1496" t="s">
        <v>420</v>
      </c>
    </row>
    <row r="1497" spans="2:6" x14ac:dyDescent="0.3">
      <c r="B1497" s="58" t="s">
        <v>4634</v>
      </c>
      <c r="C1497" s="58">
        <v>1757691136963</v>
      </c>
      <c r="D1497" s="58" t="s">
        <v>4639</v>
      </c>
      <c r="E1497" s="58" t="s">
        <v>422</v>
      </c>
      <c r="F1497" t="s">
        <v>420</v>
      </c>
    </row>
    <row r="1498" spans="2:6" x14ac:dyDescent="0.3">
      <c r="B1498" s="58" t="s">
        <v>426</v>
      </c>
      <c r="C1498" s="58">
        <v>1757691151650</v>
      </c>
      <c r="D1498" s="58" t="s">
        <v>4640</v>
      </c>
      <c r="E1498" s="58" t="s">
        <v>428</v>
      </c>
      <c r="F1498" t="s">
        <v>453</v>
      </c>
    </row>
    <row r="1499" spans="2:6" x14ac:dyDescent="0.3">
      <c r="B1499" s="58" t="s">
        <v>4634</v>
      </c>
      <c r="C1499" s="58">
        <v>1757691163221</v>
      </c>
      <c r="D1499" s="58" t="s">
        <v>4641</v>
      </c>
      <c r="E1499" s="58" t="s">
        <v>424</v>
      </c>
      <c r="F1499" t="s">
        <v>457</v>
      </c>
    </row>
    <row r="1500" spans="2:6" x14ac:dyDescent="0.3">
      <c r="B1500" s="58" t="s">
        <v>426</v>
      </c>
      <c r="C1500" s="58">
        <v>1757691172178</v>
      </c>
      <c r="D1500" s="58" t="s">
        <v>4642</v>
      </c>
      <c r="E1500" s="58" t="s">
        <v>428</v>
      </c>
      <c r="F1500" t="s">
        <v>455</v>
      </c>
    </row>
    <row r="1501" spans="2:6" x14ac:dyDescent="0.3">
      <c r="B1501" s="58" t="s">
        <v>426</v>
      </c>
      <c r="C1501" s="58">
        <v>1757691187641</v>
      </c>
      <c r="D1501" s="58" t="s">
        <v>4643</v>
      </c>
      <c r="E1501" s="58" t="s">
        <v>428</v>
      </c>
      <c r="F1501" t="s">
        <v>431</v>
      </c>
    </row>
    <row r="1502" spans="2:6" x14ac:dyDescent="0.3">
      <c r="B1502" s="58" t="s">
        <v>4634</v>
      </c>
      <c r="C1502" s="58">
        <v>1757691191143</v>
      </c>
      <c r="D1502" s="58" t="s">
        <v>4644</v>
      </c>
      <c r="E1502" s="58" t="s">
        <v>424</v>
      </c>
      <c r="F1502" t="s">
        <v>459</v>
      </c>
    </row>
    <row r="1503" spans="2:6" x14ac:dyDescent="0.3">
      <c r="B1503" s="58" t="s">
        <v>4634</v>
      </c>
      <c r="C1503" s="58">
        <v>1757691192508</v>
      </c>
      <c r="D1503" s="58" t="s">
        <v>4645</v>
      </c>
      <c r="E1503" s="58" t="s">
        <v>424</v>
      </c>
      <c r="F1503" t="s">
        <v>461</v>
      </c>
    </row>
    <row r="1504" spans="2:6" x14ac:dyDescent="0.3">
      <c r="B1504" s="58" t="s">
        <v>4634</v>
      </c>
      <c r="C1504" s="58">
        <v>1757691199279</v>
      </c>
      <c r="D1504" s="58" t="s">
        <v>4646</v>
      </c>
      <c r="E1504" s="58" t="s">
        <v>424</v>
      </c>
      <c r="F1504" t="s">
        <v>830</v>
      </c>
    </row>
    <row r="1505" spans="1:6" x14ac:dyDescent="0.3">
      <c r="B1505" s="58" t="s">
        <v>426</v>
      </c>
      <c r="C1505" s="58">
        <v>1757691203830</v>
      </c>
      <c r="D1505" s="58" t="s">
        <v>4647</v>
      </c>
      <c r="E1505" s="58" t="s">
        <v>428</v>
      </c>
      <c r="F1505" t="s">
        <v>538</v>
      </c>
    </row>
    <row r="1506" spans="1:6" x14ac:dyDescent="0.3">
      <c r="B1506" s="58" t="s">
        <v>4634</v>
      </c>
      <c r="C1506" s="58">
        <v>1757691208095</v>
      </c>
      <c r="D1506" s="58" t="s">
        <v>4648</v>
      </c>
      <c r="E1506" s="58" t="s">
        <v>424</v>
      </c>
      <c r="F1506" t="s">
        <v>433</v>
      </c>
    </row>
    <row r="1507" spans="1:6" x14ac:dyDescent="0.3">
      <c r="B1507" s="58" t="s">
        <v>4634</v>
      </c>
      <c r="C1507" s="58">
        <v>1757691214572</v>
      </c>
      <c r="D1507" s="58" t="s">
        <v>4649</v>
      </c>
      <c r="E1507" s="58" t="s">
        <v>424</v>
      </c>
      <c r="F1507" t="s">
        <v>549</v>
      </c>
    </row>
    <row r="1508" spans="1:6" x14ac:dyDescent="0.3">
      <c r="B1508" s="58" t="s">
        <v>426</v>
      </c>
      <c r="C1508" s="58">
        <v>1757691221497</v>
      </c>
      <c r="D1508" s="58" t="s">
        <v>4650</v>
      </c>
      <c r="E1508" s="58" t="s">
        <v>428</v>
      </c>
      <c r="F1508" t="s">
        <v>672</v>
      </c>
    </row>
    <row r="1509" spans="1:6" x14ac:dyDescent="0.3">
      <c r="B1509" s="58" t="s">
        <v>4634</v>
      </c>
      <c r="C1509" s="58">
        <v>1757691224006</v>
      </c>
      <c r="D1509" s="58" t="s">
        <v>4651</v>
      </c>
      <c r="E1509" s="58" t="s">
        <v>424</v>
      </c>
      <c r="F1509" t="s">
        <v>551</v>
      </c>
    </row>
    <row r="1510" spans="1:6" x14ac:dyDescent="0.3">
      <c r="B1510" s="58" t="s">
        <v>426</v>
      </c>
      <c r="C1510" s="58">
        <v>1757691238401</v>
      </c>
      <c r="D1510" s="58" t="s">
        <v>4652</v>
      </c>
      <c r="E1510" s="58" t="s">
        <v>428</v>
      </c>
      <c r="F1510" t="s">
        <v>523</v>
      </c>
    </row>
    <row r="1511" spans="1:6" x14ac:dyDescent="0.3">
      <c r="B1511" s="58" t="s">
        <v>426</v>
      </c>
      <c r="C1511" s="58">
        <v>1757691256778</v>
      </c>
      <c r="D1511" s="58" t="s">
        <v>4653</v>
      </c>
      <c r="E1511" s="58" t="s">
        <v>428</v>
      </c>
      <c r="F1511" t="s">
        <v>439</v>
      </c>
    </row>
    <row r="1512" spans="1:6" x14ac:dyDescent="0.3">
      <c r="B1512" s="58" t="s">
        <v>4634</v>
      </c>
      <c r="C1512" s="58">
        <v>1757691261198</v>
      </c>
      <c r="D1512" s="58" t="s">
        <v>4654</v>
      </c>
      <c r="E1512" s="58" t="s">
        <v>424</v>
      </c>
      <c r="F1512" t="s">
        <v>441</v>
      </c>
    </row>
    <row r="1513" spans="1:6" x14ac:dyDescent="0.3">
      <c r="B1513" s="58" t="s">
        <v>426</v>
      </c>
      <c r="C1513" s="58">
        <v>1757691271507</v>
      </c>
      <c r="D1513" s="58" t="s">
        <v>4655</v>
      </c>
      <c r="E1513" s="58" t="s">
        <v>428</v>
      </c>
      <c r="F1513" t="s">
        <v>447</v>
      </c>
    </row>
    <row r="1514" spans="1:6" x14ac:dyDescent="0.3">
      <c r="B1514" s="58" t="s">
        <v>4634</v>
      </c>
      <c r="C1514" s="58">
        <v>1757691275964</v>
      </c>
      <c r="D1514" s="58" t="s">
        <v>4656</v>
      </c>
      <c r="E1514" s="58" t="s">
        <v>424</v>
      </c>
      <c r="F1514" t="s">
        <v>449</v>
      </c>
    </row>
    <row r="1515" spans="1:6" x14ac:dyDescent="0.3">
      <c r="B1515" s="58" t="s">
        <v>4634</v>
      </c>
      <c r="C1515" s="58">
        <v>1757691276953</v>
      </c>
      <c r="D1515" s="58" t="s">
        <v>4657</v>
      </c>
      <c r="E1515" s="58" t="s">
        <v>424</v>
      </c>
      <c r="F1515" t="s">
        <v>451</v>
      </c>
    </row>
    <row r="1516" spans="1:6" x14ac:dyDescent="0.3">
      <c r="B1516" s="58" t="s">
        <v>4634</v>
      </c>
      <c r="C1516" s="58">
        <v>1757691277926</v>
      </c>
      <c r="D1516" s="58" t="s">
        <v>4658</v>
      </c>
      <c r="E1516" s="58" t="s">
        <v>463</v>
      </c>
      <c r="F1516" t="s">
        <v>464</v>
      </c>
    </row>
    <row r="1517" spans="1:6" ht="21" x14ac:dyDescent="0.4">
      <c r="A1517" s="69" t="s">
        <v>56</v>
      </c>
      <c r="B1517" s="63" t="s">
        <v>4659</v>
      </c>
      <c r="C1517" s="63">
        <v>1757929801299</v>
      </c>
      <c r="D1517" s="63" t="s">
        <v>4660</v>
      </c>
      <c r="E1517" t="s">
        <v>416</v>
      </c>
      <c r="F1517" t="s">
        <v>417</v>
      </c>
    </row>
    <row r="1518" spans="1:6" x14ac:dyDescent="0.3">
      <c r="B1518" s="63" t="s">
        <v>4659</v>
      </c>
      <c r="C1518" s="63">
        <v>1757929801801</v>
      </c>
      <c r="D1518" s="63" t="s">
        <v>4661</v>
      </c>
      <c r="E1518" t="s">
        <v>419</v>
      </c>
      <c r="F1518" t="s">
        <v>420</v>
      </c>
    </row>
    <row r="1519" spans="1:6" x14ac:dyDescent="0.3">
      <c r="B1519" s="63" t="s">
        <v>4659</v>
      </c>
      <c r="C1519" s="63">
        <v>1757929818913</v>
      </c>
      <c r="D1519" s="63" t="s">
        <v>4662</v>
      </c>
      <c r="E1519" t="s">
        <v>389</v>
      </c>
      <c r="F1519" t="s">
        <v>2737</v>
      </c>
    </row>
    <row r="1520" spans="1:6" x14ac:dyDescent="0.3">
      <c r="B1520" s="63" t="s">
        <v>4659</v>
      </c>
      <c r="C1520" s="63">
        <v>1757929819004</v>
      </c>
      <c r="D1520" s="63" t="s">
        <v>4663</v>
      </c>
      <c r="E1520" t="s">
        <v>389</v>
      </c>
      <c r="F1520" t="s">
        <v>2739</v>
      </c>
    </row>
    <row r="1521" spans="2:6" x14ac:dyDescent="0.3">
      <c r="B1521" s="63" t="s">
        <v>4659</v>
      </c>
      <c r="C1521" s="63">
        <v>1757929819093</v>
      </c>
      <c r="D1521" s="63" t="s">
        <v>4664</v>
      </c>
      <c r="E1521" t="s">
        <v>389</v>
      </c>
      <c r="F1521" t="s">
        <v>2735</v>
      </c>
    </row>
    <row r="1522" spans="2:6" x14ac:dyDescent="0.3">
      <c r="B1522" s="63" t="s">
        <v>4659</v>
      </c>
      <c r="C1522" s="63">
        <v>1757929819186</v>
      </c>
      <c r="D1522" s="63" t="s">
        <v>4665</v>
      </c>
      <c r="E1522" t="s">
        <v>389</v>
      </c>
      <c r="F1522" t="s">
        <v>2737</v>
      </c>
    </row>
    <row r="1523" spans="2:6" x14ac:dyDescent="0.3">
      <c r="B1523" s="63" t="s">
        <v>4659</v>
      </c>
      <c r="C1523" s="63">
        <v>1757929819288</v>
      </c>
      <c r="D1523" s="63" t="s">
        <v>4666</v>
      </c>
      <c r="E1523" t="s">
        <v>389</v>
      </c>
      <c r="F1523" t="s">
        <v>2735</v>
      </c>
    </row>
    <row r="1524" spans="2:6" x14ac:dyDescent="0.3">
      <c r="B1524" s="63" t="s">
        <v>4659</v>
      </c>
      <c r="C1524" s="63">
        <v>1757929819361</v>
      </c>
      <c r="D1524" s="63" t="s">
        <v>4667</v>
      </c>
      <c r="E1524" t="s">
        <v>389</v>
      </c>
      <c r="F1524" t="s">
        <v>2737</v>
      </c>
    </row>
    <row r="1525" spans="2:6" x14ac:dyDescent="0.3">
      <c r="B1525" s="63" t="s">
        <v>4659</v>
      </c>
      <c r="C1525" s="63">
        <v>1757929819434</v>
      </c>
      <c r="D1525" s="63" t="s">
        <v>4668</v>
      </c>
      <c r="E1525" t="s">
        <v>389</v>
      </c>
      <c r="F1525" t="s">
        <v>2735</v>
      </c>
    </row>
    <row r="1526" spans="2:6" x14ac:dyDescent="0.3">
      <c r="B1526" s="63" t="s">
        <v>4659</v>
      </c>
      <c r="C1526" s="63">
        <v>1757929819489</v>
      </c>
      <c r="D1526" s="63" t="s">
        <v>4669</v>
      </c>
      <c r="E1526" t="s">
        <v>389</v>
      </c>
      <c r="F1526" t="s">
        <v>2737</v>
      </c>
    </row>
    <row r="1527" spans="2:6" x14ac:dyDescent="0.3">
      <c r="B1527" s="63" t="s">
        <v>4659</v>
      </c>
      <c r="C1527" s="63">
        <v>1757929819562</v>
      </c>
      <c r="D1527" s="63" t="s">
        <v>4670</v>
      </c>
      <c r="E1527" t="s">
        <v>389</v>
      </c>
      <c r="F1527" t="s">
        <v>2739</v>
      </c>
    </row>
    <row r="1528" spans="2:6" x14ac:dyDescent="0.3">
      <c r="B1528" s="63" t="s">
        <v>4659</v>
      </c>
      <c r="C1528" s="63">
        <v>1757929819639</v>
      </c>
      <c r="D1528" s="63" t="s">
        <v>4671</v>
      </c>
      <c r="E1528" t="s">
        <v>389</v>
      </c>
      <c r="F1528" t="s">
        <v>2737</v>
      </c>
    </row>
    <row r="1529" spans="2:6" x14ac:dyDescent="0.3">
      <c r="B1529" s="63" t="s">
        <v>4659</v>
      </c>
      <c r="C1529" s="63">
        <v>1757929819704</v>
      </c>
      <c r="D1529" s="63" t="s">
        <v>4672</v>
      </c>
      <c r="E1529" t="s">
        <v>389</v>
      </c>
      <c r="F1529" t="s">
        <v>1601</v>
      </c>
    </row>
    <row r="1530" spans="2:6" x14ac:dyDescent="0.3">
      <c r="B1530" s="63" t="s">
        <v>4659</v>
      </c>
      <c r="C1530" s="63">
        <v>1757929819766</v>
      </c>
      <c r="D1530" s="63" t="s">
        <v>4673</v>
      </c>
      <c r="E1530" t="s">
        <v>389</v>
      </c>
      <c r="F1530" t="s">
        <v>2737</v>
      </c>
    </row>
    <row r="1531" spans="2:6" x14ac:dyDescent="0.3">
      <c r="B1531" s="63" t="s">
        <v>4659</v>
      </c>
      <c r="C1531" s="63">
        <v>1757929819830</v>
      </c>
      <c r="D1531" s="63" t="s">
        <v>4674</v>
      </c>
      <c r="E1531" t="s">
        <v>389</v>
      </c>
      <c r="F1531" t="s">
        <v>2735</v>
      </c>
    </row>
    <row r="1532" spans="2:6" x14ac:dyDescent="0.3">
      <c r="B1532" s="63" t="s">
        <v>4659</v>
      </c>
      <c r="C1532" s="63">
        <v>1757929819899</v>
      </c>
      <c r="D1532" s="63" t="s">
        <v>4675</v>
      </c>
      <c r="E1532" t="s">
        <v>389</v>
      </c>
      <c r="F1532" t="s">
        <v>2731</v>
      </c>
    </row>
    <row r="1533" spans="2:6" x14ac:dyDescent="0.3">
      <c r="B1533" s="63" t="s">
        <v>4659</v>
      </c>
      <c r="C1533" s="63">
        <v>1757929819987</v>
      </c>
      <c r="D1533" s="63" t="s">
        <v>4676</v>
      </c>
      <c r="E1533" t="s">
        <v>389</v>
      </c>
      <c r="F1533" t="s">
        <v>2733</v>
      </c>
    </row>
    <row r="1534" spans="2:6" x14ac:dyDescent="0.3">
      <c r="B1534" s="63" t="s">
        <v>4659</v>
      </c>
      <c r="C1534" s="63">
        <v>1757929820072</v>
      </c>
      <c r="D1534" s="63" t="s">
        <v>4677</v>
      </c>
      <c r="E1534" t="s">
        <v>389</v>
      </c>
      <c r="F1534" t="s">
        <v>2962</v>
      </c>
    </row>
    <row r="1535" spans="2:6" x14ac:dyDescent="0.3">
      <c r="B1535" s="63" t="s">
        <v>4659</v>
      </c>
      <c r="C1535" s="63">
        <v>1757929820153</v>
      </c>
      <c r="D1535" s="63" t="s">
        <v>4678</v>
      </c>
      <c r="E1535" t="s">
        <v>389</v>
      </c>
      <c r="F1535" t="s">
        <v>511</v>
      </c>
    </row>
    <row r="1536" spans="2:6" x14ac:dyDescent="0.3">
      <c r="B1536" s="63" t="s">
        <v>4659</v>
      </c>
      <c r="C1536" s="63">
        <v>1757929820234</v>
      </c>
      <c r="D1536" s="63" t="s">
        <v>4679</v>
      </c>
      <c r="E1536" t="s">
        <v>389</v>
      </c>
      <c r="F1536" t="s">
        <v>2735</v>
      </c>
    </row>
    <row r="1537" spans="2:6" x14ac:dyDescent="0.3">
      <c r="B1537" s="63" t="s">
        <v>4659</v>
      </c>
      <c r="C1537" s="63">
        <v>1757929820281</v>
      </c>
      <c r="D1537" s="63" t="s">
        <v>4680</v>
      </c>
      <c r="E1537" t="s">
        <v>389</v>
      </c>
      <c r="F1537" t="s">
        <v>2737</v>
      </c>
    </row>
    <row r="1538" spans="2:6" x14ac:dyDescent="0.3">
      <c r="B1538" s="63" t="s">
        <v>4659</v>
      </c>
      <c r="C1538" s="63">
        <v>1757929820355</v>
      </c>
      <c r="D1538" s="63" t="s">
        <v>4681</v>
      </c>
      <c r="E1538" t="s">
        <v>389</v>
      </c>
      <c r="F1538" t="s">
        <v>2739</v>
      </c>
    </row>
    <row r="1539" spans="2:6" x14ac:dyDescent="0.3">
      <c r="B1539" s="63" t="s">
        <v>4659</v>
      </c>
      <c r="C1539" s="63">
        <v>1757929820416</v>
      </c>
      <c r="D1539" s="63" t="s">
        <v>4682</v>
      </c>
      <c r="E1539" t="s">
        <v>389</v>
      </c>
      <c r="F1539" t="s">
        <v>2737</v>
      </c>
    </row>
    <row r="1540" spans="2:6" x14ac:dyDescent="0.3">
      <c r="B1540" s="63" t="s">
        <v>4659</v>
      </c>
      <c r="C1540" s="63">
        <v>1757929821377</v>
      </c>
      <c r="D1540" s="63" t="s">
        <v>4683</v>
      </c>
      <c r="E1540" t="s">
        <v>389</v>
      </c>
      <c r="F1540" t="s">
        <v>406</v>
      </c>
    </row>
    <row r="1541" spans="2:6" x14ac:dyDescent="0.3">
      <c r="B1541" s="63" t="s">
        <v>4659</v>
      </c>
      <c r="C1541" s="63">
        <v>1757929839038</v>
      </c>
      <c r="D1541" s="63" t="s">
        <v>4684</v>
      </c>
      <c r="E1541" t="s">
        <v>389</v>
      </c>
      <c r="F1541" t="s">
        <v>396</v>
      </c>
    </row>
    <row r="1542" spans="2:6" x14ac:dyDescent="0.3">
      <c r="B1542" s="63" t="s">
        <v>4659</v>
      </c>
      <c r="C1542" s="63">
        <v>1757929839999</v>
      </c>
      <c r="D1542" s="63" t="s">
        <v>4685</v>
      </c>
      <c r="E1542" t="s">
        <v>389</v>
      </c>
      <c r="F1542" t="s">
        <v>398</v>
      </c>
    </row>
    <row r="1543" spans="2:6" x14ac:dyDescent="0.3">
      <c r="B1543" s="63" t="s">
        <v>4659</v>
      </c>
      <c r="C1543" s="63">
        <v>1757929841619</v>
      </c>
      <c r="D1543" s="63" t="s">
        <v>4686</v>
      </c>
      <c r="E1543" t="s">
        <v>389</v>
      </c>
      <c r="F1543" t="s">
        <v>400</v>
      </c>
    </row>
    <row r="1544" spans="2:6" x14ac:dyDescent="0.3">
      <c r="B1544" s="63" t="s">
        <v>4659</v>
      </c>
      <c r="C1544" s="63">
        <v>1757929846449</v>
      </c>
      <c r="D1544" s="63" t="s">
        <v>4687</v>
      </c>
      <c r="E1544" t="s">
        <v>389</v>
      </c>
      <c r="F1544" t="s">
        <v>390</v>
      </c>
    </row>
    <row r="1545" spans="2:6" x14ac:dyDescent="0.3">
      <c r="B1545" s="63" t="s">
        <v>4659</v>
      </c>
      <c r="C1545" s="63">
        <v>1757929847741</v>
      </c>
      <c r="D1545" s="63" t="s">
        <v>4688</v>
      </c>
      <c r="E1545" t="s">
        <v>389</v>
      </c>
      <c r="F1545" t="s">
        <v>392</v>
      </c>
    </row>
    <row r="1546" spans="2:6" x14ac:dyDescent="0.3">
      <c r="B1546" s="63" t="s">
        <v>4659</v>
      </c>
      <c r="C1546" s="63">
        <v>1757929854954</v>
      </c>
      <c r="D1546" s="63" t="s">
        <v>4689</v>
      </c>
      <c r="E1546" t="s">
        <v>389</v>
      </c>
      <c r="F1546" t="s">
        <v>404</v>
      </c>
    </row>
    <row r="1547" spans="2:6" x14ac:dyDescent="0.3">
      <c r="B1547" s="63" t="s">
        <v>4659</v>
      </c>
      <c r="C1547" s="63">
        <v>1757929856199</v>
      </c>
      <c r="D1547" s="63" t="s">
        <v>4690</v>
      </c>
      <c r="E1547" t="s">
        <v>389</v>
      </c>
      <c r="F1547" t="s">
        <v>508</v>
      </c>
    </row>
    <row r="1548" spans="2:6" x14ac:dyDescent="0.3">
      <c r="B1548" s="63" t="s">
        <v>4659</v>
      </c>
      <c r="C1548" s="63">
        <v>1757929868184</v>
      </c>
      <c r="D1548" s="63" t="s">
        <v>4691</v>
      </c>
      <c r="E1548" t="s">
        <v>389</v>
      </c>
      <c r="F1548" t="s">
        <v>811</v>
      </c>
    </row>
    <row r="1549" spans="2:6" x14ac:dyDescent="0.3">
      <c r="B1549" s="63" t="s">
        <v>4659</v>
      </c>
      <c r="C1549" s="63">
        <v>1757929875744</v>
      </c>
      <c r="D1549" s="63" t="s">
        <v>4692</v>
      </c>
      <c r="E1549" t="s">
        <v>389</v>
      </c>
      <c r="F1549" t="s">
        <v>495</v>
      </c>
    </row>
    <row r="1550" spans="2:6" x14ac:dyDescent="0.3">
      <c r="B1550" s="63" t="s">
        <v>4659</v>
      </c>
      <c r="C1550" s="63">
        <v>1757929876996</v>
      </c>
      <c r="D1550" s="63" t="s">
        <v>4693</v>
      </c>
      <c r="E1550" t="s">
        <v>389</v>
      </c>
      <c r="F1550" t="s">
        <v>414</v>
      </c>
    </row>
    <row r="1551" spans="2:6" x14ac:dyDescent="0.3">
      <c r="B1551" s="63" t="s">
        <v>4659</v>
      </c>
      <c r="C1551" s="63">
        <v>1757929886839</v>
      </c>
      <c r="D1551" s="63" t="s">
        <v>4694</v>
      </c>
      <c r="E1551" t="s">
        <v>422</v>
      </c>
      <c r="F1551" t="s">
        <v>420</v>
      </c>
    </row>
    <row r="1552" spans="2:6" x14ac:dyDescent="0.3">
      <c r="B1552" s="63" t="s">
        <v>426</v>
      </c>
      <c r="C1552" s="63">
        <v>1757929904494</v>
      </c>
      <c r="D1552" s="63" t="s">
        <v>4695</v>
      </c>
      <c r="E1552" t="s">
        <v>428</v>
      </c>
      <c r="F1552" t="s">
        <v>453</v>
      </c>
    </row>
    <row r="1553" spans="2:6" x14ac:dyDescent="0.3">
      <c r="B1553" s="63" t="s">
        <v>4659</v>
      </c>
      <c r="C1553" s="63">
        <v>1757929914142</v>
      </c>
      <c r="D1553" s="63" t="s">
        <v>4696</v>
      </c>
      <c r="E1553" t="s">
        <v>424</v>
      </c>
      <c r="F1553" t="s">
        <v>457</v>
      </c>
    </row>
    <row r="1554" spans="2:6" x14ac:dyDescent="0.3">
      <c r="B1554" s="63" t="s">
        <v>426</v>
      </c>
      <c r="C1554" s="63">
        <v>1757929920002</v>
      </c>
      <c r="D1554" s="63" t="s">
        <v>4697</v>
      </c>
      <c r="E1554" t="s">
        <v>428</v>
      </c>
      <c r="F1554" t="s">
        <v>435</v>
      </c>
    </row>
    <row r="1555" spans="2:6" x14ac:dyDescent="0.3">
      <c r="B1555" s="63" t="s">
        <v>4659</v>
      </c>
      <c r="C1555" s="63">
        <v>1757929920068</v>
      </c>
      <c r="D1555" s="63" t="s">
        <v>4698</v>
      </c>
      <c r="E1555" t="s">
        <v>424</v>
      </c>
      <c r="F1555" t="s">
        <v>459</v>
      </c>
    </row>
    <row r="1556" spans="2:6" x14ac:dyDescent="0.3">
      <c r="B1556" s="63" t="s">
        <v>426</v>
      </c>
      <c r="C1556" s="63">
        <v>1757929935368</v>
      </c>
      <c r="D1556" s="63" t="s">
        <v>4699</v>
      </c>
      <c r="E1556" t="s">
        <v>428</v>
      </c>
      <c r="F1556" t="s">
        <v>437</v>
      </c>
    </row>
    <row r="1557" spans="2:6" x14ac:dyDescent="0.3">
      <c r="B1557" s="63" t="s">
        <v>4659</v>
      </c>
      <c r="C1557" s="63">
        <v>1757929942844</v>
      </c>
      <c r="D1557" s="63" t="s">
        <v>4700</v>
      </c>
      <c r="E1557" t="s">
        <v>424</v>
      </c>
      <c r="F1557" t="s">
        <v>461</v>
      </c>
    </row>
    <row r="1558" spans="2:6" x14ac:dyDescent="0.3">
      <c r="B1558" s="63" t="s">
        <v>426</v>
      </c>
      <c r="C1558" s="63">
        <v>1757929951681</v>
      </c>
      <c r="D1558" s="63" t="s">
        <v>4701</v>
      </c>
      <c r="E1558" t="s">
        <v>428</v>
      </c>
      <c r="F1558" t="s">
        <v>439</v>
      </c>
    </row>
    <row r="1559" spans="2:6" x14ac:dyDescent="0.3">
      <c r="B1559" s="63" t="s">
        <v>4659</v>
      </c>
      <c r="C1559" s="63">
        <v>1757929961365</v>
      </c>
      <c r="D1559" s="63" t="s">
        <v>4702</v>
      </c>
      <c r="E1559" t="s">
        <v>424</v>
      </c>
      <c r="F1559" t="s">
        <v>441</v>
      </c>
    </row>
    <row r="1560" spans="2:6" x14ac:dyDescent="0.3">
      <c r="B1560" s="63" t="s">
        <v>426</v>
      </c>
      <c r="C1560" s="63">
        <v>1757929970096</v>
      </c>
      <c r="D1560" s="63" t="s">
        <v>4703</v>
      </c>
      <c r="E1560" t="s">
        <v>428</v>
      </c>
      <c r="F1560" t="s">
        <v>429</v>
      </c>
    </row>
    <row r="1561" spans="2:6" x14ac:dyDescent="0.3">
      <c r="B1561" s="63" t="s">
        <v>426</v>
      </c>
      <c r="C1561" s="63">
        <v>1757929987779</v>
      </c>
      <c r="D1561" s="63" t="s">
        <v>4704</v>
      </c>
      <c r="E1561" t="s">
        <v>428</v>
      </c>
      <c r="F1561" t="s">
        <v>431</v>
      </c>
    </row>
    <row r="1562" spans="2:6" x14ac:dyDescent="0.3">
      <c r="B1562" s="63" t="s">
        <v>4659</v>
      </c>
      <c r="C1562" s="63">
        <v>1757929994210</v>
      </c>
      <c r="D1562" s="63" t="s">
        <v>4705</v>
      </c>
      <c r="E1562" t="s">
        <v>424</v>
      </c>
      <c r="F1562" t="s">
        <v>433</v>
      </c>
    </row>
    <row r="1563" spans="2:6" x14ac:dyDescent="0.3">
      <c r="B1563" s="63" t="s">
        <v>426</v>
      </c>
      <c r="C1563" s="63">
        <v>1757930003291</v>
      </c>
      <c r="D1563" s="63" t="s">
        <v>4706</v>
      </c>
      <c r="E1563" t="s">
        <v>428</v>
      </c>
      <c r="F1563" t="s">
        <v>538</v>
      </c>
    </row>
    <row r="1564" spans="2:6" x14ac:dyDescent="0.3">
      <c r="B1564" s="63" t="s">
        <v>4659</v>
      </c>
      <c r="C1564" s="63">
        <v>1757930006644</v>
      </c>
      <c r="D1564" s="63" t="s">
        <v>4707</v>
      </c>
      <c r="E1564" t="s">
        <v>424</v>
      </c>
      <c r="F1564" t="s">
        <v>445</v>
      </c>
    </row>
    <row r="1565" spans="2:6" x14ac:dyDescent="0.3">
      <c r="B1565" s="63" t="s">
        <v>4659</v>
      </c>
      <c r="C1565" s="63">
        <v>1757930016559</v>
      </c>
      <c r="D1565" s="63" t="s">
        <v>4708</v>
      </c>
      <c r="E1565" t="s">
        <v>424</v>
      </c>
      <c r="F1565" t="s">
        <v>841</v>
      </c>
    </row>
    <row r="1566" spans="2:6" x14ac:dyDescent="0.3">
      <c r="B1566" s="63" t="s">
        <v>426</v>
      </c>
      <c r="C1566" s="63">
        <v>1757930020262</v>
      </c>
      <c r="D1566" s="63" t="s">
        <v>4709</v>
      </c>
      <c r="E1566" t="s">
        <v>428</v>
      </c>
      <c r="F1566" t="s">
        <v>523</v>
      </c>
    </row>
    <row r="1567" spans="2:6" x14ac:dyDescent="0.3">
      <c r="B1567" s="63" t="s">
        <v>4659</v>
      </c>
      <c r="C1567" s="63">
        <v>1757930022964</v>
      </c>
      <c r="D1567" s="63" t="s">
        <v>4710</v>
      </c>
      <c r="E1567" t="s">
        <v>424</v>
      </c>
      <c r="F1567" t="s">
        <v>449</v>
      </c>
    </row>
    <row r="1568" spans="2:6" x14ac:dyDescent="0.3">
      <c r="B1568" s="63" t="s">
        <v>4659</v>
      </c>
      <c r="C1568" s="63">
        <v>1757930031987</v>
      </c>
      <c r="D1568" s="63" t="s">
        <v>4711</v>
      </c>
      <c r="E1568" t="s">
        <v>424</v>
      </c>
      <c r="F1568" t="s">
        <v>451</v>
      </c>
    </row>
    <row r="1569" spans="2:6" x14ac:dyDescent="0.3">
      <c r="B1569" s="63" t="s">
        <v>426</v>
      </c>
      <c r="C1569" s="63">
        <v>1757930041712</v>
      </c>
      <c r="D1569" s="63" t="s">
        <v>4712</v>
      </c>
      <c r="E1569" t="s">
        <v>428</v>
      </c>
      <c r="F1569" t="s">
        <v>455</v>
      </c>
    </row>
    <row r="1570" spans="2:6" x14ac:dyDescent="0.3">
      <c r="B1570" s="63" t="s">
        <v>4659</v>
      </c>
      <c r="C1570" s="63">
        <v>1757930042650</v>
      </c>
      <c r="D1570" s="63" t="s">
        <v>4713</v>
      </c>
      <c r="E1570" t="s">
        <v>463</v>
      </c>
      <c r="F1570" t="s">
        <v>464</v>
      </c>
    </row>
    <row r="1571" spans="2:6" x14ac:dyDescent="0.3">
      <c r="B1571" s="58" t="s">
        <v>4714</v>
      </c>
      <c r="C1571" s="58">
        <v>1757930052701</v>
      </c>
      <c r="D1571" s="58" t="s">
        <v>4715</v>
      </c>
      <c r="E1571" t="s">
        <v>416</v>
      </c>
      <c r="F1571" t="s">
        <v>466</v>
      </c>
    </row>
    <row r="1572" spans="2:6" x14ac:dyDescent="0.3">
      <c r="B1572" s="58" t="s">
        <v>4714</v>
      </c>
      <c r="C1572" s="58">
        <v>1757930052852</v>
      </c>
      <c r="D1572" s="58" t="s">
        <v>4716</v>
      </c>
      <c r="E1572" t="s">
        <v>468</v>
      </c>
      <c r="F1572" t="s">
        <v>4717</v>
      </c>
    </row>
    <row r="1573" spans="2:6" x14ac:dyDescent="0.3">
      <c r="B1573" s="58" t="s">
        <v>4714</v>
      </c>
      <c r="C1573" s="58">
        <v>1757930067327</v>
      </c>
      <c r="D1573" s="58" t="s">
        <v>4718</v>
      </c>
      <c r="E1573" t="s">
        <v>419</v>
      </c>
      <c r="F1573" t="s">
        <v>420</v>
      </c>
    </row>
    <row r="1574" spans="2:6" x14ac:dyDescent="0.3">
      <c r="B1574" s="58" t="s">
        <v>4714</v>
      </c>
      <c r="C1574" s="58">
        <v>1757930098249</v>
      </c>
      <c r="D1574" s="58" t="s">
        <v>4719</v>
      </c>
      <c r="E1574" t="s">
        <v>389</v>
      </c>
      <c r="F1574" t="s">
        <v>394</v>
      </c>
    </row>
    <row r="1575" spans="2:6" x14ac:dyDescent="0.3">
      <c r="B1575" s="58" t="s">
        <v>4714</v>
      </c>
      <c r="C1575" s="58">
        <v>1757930105620</v>
      </c>
      <c r="D1575" s="58" t="s">
        <v>4720</v>
      </c>
      <c r="E1575" t="s">
        <v>422</v>
      </c>
      <c r="F1575" t="s">
        <v>420</v>
      </c>
    </row>
    <row r="1576" spans="2:6" x14ac:dyDescent="0.3">
      <c r="B1576" s="58" t="s">
        <v>426</v>
      </c>
      <c r="C1576" s="58">
        <v>1757930120342</v>
      </c>
      <c r="D1576" s="58" t="s">
        <v>4721</v>
      </c>
      <c r="E1576" t="s">
        <v>428</v>
      </c>
      <c r="F1576" t="s">
        <v>453</v>
      </c>
    </row>
    <row r="1577" spans="2:6" x14ac:dyDescent="0.3">
      <c r="B1577" s="58" t="s">
        <v>4714</v>
      </c>
      <c r="C1577" s="58">
        <v>1757930135003</v>
      </c>
      <c r="D1577" s="58" t="s">
        <v>4722</v>
      </c>
      <c r="E1577" t="s">
        <v>424</v>
      </c>
      <c r="F1577" t="s">
        <v>457</v>
      </c>
    </row>
    <row r="1578" spans="2:6" x14ac:dyDescent="0.3">
      <c r="B1578" s="58" t="s">
        <v>426</v>
      </c>
      <c r="C1578" s="58">
        <v>1757930139521</v>
      </c>
      <c r="D1578" s="58" t="s">
        <v>4723</v>
      </c>
      <c r="E1578" t="s">
        <v>428</v>
      </c>
      <c r="F1578" t="s">
        <v>435</v>
      </c>
    </row>
    <row r="1579" spans="2:6" x14ac:dyDescent="0.3">
      <c r="B1579" s="58" t="s">
        <v>4714</v>
      </c>
      <c r="C1579" s="58">
        <v>1757930144350</v>
      </c>
      <c r="D1579" s="58" t="s">
        <v>4724</v>
      </c>
      <c r="E1579" t="s">
        <v>424</v>
      </c>
      <c r="F1579" t="s">
        <v>459</v>
      </c>
    </row>
    <row r="1580" spans="2:6" x14ac:dyDescent="0.3">
      <c r="B1580" s="58" t="s">
        <v>426</v>
      </c>
      <c r="C1580" s="58">
        <v>1757930158797</v>
      </c>
      <c r="D1580" s="58" t="s">
        <v>4725</v>
      </c>
      <c r="E1580" t="s">
        <v>428</v>
      </c>
      <c r="F1580" t="s">
        <v>437</v>
      </c>
    </row>
    <row r="1581" spans="2:6" x14ac:dyDescent="0.3">
      <c r="B1581" s="58" t="s">
        <v>4714</v>
      </c>
      <c r="C1581" s="58">
        <v>1757930159761</v>
      </c>
      <c r="D1581" s="58" t="s">
        <v>4726</v>
      </c>
      <c r="E1581" t="s">
        <v>424</v>
      </c>
      <c r="F1581" t="s">
        <v>461</v>
      </c>
    </row>
    <row r="1582" spans="2:6" x14ac:dyDescent="0.3">
      <c r="B1582" s="58" t="s">
        <v>426</v>
      </c>
      <c r="C1582" s="58">
        <v>1757930177306</v>
      </c>
      <c r="D1582" s="58" t="s">
        <v>4727</v>
      </c>
      <c r="E1582" t="s">
        <v>428</v>
      </c>
      <c r="F1582" t="s">
        <v>439</v>
      </c>
    </row>
    <row r="1583" spans="2:6" x14ac:dyDescent="0.3">
      <c r="B1583" s="58" t="s">
        <v>4714</v>
      </c>
      <c r="C1583" s="58">
        <v>1757930183439</v>
      </c>
      <c r="D1583" s="58" t="s">
        <v>4728</v>
      </c>
      <c r="E1583" t="s">
        <v>424</v>
      </c>
      <c r="F1583" t="s">
        <v>441</v>
      </c>
    </row>
    <row r="1584" spans="2:6" x14ac:dyDescent="0.3">
      <c r="B1584" s="58" t="s">
        <v>4714</v>
      </c>
      <c r="C1584" s="58">
        <v>1757930190736</v>
      </c>
      <c r="D1584" s="58" t="s">
        <v>4729</v>
      </c>
      <c r="E1584" t="s">
        <v>424</v>
      </c>
      <c r="F1584" t="s">
        <v>841</v>
      </c>
    </row>
    <row r="1585" spans="1:6" x14ac:dyDescent="0.3">
      <c r="B1585" s="58" t="s">
        <v>426</v>
      </c>
      <c r="C1585" s="58">
        <v>1757930192770</v>
      </c>
      <c r="D1585" s="58" t="s">
        <v>4730</v>
      </c>
      <c r="E1585" t="s">
        <v>428</v>
      </c>
      <c r="F1585" t="s">
        <v>429</v>
      </c>
    </row>
    <row r="1586" spans="1:6" x14ac:dyDescent="0.3">
      <c r="B1586" s="58" t="s">
        <v>4714</v>
      </c>
      <c r="C1586" s="58">
        <v>1757930196912</v>
      </c>
      <c r="D1586" s="58" t="s">
        <v>4731</v>
      </c>
      <c r="E1586" s="58" t="s">
        <v>424</v>
      </c>
      <c r="F1586" s="58" t="s">
        <v>449</v>
      </c>
    </row>
    <row r="1587" spans="1:6" x14ac:dyDescent="0.3">
      <c r="B1587" s="58" t="s">
        <v>4714</v>
      </c>
      <c r="C1587" s="58">
        <v>1757930203623</v>
      </c>
      <c r="D1587" s="58" t="s">
        <v>4732</v>
      </c>
      <c r="E1587" s="58" t="s">
        <v>424</v>
      </c>
      <c r="F1587" s="58" t="s">
        <v>451</v>
      </c>
    </row>
    <row r="1588" spans="1:6" x14ac:dyDescent="0.3">
      <c r="B1588" s="58" t="s">
        <v>426</v>
      </c>
      <c r="C1588" s="58">
        <v>1757930207551</v>
      </c>
      <c r="D1588" s="58" t="s">
        <v>4733</v>
      </c>
      <c r="E1588" s="58" t="s">
        <v>428</v>
      </c>
      <c r="F1588" s="58" t="s">
        <v>431</v>
      </c>
    </row>
    <row r="1589" spans="1:6" x14ac:dyDescent="0.3">
      <c r="B1589" s="58" t="s">
        <v>4714</v>
      </c>
      <c r="C1589" s="58">
        <v>1757930215818</v>
      </c>
      <c r="D1589" s="58" t="s">
        <v>4734</v>
      </c>
      <c r="E1589" s="58" t="s">
        <v>424</v>
      </c>
      <c r="F1589" s="58" t="s">
        <v>433</v>
      </c>
    </row>
    <row r="1590" spans="1:6" x14ac:dyDescent="0.3">
      <c r="B1590" s="58" t="s">
        <v>426</v>
      </c>
      <c r="C1590" s="58">
        <v>1757930223782</v>
      </c>
      <c r="D1590" s="58" t="s">
        <v>4735</v>
      </c>
      <c r="E1590" s="58" t="s">
        <v>428</v>
      </c>
      <c r="F1590" s="58" t="s">
        <v>538</v>
      </c>
    </row>
    <row r="1591" spans="1:6" x14ac:dyDescent="0.3">
      <c r="B1591" s="58" t="s">
        <v>4714</v>
      </c>
      <c r="C1591" s="58">
        <v>1757930225615</v>
      </c>
      <c r="D1591" s="58" t="s">
        <v>4736</v>
      </c>
      <c r="E1591" s="58" t="s">
        <v>424</v>
      </c>
      <c r="F1591" s="58" t="s">
        <v>445</v>
      </c>
    </row>
    <row r="1592" spans="1:6" x14ac:dyDescent="0.3">
      <c r="B1592" s="58" t="s">
        <v>4714</v>
      </c>
      <c r="C1592" s="58">
        <v>1757930236926</v>
      </c>
      <c r="D1592" s="58" t="s">
        <v>4737</v>
      </c>
      <c r="E1592" s="58" t="s">
        <v>424</v>
      </c>
      <c r="F1592" s="58" t="s">
        <v>425</v>
      </c>
    </row>
    <row r="1593" spans="1:6" x14ac:dyDescent="0.3">
      <c r="B1593" s="58" t="s">
        <v>426</v>
      </c>
      <c r="C1593" s="58">
        <v>1757930244366</v>
      </c>
      <c r="D1593" s="58" t="s">
        <v>4738</v>
      </c>
      <c r="E1593" s="58" t="s">
        <v>428</v>
      </c>
      <c r="F1593" s="58" t="s">
        <v>455</v>
      </c>
    </row>
    <row r="1594" spans="1:6" x14ac:dyDescent="0.3">
      <c r="B1594" s="58" t="s">
        <v>4714</v>
      </c>
      <c r="C1594" s="58">
        <v>1757930244425</v>
      </c>
      <c r="D1594" s="58" t="s">
        <v>4739</v>
      </c>
      <c r="E1594" s="58" t="s">
        <v>463</v>
      </c>
      <c r="F1594" s="58" t="s">
        <v>464</v>
      </c>
    </row>
    <row r="1595" spans="1:6" ht="21" x14ac:dyDescent="0.4">
      <c r="A1595" s="69" t="s">
        <v>57</v>
      </c>
      <c r="B1595" s="63" t="s">
        <v>4908</v>
      </c>
      <c r="C1595" s="63">
        <v>1757937330953</v>
      </c>
      <c r="D1595" s="63" t="s">
        <v>4909</v>
      </c>
      <c r="E1595" s="63" t="s">
        <v>416</v>
      </c>
    </row>
    <row r="1596" spans="1:6" x14ac:dyDescent="0.3">
      <c r="B1596" s="63" t="s">
        <v>4908</v>
      </c>
      <c r="C1596" s="63">
        <v>1757937331454</v>
      </c>
      <c r="D1596" s="63" t="s">
        <v>4910</v>
      </c>
      <c r="E1596" s="63" t="s">
        <v>419</v>
      </c>
    </row>
    <row r="1597" spans="1:6" x14ac:dyDescent="0.3">
      <c r="B1597" s="63" t="s">
        <v>4908</v>
      </c>
      <c r="C1597" s="63">
        <v>1757937345081</v>
      </c>
      <c r="D1597" s="63" t="s">
        <v>4911</v>
      </c>
      <c r="E1597" s="63" t="s">
        <v>389</v>
      </c>
    </row>
    <row r="1598" spans="1:6" x14ac:dyDescent="0.3">
      <c r="B1598" s="63" t="s">
        <v>4908</v>
      </c>
      <c r="C1598" s="63">
        <v>1757937345146</v>
      </c>
      <c r="D1598" s="63" t="s">
        <v>4912</v>
      </c>
      <c r="E1598" s="63" t="s">
        <v>389</v>
      </c>
    </row>
    <row r="1599" spans="1:6" x14ac:dyDescent="0.3">
      <c r="B1599" s="63" t="s">
        <v>4908</v>
      </c>
      <c r="C1599" s="63">
        <v>1757937345225</v>
      </c>
      <c r="D1599" s="63" t="s">
        <v>4913</v>
      </c>
      <c r="E1599" s="63" t="s">
        <v>389</v>
      </c>
    </row>
    <row r="1600" spans="1:6" x14ac:dyDescent="0.3">
      <c r="B1600" s="63" t="s">
        <v>4908</v>
      </c>
      <c r="C1600" s="63">
        <v>1757937345313</v>
      </c>
      <c r="D1600" s="63" t="s">
        <v>4914</v>
      </c>
      <c r="E1600" s="63" t="s">
        <v>389</v>
      </c>
    </row>
    <row r="1601" spans="2:5" x14ac:dyDescent="0.3">
      <c r="B1601" s="63" t="s">
        <v>4908</v>
      </c>
      <c r="C1601" s="63">
        <v>1757937345385</v>
      </c>
      <c r="D1601" s="63" t="s">
        <v>4915</v>
      </c>
      <c r="E1601" s="63" t="s">
        <v>389</v>
      </c>
    </row>
    <row r="1602" spans="2:5" x14ac:dyDescent="0.3">
      <c r="B1602" s="63" t="s">
        <v>4908</v>
      </c>
      <c r="C1602" s="63">
        <v>1757937345439</v>
      </c>
      <c r="D1602" s="63" t="s">
        <v>4916</v>
      </c>
      <c r="E1602" s="63" t="s">
        <v>389</v>
      </c>
    </row>
    <row r="1603" spans="2:5" x14ac:dyDescent="0.3">
      <c r="B1603" s="63" t="s">
        <v>4908</v>
      </c>
      <c r="C1603" s="63">
        <v>1757937345643</v>
      </c>
      <c r="D1603" s="63" t="s">
        <v>4917</v>
      </c>
      <c r="E1603" s="63" t="s">
        <v>389</v>
      </c>
    </row>
    <row r="1604" spans="2:5" x14ac:dyDescent="0.3">
      <c r="B1604" s="63" t="s">
        <v>4908</v>
      </c>
      <c r="C1604" s="63">
        <v>1757937346657</v>
      </c>
      <c r="D1604" s="63" t="s">
        <v>4918</v>
      </c>
      <c r="E1604" s="63" t="s">
        <v>389</v>
      </c>
    </row>
    <row r="1605" spans="2:5" x14ac:dyDescent="0.3">
      <c r="B1605" s="63" t="s">
        <v>4908</v>
      </c>
      <c r="C1605" s="63">
        <v>1757937360877</v>
      </c>
      <c r="D1605" s="63" t="s">
        <v>4919</v>
      </c>
      <c r="E1605" s="63" t="s">
        <v>389</v>
      </c>
    </row>
    <row r="1606" spans="2:5" x14ac:dyDescent="0.3">
      <c r="B1606" s="63" t="s">
        <v>4908</v>
      </c>
      <c r="C1606" s="63">
        <v>1757937367477</v>
      </c>
      <c r="D1606" s="63" t="s">
        <v>4920</v>
      </c>
      <c r="E1606" s="63" t="s">
        <v>389</v>
      </c>
    </row>
    <row r="1607" spans="2:5" x14ac:dyDescent="0.3">
      <c r="B1607" s="63" t="s">
        <v>4908</v>
      </c>
      <c r="C1607" s="63">
        <v>1757937369743</v>
      </c>
      <c r="D1607" s="63" t="s">
        <v>4921</v>
      </c>
      <c r="E1607" s="63" t="s">
        <v>389</v>
      </c>
    </row>
    <row r="1608" spans="2:5" x14ac:dyDescent="0.3">
      <c r="B1608" s="63" t="s">
        <v>4908</v>
      </c>
      <c r="C1608" s="63">
        <v>1757937370478</v>
      </c>
      <c r="D1608" s="63" t="s">
        <v>4922</v>
      </c>
      <c r="E1608" s="63" t="s">
        <v>389</v>
      </c>
    </row>
    <row r="1609" spans="2:5" x14ac:dyDescent="0.3">
      <c r="B1609" s="63" t="s">
        <v>4908</v>
      </c>
      <c r="C1609" s="63">
        <v>1757937377245</v>
      </c>
      <c r="D1609" s="63" t="s">
        <v>4923</v>
      </c>
      <c r="E1609" s="63" t="s">
        <v>389</v>
      </c>
    </row>
    <row r="1610" spans="2:5" x14ac:dyDescent="0.3">
      <c r="B1610" s="63" t="s">
        <v>4908</v>
      </c>
      <c r="C1610" s="63">
        <v>1757937379679</v>
      </c>
      <c r="D1610" s="63" t="s">
        <v>4924</v>
      </c>
      <c r="E1610" s="63" t="s">
        <v>389</v>
      </c>
    </row>
    <row r="1611" spans="2:5" x14ac:dyDescent="0.3">
      <c r="B1611" s="63" t="s">
        <v>4908</v>
      </c>
      <c r="C1611" s="63">
        <v>1757937381743</v>
      </c>
      <c r="D1611" s="63" t="s">
        <v>4925</v>
      </c>
      <c r="E1611" s="63" t="s">
        <v>389</v>
      </c>
    </row>
    <row r="1612" spans="2:5" x14ac:dyDescent="0.3">
      <c r="B1612" s="63" t="s">
        <v>4908</v>
      </c>
      <c r="C1612" s="63">
        <v>1757937386407</v>
      </c>
      <c r="D1612" s="63" t="s">
        <v>4926</v>
      </c>
      <c r="E1612" s="63" t="s">
        <v>389</v>
      </c>
    </row>
    <row r="1613" spans="2:5" x14ac:dyDescent="0.3">
      <c r="B1613" s="63" t="s">
        <v>4908</v>
      </c>
      <c r="C1613" s="63">
        <v>1757937388727</v>
      </c>
      <c r="D1613" s="63" t="s">
        <v>4927</v>
      </c>
      <c r="E1613" s="63" t="s">
        <v>389</v>
      </c>
    </row>
    <row r="1614" spans="2:5" x14ac:dyDescent="0.3">
      <c r="B1614" s="63" t="s">
        <v>4908</v>
      </c>
      <c r="C1614" s="63">
        <v>1757937390150</v>
      </c>
      <c r="D1614" s="63" t="s">
        <v>4928</v>
      </c>
      <c r="E1614" s="63" t="s">
        <v>389</v>
      </c>
    </row>
    <row r="1615" spans="2:5" x14ac:dyDescent="0.3">
      <c r="B1615" s="63" t="s">
        <v>4908</v>
      </c>
      <c r="C1615" s="63">
        <v>1757937391867</v>
      </c>
      <c r="D1615" s="63" t="s">
        <v>4929</v>
      </c>
      <c r="E1615" s="63" t="s">
        <v>389</v>
      </c>
    </row>
    <row r="1616" spans="2:5" x14ac:dyDescent="0.3">
      <c r="B1616" s="63" t="s">
        <v>4908</v>
      </c>
      <c r="C1616" s="63">
        <v>1757937396563</v>
      </c>
      <c r="D1616" s="63" t="s">
        <v>4930</v>
      </c>
      <c r="E1616" s="63" t="s">
        <v>389</v>
      </c>
    </row>
    <row r="1617" spans="2:5" x14ac:dyDescent="0.3">
      <c r="B1617" s="63" t="s">
        <v>4908</v>
      </c>
      <c r="C1617" s="63">
        <v>1757937397562</v>
      </c>
      <c r="D1617" s="63" t="s">
        <v>4931</v>
      </c>
      <c r="E1617" s="63" t="s">
        <v>389</v>
      </c>
    </row>
    <row r="1618" spans="2:5" x14ac:dyDescent="0.3">
      <c r="B1618" s="63" t="s">
        <v>4908</v>
      </c>
      <c r="C1618" s="63">
        <v>1757937405630</v>
      </c>
      <c r="D1618" s="63" t="s">
        <v>4932</v>
      </c>
      <c r="E1618" s="63" t="s">
        <v>389</v>
      </c>
    </row>
    <row r="1619" spans="2:5" x14ac:dyDescent="0.3">
      <c r="B1619" s="63" t="s">
        <v>4908</v>
      </c>
      <c r="C1619" s="63">
        <v>1757937409215</v>
      </c>
      <c r="D1619" s="63" t="s">
        <v>4933</v>
      </c>
      <c r="E1619" s="63" t="s">
        <v>422</v>
      </c>
    </row>
    <row r="1620" spans="2:5" x14ac:dyDescent="0.3">
      <c r="B1620" s="63" t="s">
        <v>426</v>
      </c>
      <c r="C1620" s="63">
        <v>1757937424701</v>
      </c>
      <c r="D1620" s="63" t="s">
        <v>4934</v>
      </c>
      <c r="E1620" s="63" t="s">
        <v>428</v>
      </c>
    </row>
    <row r="1621" spans="2:5" x14ac:dyDescent="0.3">
      <c r="B1621" s="63" t="s">
        <v>4908</v>
      </c>
      <c r="C1621" s="63">
        <v>1757937431473</v>
      </c>
      <c r="D1621" s="63" t="s">
        <v>4935</v>
      </c>
      <c r="E1621" s="63" t="s">
        <v>424</v>
      </c>
    </row>
    <row r="1622" spans="2:5" x14ac:dyDescent="0.3">
      <c r="B1622" s="63" t="s">
        <v>4908</v>
      </c>
      <c r="C1622" s="63">
        <v>1757937438613</v>
      </c>
      <c r="D1622" s="63" t="s">
        <v>4936</v>
      </c>
      <c r="E1622" s="63" t="s">
        <v>424</v>
      </c>
    </row>
    <row r="1623" spans="2:5" x14ac:dyDescent="0.3">
      <c r="B1623" s="63" t="s">
        <v>426</v>
      </c>
      <c r="C1623" s="63">
        <v>1757937442478</v>
      </c>
      <c r="D1623" s="63" t="s">
        <v>4937</v>
      </c>
      <c r="E1623" s="63" t="s">
        <v>428</v>
      </c>
    </row>
    <row r="1624" spans="2:5" x14ac:dyDescent="0.3">
      <c r="B1624" s="63" t="s">
        <v>4908</v>
      </c>
      <c r="C1624" s="63">
        <v>1757937452129</v>
      </c>
      <c r="D1624" s="63" t="s">
        <v>4938</v>
      </c>
      <c r="E1624" s="63" t="s">
        <v>424</v>
      </c>
    </row>
    <row r="1625" spans="2:5" x14ac:dyDescent="0.3">
      <c r="B1625" s="63" t="s">
        <v>4908</v>
      </c>
      <c r="C1625" s="63">
        <v>1757937456977</v>
      </c>
      <c r="D1625" s="63" t="s">
        <v>4939</v>
      </c>
      <c r="E1625" s="63" t="s">
        <v>424</v>
      </c>
    </row>
    <row r="1626" spans="2:5" x14ac:dyDescent="0.3">
      <c r="B1626" s="63" t="s">
        <v>426</v>
      </c>
      <c r="C1626" s="63">
        <v>1757937457959</v>
      </c>
      <c r="D1626" s="63" t="s">
        <v>4940</v>
      </c>
      <c r="E1626" s="63" t="s">
        <v>428</v>
      </c>
    </row>
    <row r="1627" spans="2:5" x14ac:dyDescent="0.3">
      <c r="B1627" s="63" t="s">
        <v>4908</v>
      </c>
      <c r="C1627" s="63">
        <v>1757937464639</v>
      </c>
      <c r="D1627" s="63" t="s">
        <v>4941</v>
      </c>
      <c r="E1627" s="63" t="s">
        <v>424</v>
      </c>
    </row>
    <row r="1628" spans="2:5" x14ac:dyDescent="0.3">
      <c r="B1628" s="63" t="s">
        <v>4908</v>
      </c>
      <c r="C1628" s="63">
        <v>1757937470384</v>
      </c>
      <c r="D1628" s="63" t="s">
        <v>4942</v>
      </c>
      <c r="E1628" s="63" t="s">
        <v>424</v>
      </c>
    </row>
    <row r="1629" spans="2:5" x14ac:dyDescent="0.3">
      <c r="B1629" s="63" t="s">
        <v>426</v>
      </c>
      <c r="C1629" s="63">
        <v>1757937475633</v>
      </c>
      <c r="D1629" s="63" t="s">
        <v>4943</v>
      </c>
      <c r="E1629" s="63" t="s">
        <v>428</v>
      </c>
    </row>
    <row r="1630" spans="2:5" x14ac:dyDescent="0.3">
      <c r="B1630" s="63" t="s">
        <v>4908</v>
      </c>
      <c r="C1630" s="63">
        <v>1757937484771</v>
      </c>
      <c r="D1630" s="63" t="s">
        <v>4944</v>
      </c>
      <c r="E1630" s="63" t="s">
        <v>424</v>
      </c>
    </row>
    <row r="1631" spans="2:5" x14ac:dyDescent="0.3">
      <c r="B1631" s="63" t="s">
        <v>426</v>
      </c>
      <c r="C1631" s="63">
        <v>1757937492504</v>
      </c>
      <c r="D1631" s="63" t="s">
        <v>4945</v>
      </c>
      <c r="E1631" s="63" t="s">
        <v>428</v>
      </c>
    </row>
    <row r="1632" spans="2:5" x14ac:dyDescent="0.3">
      <c r="B1632" s="63" t="s">
        <v>4908</v>
      </c>
      <c r="C1632" s="63">
        <v>1757937497317</v>
      </c>
      <c r="D1632" s="63" t="s">
        <v>4946</v>
      </c>
      <c r="E1632" s="63" t="s">
        <v>424</v>
      </c>
    </row>
    <row r="1633" spans="2:5" x14ac:dyDescent="0.3">
      <c r="B1633" s="63" t="s">
        <v>4908</v>
      </c>
      <c r="C1633" s="63">
        <v>1757937498991</v>
      </c>
      <c r="D1633" s="63" t="s">
        <v>4947</v>
      </c>
      <c r="E1633" s="63" t="s">
        <v>424</v>
      </c>
    </row>
    <row r="1634" spans="2:5" x14ac:dyDescent="0.3">
      <c r="B1634" s="63" t="s">
        <v>4908</v>
      </c>
      <c r="C1634" s="63">
        <v>1757937504109</v>
      </c>
      <c r="D1634" s="63" t="s">
        <v>4948</v>
      </c>
      <c r="E1634" s="63" t="s">
        <v>424</v>
      </c>
    </row>
    <row r="1635" spans="2:5" x14ac:dyDescent="0.3">
      <c r="B1635" s="63" t="s">
        <v>4908</v>
      </c>
      <c r="C1635" s="63">
        <v>1757937511815</v>
      </c>
      <c r="D1635" s="63" t="s">
        <v>4949</v>
      </c>
      <c r="E1635" s="63" t="s">
        <v>424</v>
      </c>
    </row>
    <row r="1636" spans="2:5" x14ac:dyDescent="0.3">
      <c r="B1636" s="63" t="s">
        <v>4908</v>
      </c>
      <c r="C1636" s="63">
        <v>1757937512506</v>
      </c>
      <c r="D1636" s="63" t="s">
        <v>4950</v>
      </c>
      <c r="E1636" s="63" t="s">
        <v>424</v>
      </c>
    </row>
    <row r="1637" spans="2:5" x14ac:dyDescent="0.3">
      <c r="B1637" s="63" t="s">
        <v>426</v>
      </c>
      <c r="C1637" s="63">
        <v>1757937513822</v>
      </c>
      <c r="D1637" s="63" t="s">
        <v>4951</v>
      </c>
      <c r="E1637" s="63" t="s">
        <v>428</v>
      </c>
    </row>
    <row r="1638" spans="2:5" x14ac:dyDescent="0.3">
      <c r="B1638" s="63" t="s">
        <v>4908</v>
      </c>
      <c r="C1638" s="63">
        <v>1757937514901</v>
      </c>
      <c r="D1638" s="63" t="s">
        <v>4952</v>
      </c>
      <c r="E1638" s="63" t="s">
        <v>463</v>
      </c>
    </row>
    <row r="1639" spans="2:5" x14ac:dyDescent="0.3">
      <c r="B1639" s="58" t="s">
        <v>4953</v>
      </c>
      <c r="C1639" s="58">
        <v>1757937526339</v>
      </c>
      <c r="D1639" s="58" t="s">
        <v>4954</v>
      </c>
      <c r="E1639" s="58" t="s">
        <v>416</v>
      </c>
    </row>
    <row r="1640" spans="2:5" x14ac:dyDescent="0.3">
      <c r="B1640" s="58" t="s">
        <v>4953</v>
      </c>
      <c r="C1640" s="58">
        <v>1757937526487</v>
      </c>
      <c r="D1640" s="58" t="s">
        <v>4955</v>
      </c>
      <c r="E1640" s="58" t="s">
        <v>468</v>
      </c>
    </row>
    <row r="1641" spans="2:5" x14ac:dyDescent="0.3">
      <c r="B1641" s="58" t="s">
        <v>4953</v>
      </c>
      <c r="C1641" s="58">
        <v>1757937540781</v>
      </c>
      <c r="D1641" s="58" t="s">
        <v>4956</v>
      </c>
      <c r="E1641" s="58" t="s">
        <v>419</v>
      </c>
    </row>
    <row r="1642" spans="2:5" x14ac:dyDescent="0.3">
      <c r="B1642" s="58" t="s">
        <v>4953</v>
      </c>
      <c r="C1642" s="58">
        <v>1757937555163</v>
      </c>
      <c r="D1642" s="58" t="s">
        <v>4957</v>
      </c>
      <c r="E1642" s="58" t="s">
        <v>422</v>
      </c>
    </row>
    <row r="1643" spans="2:5" x14ac:dyDescent="0.3">
      <c r="B1643" s="58" t="s">
        <v>426</v>
      </c>
      <c r="C1643" s="58">
        <v>1757937574894</v>
      </c>
      <c r="D1643" s="58" t="s">
        <v>4958</v>
      </c>
      <c r="E1643" s="58" t="s">
        <v>428</v>
      </c>
    </row>
    <row r="1644" spans="2:5" x14ac:dyDescent="0.3">
      <c r="B1644" s="58" t="s">
        <v>4953</v>
      </c>
      <c r="C1644" s="58">
        <v>1757937579398</v>
      </c>
      <c r="D1644" s="58" t="s">
        <v>4959</v>
      </c>
      <c r="E1644" s="58" t="s">
        <v>424</v>
      </c>
    </row>
    <row r="1645" spans="2:5" x14ac:dyDescent="0.3">
      <c r="B1645" s="58" t="s">
        <v>4953</v>
      </c>
      <c r="C1645" s="58">
        <v>1757937583006</v>
      </c>
      <c r="D1645" s="58" t="s">
        <v>4960</v>
      </c>
      <c r="E1645" s="58" t="s">
        <v>424</v>
      </c>
    </row>
    <row r="1646" spans="2:5" x14ac:dyDescent="0.3">
      <c r="B1646" s="58" t="s">
        <v>426</v>
      </c>
      <c r="C1646" s="58">
        <v>1757937590380</v>
      </c>
      <c r="D1646" s="58" t="s">
        <v>4961</v>
      </c>
      <c r="E1646" s="58" t="s">
        <v>428</v>
      </c>
    </row>
    <row r="1647" spans="2:5" x14ac:dyDescent="0.3">
      <c r="B1647" s="58" t="s">
        <v>4953</v>
      </c>
      <c r="C1647" s="58">
        <v>1757937594955</v>
      </c>
      <c r="D1647" s="58" t="s">
        <v>4962</v>
      </c>
      <c r="E1647" s="58" t="s">
        <v>424</v>
      </c>
    </row>
    <row r="1648" spans="2:5" x14ac:dyDescent="0.3">
      <c r="B1648" s="58" t="s">
        <v>4953</v>
      </c>
      <c r="C1648" s="58">
        <v>1757937599033</v>
      </c>
      <c r="D1648" s="58" t="s">
        <v>4963</v>
      </c>
      <c r="E1648" s="58" t="s">
        <v>424</v>
      </c>
    </row>
    <row r="1649" spans="1:6" x14ac:dyDescent="0.3">
      <c r="B1649" s="58" t="s">
        <v>4953</v>
      </c>
      <c r="C1649" s="58">
        <v>1757937606170</v>
      </c>
      <c r="D1649" s="58" t="s">
        <v>4964</v>
      </c>
      <c r="E1649" s="58" t="s">
        <v>424</v>
      </c>
    </row>
    <row r="1650" spans="1:6" x14ac:dyDescent="0.3">
      <c r="B1650" s="58" t="s">
        <v>426</v>
      </c>
      <c r="C1650" s="58">
        <v>1757937606554</v>
      </c>
      <c r="D1650" s="58" t="s">
        <v>4965</v>
      </c>
      <c r="E1650" s="58" t="s">
        <v>428</v>
      </c>
    </row>
    <row r="1651" spans="1:6" x14ac:dyDescent="0.3">
      <c r="B1651" s="58" t="s">
        <v>4953</v>
      </c>
      <c r="C1651" s="58">
        <v>1757937613178</v>
      </c>
      <c r="D1651" s="58" t="s">
        <v>4966</v>
      </c>
      <c r="E1651" s="58" t="s">
        <v>424</v>
      </c>
    </row>
    <row r="1652" spans="1:6" x14ac:dyDescent="0.3">
      <c r="B1652" s="58" t="s">
        <v>426</v>
      </c>
      <c r="C1652" s="58">
        <v>1757937620658</v>
      </c>
      <c r="D1652" s="58" t="s">
        <v>4967</v>
      </c>
      <c r="E1652" s="58" t="s">
        <v>428</v>
      </c>
    </row>
    <row r="1653" spans="1:6" x14ac:dyDescent="0.3">
      <c r="B1653" s="58" t="s">
        <v>4953</v>
      </c>
      <c r="C1653" s="58">
        <v>1757937636363</v>
      </c>
      <c r="D1653" s="58" t="s">
        <v>4968</v>
      </c>
      <c r="E1653" s="58" t="s">
        <v>424</v>
      </c>
    </row>
    <row r="1654" spans="1:6" x14ac:dyDescent="0.3">
      <c r="B1654" s="58" t="s">
        <v>426</v>
      </c>
      <c r="C1654" s="58">
        <v>1757937638251</v>
      </c>
      <c r="D1654" s="58" t="s">
        <v>4969</v>
      </c>
      <c r="E1654" s="58" t="s">
        <v>428</v>
      </c>
    </row>
    <row r="1655" spans="1:6" x14ac:dyDescent="0.3">
      <c r="B1655" s="58" t="s">
        <v>4953</v>
      </c>
      <c r="C1655" s="58">
        <v>1757937656541</v>
      </c>
      <c r="D1655" s="58" t="s">
        <v>4970</v>
      </c>
      <c r="E1655" s="58" t="s">
        <v>424</v>
      </c>
    </row>
    <row r="1656" spans="1:6" x14ac:dyDescent="0.3">
      <c r="B1656" s="58" t="s">
        <v>4953</v>
      </c>
      <c r="C1656" s="58">
        <v>1757937658926</v>
      </c>
      <c r="D1656" s="58" t="s">
        <v>4971</v>
      </c>
      <c r="E1656" s="58" t="s">
        <v>424</v>
      </c>
    </row>
    <row r="1657" spans="1:6" x14ac:dyDescent="0.3">
      <c r="B1657" s="58" t="s">
        <v>426</v>
      </c>
      <c r="C1657" s="58">
        <v>1757937659593</v>
      </c>
      <c r="D1657" s="58" t="s">
        <v>4972</v>
      </c>
      <c r="E1657" s="58" t="s">
        <v>428</v>
      </c>
    </row>
    <row r="1658" spans="1:6" x14ac:dyDescent="0.3">
      <c r="B1658" s="58" t="s">
        <v>4953</v>
      </c>
      <c r="C1658" s="58">
        <v>1757937666154</v>
      </c>
      <c r="D1658" s="58" t="s">
        <v>4973</v>
      </c>
      <c r="E1658" s="58" t="s">
        <v>424</v>
      </c>
    </row>
    <row r="1659" spans="1:6" x14ac:dyDescent="0.3">
      <c r="B1659" s="58" t="s">
        <v>4953</v>
      </c>
      <c r="C1659" s="58">
        <v>1757937666995</v>
      </c>
      <c r="D1659" s="58" t="s">
        <v>4974</v>
      </c>
      <c r="E1659" s="58" t="s">
        <v>424</v>
      </c>
    </row>
    <row r="1660" spans="1:6" x14ac:dyDescent="0.3">
      <c r="B1660" s="58" t="s">
        <v>4953</v>
      </c>
      <c r="C1660" s="58">
        <v>1757937669600</v>
      </c>
      <c r="D1660" s="58" t="s">
        <v>4975</v>
      </c>
      <c r="E1660" s="58" t="s">
        <v>424</v>
      </c>
    </row>
    <row r="1661" spans="1:6" x14ac:dyDescent="0.3">
      <c r="B1661" s="58" t="s">
        <v>4953</v>
      </c>
      <c r="C1661" s="58">
        <v>1757937670628</v>
      </c>
      <c r="D1661" s="58" t="s">
        <v>4976</v>
      </c>
      <c r="E1661" s="58" t="s">
        <v>463</v>
      </c>
    </row>
    <row r="1662" spans="1:6" ht="21" x14ac:dyDescent="0.4">
      <c r="A1662" s="69" t="s">
        <v>58</v>
      </c>
      <c r="B1662" s="63" t="s">
        <v>4977</v>
      </c>
      <c r="C1662" s="63">
        <v>1758015200044</v>
      </c>
      <c r="D1662" s="63" t="s">
        <v>4978</v>
      </c>
      <c r="E1662" s="63" t="s">
        <v>416</v>
      </c>
      <c r="F1662" s="63" t="s">
        <v>417</v>
      </c>
    </row>
    <row r="1663" spans="1:6" x14ac:dyDescent="0.3">
      <c r="B1663" s="63" t="s">
        <v>4977</v>
      </c>
      <c r="C1663" s="63">
        <v>1758015200547</v>
      </c>
      <c r="D1663" s="63" t="s">
        <v>4979</v>
      </c>
      <c r="E1663" s="63" t="s">
        <v>419</v>
      </c>
      <c r="F1663" s="63" t="s">
        <v>420</v>
      </c>
    </row>
    <row r="1664" spans="1:6" x14ac:dyDescent="0.3">
      <c r="B1664" s="63" t="s">
        <v>4977</v>
      </c>
      <c r="C1664" s="63">
        <v>1758015243593</v>
      </c>
      <c r="D1664" s="63" t="s">
        <v>4980</v>
      </c>
      <c r="E1664" s="63" t="s">
        <v>389</v>
      </c>
      <c r="F1664" s="63" t="s">
        <v>406</v>
      </c>
    </row>
    <row r="1665" spans="2:6" x14ac:dyDescent="0.3">
      <c r="B1665" s="63" t="s">
        <v>4977</v>
      </c>
      <c r="C1665" s="63">
        <v>1758015244596</v>
      </c>
      <c r="D1665" s="63" t="s">
        <v>4981</v>
      </c>
      <c r="E1665" s="63" t="s">
        <v>389</v>
      </c>
      <c r="F1665" s="63" t="s">
        <v>396</v>
      </c>
    </row>
    <row r="1666" spans="2:6" x14ac:dyDescent="0.3">
      <c r="B1666" s="63" t="s">
        <v>4977</v>
      </c>
      <c r="C1666" s="63">
        <v>1758015244961</v>
      </c>
      <c r="D1666" s="63" t="s">
        <v>4982</v>
      </c>
      <c r="E1666" s="63" t="s">
        <v>389</v>
      </c>
      <c r="F1666" s="63" t="s">
        <v>398</v>
      </c>
    </row>
    <row r="1667" spans="2:6" x14ac:dyDescent="0.3">
      <c r="B1667" s="63" t="s">
        <v>4977</v>
      </c>
      <c r="C1667" s="63">
        <v>1758015245262</v>
      </c>
      <c r="D1667" s="63" t="s">
        <v>4983</v>
      </c>
      <c r="E1667" s="63" t="s">
        <v>389</v>
      </c>
      <c r="F1667" s="63" t="s">
        <v>400</v>
      </c>
    </row>
    <row r="1668" spans="2:6" x14ac:dyDescent="0.3">
      <c r="B1668" s="63" t="s">
        <v>4977</v>
      </c>
      <c r="C1668" s="63">
        <v>1758015246526</v>
      </c>
      <c r="D1668" s="63" t="s">
        <v>4984</v>
      </c>
      <c r="E1668" s="63" t="s">
        <v>389</v>
      </c>
      <c r="F1668" s="63" t="s">
        <v>392</v>
      </c>
    </row>
    <row r="1669" spans="2:6" x14ac:dyDescent="0.3">
      <c r="B1669" s="63" t="s">
        <v>4977</v>
      </c>
      <c r="C1669" s="63">
        <v>1758015246934</v>
      </c>
      <c r="D1669" s="63" t="s">
        <v>4985</v>
      </c>
      <c r="E1669" s="63" t="s">
        <v>389</v>
      </c>
      <c r="F1669" s="63" t="s">
        <v>390</v>
      </c>
    </row>
    <row r="1670" spans="2:6" x14ac:dyDescent="0.3">
      <c r="B1670" s="63" t="s">
        <v>4977</v>
      </c>
      <c r="C1670" s="63">
        <v>1758015247751</v>
      </c>
      <c r="D1670" s="63" t="s">
        <v>4986</v>
      </c>
      <c r="E1670" s="63" t="s">
        <v>389</v>
      </c>
      <c r="F1670" s="63" t="s">
        <v>508</v>
      </c>
    </row>
    <row r="1671" spans="2:6" x14ac:dyDescent="0.3">
      <c r="B1671" s="63" t="s">
        <v>4977</v>
      </c>
      <c r="C1671" s="63">
        <v>1758015248141</v>
      </c>
      <c r="D1671" s="63" t="s">
        <v>4987</v>
      </c>
      <c r="E1671" s="63" t="s">
        <v>389</v>
      </c>
      <c r="F1671" s="63" t="s">
        <v>660</v>
      </c>
    </row>
    <row r="1672" spans="2:6" x14ac:dyDescent="0.3">
      <c r="B1672" s="63" t="s">
        <v>4977</v>
      </c>
      <c r="C1672" s="63">
        <v>1758015249972</v>
      </c>
      <c r="D1672" s="63" t="s">
        <v>4988</v>
      </c>
      <c r="E1672" s="63" t="s">
        <v>389</v>
      </c>
      <c r="F1672" s="63" t="s">
        <v>1687</v>
      </c>
    </row>
    <row r="1673" spans="2:6" x14ac:dyDescent="0.3">
      <c r="B1673" s="63" t="s">
        <v>4977</v>
      </c>
      <c r="C1673" s="63">
        <v>1758015261477</v>
      </c>
      <c r="D1673" s="63" t="s">
        <v>4989</v>
      </c>
      <c r="E1673" s="63" t="s">
        <v>389</v>
      </c>
      <c r="F1673" s="63" t="s">
        <v>2879</v>
      </c>
    </row>
    <row r="1674" spans="2:6" x14ac:dyDescent="0.3">
      <c r="B1674" s="63" t="s">
        <v>4977</v>
      </c>
      <c r="C1674" s="63">
        <v>1758015262409</v>
      </c>
      <c r="D1674" s="63" t="s">
        <v>4990</v>
      </c>
      <c r="E1674" s="63" t="s">
        <v>389</v>
      </c>
      <c r="F1674" s="63" t="s">
        <v>811</v>
      </c>
    </row>
    <row r="1675" spans="2:6" x14ac:dyDescent="0.3">
      <c r="B1675" s="63" t="s">
        <v>4977</v>
      </c>
      <c r="C1675" s="63">
        <v>1758015287031</v>
      </c>
      <c r="D1675" s="63" t="s">
        <v>4991</v>
      </c>
      <c r="E1675" s="63" t="s">
        <v>389</v>
      </c>
      <c r="F1675" s="63" t="s">
        <v>515</v>
      </c>
    </row>
    <row r="1676" spans="2:6" x14ac:dyDescent="0.3">
      <c r="B1676" s="63" t="s">
        <v>4977</v>
      </c>
      <c r="C1676" s="63">
        <v>1758015293894</v>
      </c>
      <c r="D1676" s="63" t="s">
        <v>4992</v>
      </c>
      <c r="E1676" s="63" t="s">
        <v>389</v>
      </c>
      <c r="F1676" s="63" t="s">
        <v>402</v>
      </c>
    </row>
    <row r="1677" spans="2:6" x14ac:dyDescent="0.3">
      <c r="B1677" s="63" t="s">
        <v>4977</v>
      </c>
      <c r="C1677" s="63">
        <v>1758015294688</v>
      </c>
      <c r="D1677" s="63" t="s">
        <v>4993</v>
      </c>
      <c r="E1677" s="63" t="s">
        <v>389</v>
      </c>
      <c r="F1677" s="63" t="s">
        <v>404</v>
      </c>
    </row>
    <row r="1678" spans="2:6" x14ac:dyDescent="0.3">
      <c r="B1678" s="63" t="s">
        <v>4977</v>
      </c>
      <c r="C1678" s="63">
        <v>1758015299970</v>
      </c>
      <c r="D1678" s="63" t="s">
        <v>4994</v>
      </c>
      <c r="E1678" s="63" t="s">
        <v>389</v>
      </c>
      <c r="F1678" s="63" t="s">
        <v>410</v>
      </c>
    </row>
    <row r="1679" spans="2:6" x14ac:dyDescent="0.3">
      <c r="B1679" s="63" t="s">
        <v>4977</v>
      </c>
      <c r="C1679" s="63">
        <v>1758015319111</v>
      </c>
      <c r="D1679" s="63" t="s">
        <v>4995</v>
      </c>
      <c r="E1679" s="63" t="s">
        <v>422</v>
      </c>
      <c r="F1679" s="63" t="s">
        <v>420</v>
      </c>
    </row>
    <row r="1680" spans="2:6" x14ac:dyDescent="0.3">
      <c r="B1680" s="63" t="s">
        <v>426</v>
      </c>
      <c r="C1680" s="63">
        <v>1758015336763</v>
      </c>
      <c r="D1680" s="63" t="s">
        <v>4996</v>
      </c>
      <c r="E1680" s="63" t="s">
        <v>428</v>
      </c>
      <c r="F1680" s="63" t="s">
        <v>453</v>
      </c>
    </row>
    <row r="1681" spans="2:6" x14ac:dyDescent="0.3">
      <c r="B1681" s="63" t="s">
        <v>4977</v>
      </c>
      <c r="C1681" s="63">
        <v>1758015345579</v>
      </c>
      <c r="D1681" s="63" t="s">
        <v>4997</v>
      </c>
      <c r="E1681" s="63" t="s">
        <v>424</v>
      </c>
      <c r="F1681" s="63" t="s">
        <v>457</v>
      </c>
    </row>
    <row r="1682" spans="2:6" x14ac:dyDescent="0.3">
      <c r="B1682" s="63" t="s">
        <v>4977</v>
      </c>
      <c r="C1682" s="63">
        <v>1758015346728</v>
      </c>
      <c r="D1682" s="63" t="s">
        <v>4998</v>
      </c>
      <c r="E1682" s="63" t="s">
        <v>424</v>
      </c>
      <c r="F1682" s="63" t="s">
        <v>459</v>
      </c>
    </row>
    <row r="1683" spans="2:6" x14ac:dyDescent="0.3">
      <c r="B1683" s="63" t="s">
        <v>426</v>
      </c>
      <c r="C1683" s="63">
        <v>1758015352334</v>
      </c>
      <c r="D1683" s="63" t="s">
        <v>4999</v>
      </c>
      <c r="E1683" s="63" t="s">
        <v>428</v>
      </c>
      <c r="F1683" s="63" t="s">
        <v>435</v>
      </c>
    </row>
    <row r="1684" spans="2:6" x14ac:dyDescent="0.3">
      <c r="B1684" s="63" t="s">
        <v>426</v>
      </c>
      <c r="C1684" s="63">
        <v>1758015367262</v>
      </c>
      <c r="D1684" s="63" t="s">
        <v>5000</v>
      </c>
      <c r="E1684" s="63" t="s">
        <v>428</v>
      </c>
      <c r="F1684" s="63" t="s">
        <v>437</v>
      </c>
    </row>
    <row r="1685" spans="2:6" x14ac:dyDescent="0.3">
      <c r="B1685" s="63" t="s">
        <v>4977</v>
      </c>
      <c r="C1685" s="63">
        <v>1758015370454</v>
      </c>
      <c r="D1685" s="63" t="s">
        <v>5001</v>
      </c>
      <c r="E1685" s="63" t="s">
        <v>424</v>
      </c>
      <c r="F1685" s="63" t="s">
        <v>461</v>
      </c>
    </row>
    <row r="1686" spans="2:6" x14ac:dyDescent="0.3">
      <c r="B1686" s="63" t="s">
        <v>426</v>
      </c>
      <c r="C1686" s="63">
        <v>1758015383606</v>
      </c>
      <c r="D1686" s="63" t="s">
        <v>5002</v>
      </c>
      <c r="E1686" s="63" t="s">
        <v>428</v>
      </c>
      <c r="F1686" s="63" t="s">
        <v>439</v>
      </c>
    </row>
    <row r="1687" spans="2:6" x14ac:dyDescent="0.3">
      <c r="B1687" s="63" t="s">
        <v>4977</v>
      </c>
      <c r="C1687" s="63">
        <v>1758015392094</v>
      </c>
      <c r="D1687" s="63" t="s">
        <v>5003</v>
      </c>
      <c r="E1687" s="63" t="s">
        <v>424</v>
      </c>
      <c r="F1687" s="63" t="s">
        <v>441</v>
      </c>
    </row>
    <row r="1688" spans="2:6" x14ac:dyDescent="0.3">
      <c r="B1688" s="63" t="s">
        <v>426</v>
      </c>
      <c r="C1688" s="63">
        <v>1758015402119</v>
      </c>
      <c r="D1688" s="63" t="s">
        <v>5004</v>
      </c>
      <c r="E1688" s="63" t="s">
        <v>428</v>
      </c>
      <c r="F1688" s="63" t="s">
        <v>429</v>
      </c>
    </row>
    <row r="1689" spans="2:6" x14ac:dyDescent="0.3">
      <c r="B1689" s="63" t="s">
        <v>426</v>
      </c>
      <c r="C1689" s="63">
        <v>1758015419813</v>
      </c>
      <c r="D1689" s="63" t="s">
        <v>5005</v>
      </c>
      <c r="E1689" s="63" t="s">
        <v>428</v>
      </c>
      <c r="F1689" s="63" t="s">
        <v>431</v>
      </c>
    </row>
    <row r="1690" spans="2:6" x14ac:dyDescent="0.3">
      <c r="B1690" s="63" t="s">
        <v>426</v>
      </c>
      <c r="C1690" s="63">
        <v>1758015436752</v>
      </c>
      <c r="D1690" s="63" t="s">
        <v>5006</v>
      </c>
      <c r="E1690" s="63" t="s">
        <v>428</v>
      </c>
      <c r="F1690" s="63" t="s">
        <v>523</v>
      </c>
    </row>
    <row r="1691" spans="2:6" x14ac:dyDescent="0.3">
      <c r="B1691" s="63" t="s">
        <v>4977</v>
      </c>
      <c r="C1691" s="63">
        <v>1758015443647</v>
      </c>
      <c r="D1691" s="63" t="s">
        <v>5007</v>
      </c>
      <c r="E1691" s="63" t="s">
        <v>424</v>
      </c>
      <c r="F1691" s="63" t="s">
        <v>433</v>
      </c>
    </row>
    <row r="1692" spans="2:6" x14ac:dyDescent="0.3">
      <c r="B1692" s="63" t="s">
        <v>426</v>
      </c>
      <c r="C1692" s="63">
        <v>1758015452243</v>
      </c>
      <c r="D1692" s="63" t="s">
        <v>5008</v>
      </c>
      <c r="E1692" s="63" t="s">
        <v>428</v>
      </c>
      <c r="F1692" s="63" t="s">
        <v>447</v>
      </c>
    </row>
    <row r="1693" spans="2:6" x14ac:dyDescent="0.3">
      <c r="B1693" s="63" t="s">
        <v>4977</v>
      </c>
      <c r="C1693" s="63">
        <v>1758015455906</v>
      </c>
      <c r="D1693" s="63" t="s">
        <v>5009</v>
      </c>
      <c r="E1693" s="63" t="s">
        <v>424</v>
      </c>
      <c r="F1693" s="63" t="s">
        <v>449</v>
      </c>
    </row>
    <row r="1694" spans="2:6" x14ac:dyDescent="0.3">
      <c r="B1694" s="63" t="s">
        <v>4977</v>
      </c>
      <c r="C1694" s="63">
        <v>1758015456390</v>
      </c>
      <c r="D1694" s="63" t="s">
        <v>5010</v>
      </c>
      <c r="E1694" s="63" t="s">
        <v>424</v>
      </c>
      <c r="F1694" s="63" t="s">
        <v>451</v>
      </c>
    </row>
    <row r="1695" spans="2:6" x14ac:dyDescent="0.3">
      <c r="B1695" s="63" t="s">
        <v>4977</v>
      </c>
      <c r="C1695" s="63">
        <v>1758015462010</v>
      </c>
      <c r="D1695" s="63" t="s">
        <v>5011</v>
      </c>
      <c r="E1695" s="63" t="s">
        <v>424</v>
      </c>
      <c r="F1695" s="63" t="s">
        <v>443</v>
      </c>
    </row>
    <row r="1696" spans="2:6" x14ac:dyDescent="0.3">
      <c r="B1696" s="63" t="s">
        <v>4977</v>
      </c>
      <c r="C1696" s="63">
        <v>1758015462409</v>
      </c>
      <c r="D1696" s="63" t="s">
        <v>5012</v>
      </c>
      <c r="E1696" s="63" t="s">
        <v>424</v>
      </c>
      <c r="F1696" s="63" t="s">
        <v>445</v>
      </c>
    </row>
    <row r="1697" spans="2:6" x14ac:dyDescent="0.3">
      <c r="B1697" s="63" t="s">
        <v>4977</v>
      </c>
      <c r="C1697" s="63">
        <v>1758015466700</v>
      </c>
      <c r="D1697" s="63" t="s">
        <v>5013</v>
      </c>
      <c r="E1697" s="63" t="s">
        <v>424</v>
      </c>
      <c r="F1697" s="63" t="s">
        <v>570</v>
      </c>
    </row>
    <row r="1698" spans="2:6" x14ac:dyDescent="0.3">
      <c r="B1698" s="63" t="s">
        <v>4977</v>
      </c>
      <c r="C1698" s="63">
        <v>1758015468490</v>
      </c>
      <c r="D1698" s="63" t="s">
        <v>5014</v>
      </c>
      <c r="E1698" s="63" t="s">
        <v>463</v>
      </c>
      <c r="F1698" s="63" t="s">
        <v>464</v>
      </c>
    </row>
    <row r="1699" spans="2:6" x14ac:dyDescent="0.3">
      <c r="B1699" s="58" t="s">
        <v>5015</v>
      </c>
      <c r="C1699" s="58">
        <v>1758015479056</v>
      </c>
      <c r="D1699" s="58" t="s">
        <v>5016</v>
      </c>
      <c r="E1699" s="58" t="s">
        <v>416</v>
      </c>
      <c r="F1699" s="58" t="s">
        <v>466</v>
      </c>
    </row>
    <row r="1700" spans="2:6" x14ac:dyDescent="0.3">
      <c r="B1700" s="58" t="s">
        <v>5015</v>
      </c>
      <c r="C1700" s="58">
        <v>1758015479190</v>
      </c>
      <c r="D1700" s="58" t="s">
        <v>5017</v>
      </c>
      <c r="E1700" s="58" t="s">
        <v>468</v>
      </c>
      <c r="F1700" s="58" t="s">
        <v>5018</v>
      </c>
    </row>
    <row r="1701" spans="2:6" x14ac:dyDescent="0.3">
      <c r="B1701" s="58" t="s">
        <v>5015</v>
      </c>
      <c r="C1701" s="58">
        <v>1758015493414</v>
      </c>
      <c r="D1701" s="58" t="s">
        <v>5019</v>
      </c>
      <c r="E1701" s="58" t="s">
        <v>419</v>
      </c>
      <c r="F1701" s="58" t="s">
        <v>420</v>
      </c>
    </row>
    <row r="1702" spans="2:6" x14ac:dyDescent="0.3">
      <c r="B1702" s="58" t="s">
        <v>5015</v>
      </c>
      <c r="C1702" s="58">
        <v>1758015510625</v>
      </c>
      <c r="D1702" s="58" t="s">
        <v>5020</v>
      </c>
      <c r="E1702" s="58" t="s">
        <v>389</v>
      </c>
      <c r="F1702" s="58" t="s">
        <v>504</v>
      </c>
    </row>
    <row r="1703" spans="2:6" x14ac:dyDescent="0.3">
      <c r="B1703" s="58" t="s">
        <v>5015</v>
      </c>
      <c r="C1703" s="58">
        <v>1758015510884</v>
      </c>
      <c r="D1703" s="58" t="s">
        <v>5021</v>
      </c>
      <c r="E1703" s="58" t="s">
        <v>389</v>
      </c>
      <c r="F1703" s="58" t="s">
        <v>502</v>
      </c>
    </row>
    <row r="1704" spans="2:6" x14ac:dyDescent="0.3">
      <c r="B1704" s="58" t="s">
        <v>5015</v>
      </c>
      <c r="C1704" s="58">
        <v>1758015511456</v>
      </c>
      <c r="D1704" s="58" t="s">
        <v>5022</v>
      </c>
      <c r="E1704" s="58" t="s">
        <v>389</v>
      </c>
      <c r="F1704" s="58" t="s">
        <v>506</v>
      </c>
    </row>
    <row r="1705" spans="2:6" x14ac:dyDescent="0.3">
      <c r="B1705" s="58" t="s">
        <v>5015</v>
      </c>
      <c r="C1705" s="58">
        <v>1758015513237</v>
      </c>
      <c r="D1705" s="58" t="s">
        <v>5023</v>
      </c>
      <c r="E1705" s="58" t="s">
        <v>389</v>
      </c>
      <c r="F1705" s="58" t="s">
        <v>394</v>
      </c>
    </row>
    <row r="1706" spans="2:6" x14ac:dyDescent="0.3">
      <c r="B1706" s="58" t="s">
        <v>5015</v>
      </c>
      <c r="C1706" s="58">
        <v>1758015514017</v>
      </c>
      <c r="D1706" s="58" t="s">
        <v>5024</v>
      </c>
      <c r="E1706" s="58" t="s">
        <v>389</v>
      </c>
      <c r="F1706" s="58" t="s">
        <v>2285</v>
      </c>
    </row>
    <row r="1707" spans="2:6" x14ac:dyDescent="0.3">
      <c r="B1707" s="58" t="s">
        <v>5015</v>
      </c>
      <c r="C1707" s="58">
        <v>1758015515050</v>
      </c>
      <c r="D1707" s="58" t="s">
        <v>5025</v>
      </c>
      <c r="E1707" s="58" t="s">
        <v>389</v>
      </c>
      <c r="F1707" s="58" t="s">
        <v>811</v>
      </c>
    </row>
    <row r="1708" spans="2:6" x14ac:dyDescent="0.3">
      <c r="B1708" s="58" t="s">
        <v>5015</v>
      </c>
      <c r="C1708" s="58">
        <v>1758015527299</v>
      </c>
      <c r="D1708" s="58" t="s">
        <v>5026</v>
      </c>
      <c r="E1708" s="58" t="s">
        <v>422</v>
      </c>
      <c r="F1708" s="58" t="s">
        <v>420</v>
      </c>
    </row>
    <row r="1709" spans="2:6" x14ac:dyDescent="0.3">
      <c r="B1709" s="58" t="s">
        <v>426</v>
      </c>
      <c r="C1709" s="58">
        <v>1758015541985</v>
      </c>
      <c r="D1709" s="58" t="s">
        <v>5027</v>
      </c>
      <c r="E1709" s="58" t="s">
        <v>428</v>
      </c>
      <c r="F1709" s="58" t="s">
        <v>453</v>
      </c>
    </row>
    <row r="1710" spans="2:6" x14ac:dyDescent="0.3">
      <c r="B1710" s="58" t="s">
        <v>5015</v>
      </c>
      <c r="C1710" s="58">
        <v>1758015553201</v>
      </c>
      <c r="D1710" s="58" t="s">
        <v>5028</v>
      </c>
      <c r="E1710" s="58" t="s">
        <v>424</v>
      </c>
      <c r="F1710" s="58" t="s">
        <v>457</v>
      </c>
    </row>
    <row r="1711" spans="2:6" x14ac:dyDescent="0.3">
      <c r="B1711" s="58" t="s">
        <v>5015</v>
      </c>
      <c r="C1711" s="58">
        <v>1758015554501</v>
      </c>
      <c r="D1711" s="58" t="s">
        <v>5029</v>
      </c>
      <c r="E1711" s="58" t="s">
        <v>424</v>
      </c>
      <c r="F1711" s="58" t="s">
        <v>459</v>
      </c>
    </row>
    <row r="1712" spans="2:6" x14ac:dyDescent="0.3">
      <c r="B1712" s="58" t="s">
        <v>426</v>
      </c>
      <c r="C1712" s="58">
        <v>1758015557497</v>
      </c>
      <c r="D1712" s="58" t="s">
        <v>5030</v>
      </c>
      <c r="E1712" s="58" t="s">
        <v>428</v>
      </c>
      <c r="F1712" s="58" t="s">
        <v>429</v>
      </c>
    </row>
    <row r="1713" spans="1:6" x14ac:dyDescent="0.3">
      <c r="B1713" s="58" t="s">
        <v>5015</v>
      </c>
      <c r="C1713" s="58">
        <v>1758015566539</v>
      </c>
      <c r="D1713" s="58" t="s">
        <v>5031</v>
      </c>
      <c r="E1713" s="58" t="s">
        <v>424</v>
      </c>
      <c r="F1713" s="58" t="s">
        <v>461</v>
      </c>
    </row>
    <row r="1714" spans="1:6" x14ac:dyDescent="0.3">
      <c r="B1714" s="58" t="s">
        <v>426</v>
      </c>
      <c r="C1714" s="58">
        <v>1758015572995</v>
      </c>
      <c r="D1714" s="58" t="s">
        <v>5032</v>
      </c>
      <c r="E1714" s="58" t="s">
        <v>428</v>
      </c>
      <c r="F1714" s="58" t="s">
        <v>431</v>
      </c>
    </row>
    <row r="1715" spans="1:6" x14ac:dyDescent="0.3">
      <c r="B1715" s="58" t="s">
        <v>5015</v>
      </c>
      <c r="C1715" s="58">
        <v>1758015574477</v>
      </c>
      <c r="D1715" s="58" t="s">
        <v>5033</v>
      </c>
      <c r="E1715" s="58" t="s">
        <v>424</v>
      </c>
      <c r="F1715" s="58" t="s">
        <v>433</v>
      </c>
    </row>
    <row r="1716" spans="1:6" x14ac:dyDescent="0.3">
      <c r="B1716" s="58" t="s">
        <v>5015</v>
      </c>
      <c r="C1716" s="58">
        <v>1758015578325</v>
      </c>
      <c r="D1716" s="58" t="s">
        <v>5034</v>
      </c>
      <c r="E1716" s="58" t="s">
        <v>424</v>
      </c>
      <c r="F1716" t="s">
        <v>549</v>
      </c>
    </row>
    <row r="1717" spans="1:6" x14ac:dyDescent="0.3">
      <c r="B1717" s="58" t="s">
        <v>5015</v>
      </c>
      <c r="C1717" s="58">
        <v>1758015580883</v>
      </c>
      <c r="D1717" s="58" t="s">
        <v>5035</v>
      </c>
      <c r="E1717" s="58" t="s">
        <v>424</v>
      </c>
      <c r="F1717" t="s">
        <v>551</v>
      </c>
    </row>
    <row r="1718" spans="1:6" x14ac:dyDescent="0.3">
      <c r="B1718" s="58" t="s">
        <v>5015</v>
      </c>
      <c r="C1718" s="58">
        <v>1758015584546</v>
      </c>
      <c r="D1718" s="58" t="s">
        <v>5036</v>
      </c>
      <c r="E1718" s="58" t="s">
        <v>424</v>
      </c>
      <c r="F1718" t="s">
        <v>553</v>
      </c>
    </row>
    <row r="1719" spans="1:6" x14ac:dyDescent="0.3">
      <c r="B1719" s="58" t="s">
        <v>5015</v>
      </c>
      <c r="C1719" s="58">
        <v>1758015593121</v>
      </c>
      <c r="D1719" s="58" t="s">
        <v>5037</v>
      </c>
      <c r="E1719" s="58" t="s">
        <v>424</v>
      </c>
      <c r="F1719" t="s">
        <v>441</v>
      </c>
    </row>
    <row r="1720" spans="1:6" x14ac:dyDescent="0.3">
      <c r="B1720" s="58" t="s">
        <v>5015</v>
      </c>
      <c r="C1720" s="58">
        <v>1758015596788</v>
      </c>
      <c r="D1720" s="58" t="s">
        <v>5038</v>
      </c>
      <c r="E1720" s="58" t="s">
        <v>424</v>
      </c>
      <c r="F1720" t="s">
        <v>443</v>
      </c>
    </row>
    <row r="1721" spans="1:6" x14ac:dyDescent="0.3">
      <c r="B1721" s="58" t="s">
        <v>5015</v>
      </c>
      <c r="C1721" s="58">
        <v>1758015599214</v>
      </c>
      <c r="D1721" s="58" t="s">
        <v>5039</v>
      </c>
      <c r="E1721" s="58" t="s">
        <v>424</v>
      </c>
      <c r="F1721" t="s">
        <v>445</v>
      </c>
    </row>
    <row r="1722" spans="1:6" x14ac:dyDescent="0.3">
      <c r="B1722" s="58" t="s">
        <v>5015</v>
      </c>
      <c r="C1722" s="58">
        <v>1758015602075</v>
      </c>
      <c r="D1722" s="58" t="s">
        <v>5040</v>
      </c>
      <c r="E1722" s="58" t="s">
        <v>424</v>
      </c>
      <c r="F1722" t="s">
        <v>425</v>
      </c>
    </row>
    <row r="1723" spans="1:6" x14ac:dyDescent="0.3">
      <c r="B1723" s="58" t="s">
        <v>5015</v>
      </c>
      <c r="C1723" s="58">
        <v>1758015604662</v>
      </c>
      <c r="D1723" s="58" t="s">
        <v>5041</v>
      </c>
      <c r="E1723" s="58" t="s">
        <v>424</v>
      </c>
      <c r="F1723" t="s">
        <v>841</v>
      </c>
    </row>
    <row r="1724" spans="1:6" x14ac:dyDescent="0.3">
      <c r="B1724" s="58" t="s">
        <v>5015</v>
      </c>
      <c r="C1724" s="58">
        <v>1758015609277</v>
      </c>
      <c r="D1724" s="58" t="s">
        <v>5042</v>
      </c>
      <c r="E1724" s="58" t="s">
        <v>424</v>
      </c>
      <c r="F1724" t="s">
        <v>449</v>
      </c>
    </row>
    <row r="1725" spans="1:6" x14ac:dyDescent="0.3">
      <c r="B1725" s="58" t="s">
        <v>5015</v>
      </c>
      <c r="C1725" s="58">
        <v>1758015612850</v>
      </c>
      <c r="D1725" s="58" t="s">
        <v>5043</v>
      </c>
      <c r="E1725" s="58" t="s">
        <v>424</v>
      </c>
      <c r="F1725" t="s">
        <v>451</v>
      </c>
    </row>
    <row r="1726" spans="1:6" x14ac:dyDescent="0.3">
      <c r="B1726" s="58" t="s">
        <v>5015</v>
      </c>
      <c r="C1726" s="58">
        <v>1758015616990</v>
      </c>
      <c r="D1726" s="58" t="s">
        <v>5044</v>
      </c>
      <c r="E1726" s="58" t="s">
        <v>424</v>
      </c>
      <c r="F1726" t="s">
        <v>570</v>
      </c>
    </row>
    <row r="1727" spans="1:6" x14ac:dyDescent="0.3">
      <c r="B1727" s="58" t="s">
        <v>5015</v>
      </c>
      <c r="C1727" s="58">
        <v>1758015618012</v>
      </c>
      <c r="D1727" s="58" t="s">
        <v>5045</v>
      </c>
      <c r="E1727" s="58" t="s">
        <v>463</v>
      </c>
      <c r="F1727" t="s">
        <v>464</v>
      </c>
    </row>
    <row r="1728" spans="1:6" ht="21" x14ac:dyDescent="0.4">
      <c r="A1728" s="69" t="s">
        <v>59</v>
      </c>
      <c r="B1728" s="63" t="s">
        <v>49</v>
      </c>
      <c r="C1728" s="63">
        <v>1758023174865</v>
      </c>
      <c r="D1728" s="63" t="s">
        <v>5220</v>
      </c>
      <c r="E1728" s="63" t="s">
        <v>416</v>
      </c>
      <c r="F1728" s="63" t="s">
        <v>417</v>
      </c>
    </row>
    <row r="1729" spans="2:6" x14ac:dyDescent="0.3">
      <c r="B1729" s="63" t="s">
        <v>49</v>
      </c>
      <c r="C1729" s="63">
        <v>1758023175378</v>
      </c>
      <c r="D1729" s="63" t="s">
        <v>5221</v>
      </c>
      <c r="E1729" s="63" t="s">
        <v>419</v>
      </c>
      <c r="F1729" s="63" t="s">
        <v>420</v>
      </c>
    </row>
    <row r="1730" spans="2:6" x14ac:dyDescent="0.3">
      <c r="B1730" s="63" t="s">
        <v>49</v>
      </c>
      <c r="C1730" s="63">
        <v>1758023189376</v>
      </c>
      <c r="D1730" s="63" t="s">
        <v>5222</v>
      </c>
      <c r="E1730" s="63" t="s">
        <v>389</v>
      </c>
      <c r="F1730" s="63" t="s">
        <v>2962</v>
      </c>
    </row>
    <row r="1731" spans="2:6" x14ac:dyDescent="0.3">
      <c r="B1731" s="63" t="s">
        <v>49</v>
      </c>
      <c r="C1731" s="63">
        <v>1758023189482</v>
      </c>
      <c r="D1731" s="63" t="s">
        <v>5223</v>
      </c>
      <c r="E1731" s="63" t="s">
        <v>389</v>
      </c>
      <c r="F1731" s="63" t="s">
        <v>511</v>
      </c>
    </row>
    <row r="1732" spans="2:6" x14ac:dyDescent="0.3">
      <c r="B1732" s="63" t="s">
        <v>49</v>
      </c>
      <c r="C1732" s="63">
        <v>1758023205338</v>
      </c>
      <c r="D1732" s="63" t="s">
        <v>5224</v>
      </c>
      <c r="E1732" s="63" t="s">
        <v>389</v>
      </c>
      <c r="F1732" s="63" t="s">
        <v>811</v>
      </c>
    </row>
    <row r="1733" spans="2:6" x14ac:dyDescent="0.3">
      <c r="B1733" s="63" t="s">
        <v>49</v>
      </c>
      <c r="C1733" s="63">
        <v>1758023206487</v>
      </c>
      <c r="D1733" s="63" t="s">
        <v>5225</v>
      </c>
      <c r="E1733" s="63" t="s">
        <v>389</v>
      </c>
      <c r="F1733" s="63" t="s">
        <v>495</v>
      </c>
    </row>
    <row r="1734" spans="2:6" x14ac:dyDescent="0.3">
      <c r="B1734" s="63" t="s">
        <v>49</v>
      </c>
      <c r="C1734" s="63">
        <v>1758023207610</v>
      </c>
      <c r="D1734" s="63" t="s">
        <v>5226</v>
      </c>
      <c r="E1734" s="63" t="s">
        <v>389</v>
      </c>
      <c r="F1734" s="63" t="s">
        <v>508</v>
      </c>
    </row>
    <row r="1735" spans="2:6" x14ac:dyDescent="0.3">
      <c r="B1735" s="63" t="s">
        <v>49</v>
      </c>
      <c r="C1735" s="63">
        <v>1758023208450</v>
      </c>
      <c r="D1735" s="63" t="s">
        <v>5227</v>
      </c>
      <c r="E1735" s="63" t="s">
        <v>389</v>
      </c>
      <c r="F1735" s="63" t="s">
        <v>660</v>
      </c>
    </row>
    <row r="1736" spans="2:6" x14ac:dyDescent="0.3">
      <c r="B1736" s="63" t="s">
        <v>49</v>
      </c>
      <c r="C1736" s="63">
        <v>1758023211955</v>
      </c>
      <c r="D1736" s="63" t="s">
        <v>5228</v>
      </c>
      <c r="E1736" s="63" t="s">
        <v>389</v>
      </c>
      <c r="F1736" s="63" t="s">
        <v>390</v>
      </c>
    </row>
    <row r="1737" spans="2:6" x14ac:dyDescent="0.3">
      <c r="B1737" s="63" t="s">
        <v>49</v>
      </c>
      <c r="C1737" s="63">
        <v>1758023213392</v>
      </c>
      <c r="D1737" s="63" t="s">
        <v>5229</v>
      </c>
      <c r="E1737" s="63" t="s">
        <v>389</v>
      </c>
      <c r="F1737" s="63" t="s">
        <v>392</v>
      </c>
    </row>
    <row r="1738" spans="2:6" x14ac:dyDescent="0.3">
      <c r="B1738" s="63" t="s">
        <v>49</v>
      </c>
      <c r="C1738" s="63">
        <v>1758023216476</v>
      </c>
      <c r="D1738" s="63" t="s">
        <v>5230</v>
      </c>
      <c r="E1738" s="63" t="s">
        <v>389</v>
      </c>
      <c r="F1738" s="63" t="s">
        <v>414</v>
      </c>
    </row>
    <row r="1739" spans="2:6" x14ac:dyDescent="0.3">
      <c r="B1739" s="63" t="s">
        <v>49</v>
      </c>
      <c r="C1739" s="63">
        <v>1758023216593</v>
      </c>
      <c r="D1739" s="63" t="s">
        <v>5231</v>
      </c>
      <c r="E1739" s="63" t="s">
        <v>389</v>
      </c>
      <c r="F1739" s="63" t="s">
        <v>414</v>
      </c>
    </row>
    <row r="1740" spans="2:6" x14ac:dyDescent="0.3">
      <c r="B1740" s="63" t="s">
        <v>49</v>
      </c>
      <c r="C1740" s="63">
        <v>1758023216663</v>
      </c>
      <c r="D1740" s="63" t="s">
        <v>5232</v>
      </c>
      <c r="E1740" s="63" t="s">
        <v>389</v>
      </c>
      <c r="F1740" s="63" t="s">
        <v>414</v>
      </c>
    </row>
    <row r="1741" spans="2:6" x14ac:dyDescent="0.3">
      <c r="B1741" s="63" t="s">
        <v>49</v>
      </c>
      <c r="C1741" s="63">
        <v>1758023224673</v>
      </c>
      <c r="D1741" s="63" t="s">
        <v>5233</v>
      </c>
      <c r="E1741" s="63" t="s">
        <v>389</v>
      </c>
      <c r="F1741" s="63" t="s">
        <v>396</v>
      </c>
    </row>
    <row r="1742" spans="2:6" x14ac:dyDescent="0.3">
      <c r="B1742" s="63" t="s">
        <v>49</v>
      </c>
      <c r="C1742" s="63">
        <v>1758023225865</v>
      </c>
      <c r="D1742" s="63" t="s">
        <v>5234</v>
      </c>
      <c r="E1742" s="63" t="s">
        <v>389</v>
      </c>
      <c r="F1742" s="63" t="s">
        <v>398</v>
      </c>
    </row>
    <row r="1743" spans="2:6" x14ac:dyDescent="0.3">
      <c r="B1743" s="63" t="s">
        <v>49</v>
      </c>
      <c r="C1743" s="63">
        <v>1758023227604</v>
      </c>
      <c r="D1743" s="63" t="s">
        <v>5235</v>
      </c>
      <c r="E1743" s="63" t="s">
        <v>389</v>
      </c>
      <c r="F1743" s="63" t="s">
        <v>400</v>
      </c>
    </row>
    <row r="1744" spans="2:6" x14ac:dyDescent="0.3">
      <c r="B1744" s="63" t="s">
        <v>49</v>
      </c>
      <c r="C1744" s="63">
        <v>1758023233006</v>
      </c>
      <c r="D1744" s="63" t="s">
        <v>5236</v>
      </c>
      <c r="E1744" s="63" t="s">
        <v>422</v>
      </c>
      <c r="F1744" s="63" t="s">
        <v>420</v>
      </c>
    </row>
    <row r="1745" spans="2:6" x14ac:dyDescent="0.3">
      <c r="B1745" s="63" t="s">
        <v>49</v>
      </c>
      <c r="C1745" s="63">
        <v>1758023241376</v>
      </c>
      <c r="D1745" s="63" t="s">
        <v>5237</v>
      </c>
      <c r="E1745" s="63" t="s">
        <v>424</v>
      </c>
      <c r="F1745" s="63" t="s">
        <v>518</v>
      </c>
    </row>
    <row r="1746" spans="2:6" x14ac:dyDescent="0.3">
      <c r="B1746" s="63" t="s">
        <v>426</v>
      </c>
      <c r="C1746" s="63">
        <v>1758023248466</v>
      </c>
      <c r="D1746" s="63" t="s">
        <v>5238</v>
      </c>
      <c r="E1746" s="63" t="s">
        <v>428</v>
      </c>
      <c r="F1746" s="63" t="s">
        <v>435</v>
      </c>
    </row>
    <row r="1747" spans="2:6" x14ac:dyDescent="0.3">
      <c r="B1747" s="63" t="s">
        <v>49</v>
      </c>
      <c r="C1747" s="63">
        <v>1758023259752</v>
      </c>
      <c r="D1747" s="63" t="s">
        <v>5239</v>
      </c>
      <c r="E1747" s="63" t="s">
        <v>424</v>
      </c>
      <c r="F1747" s="63" t="s">
        <v>457</v>
      </c>
    </row>
    <row r="1748" spans="2:6" x14ac:dyDescent="0.3">
      <c r="B1748" s="63" t="s">
        <v>426</v>
      </c>
      <c r="C1748" s="63">
        <v>1758023263917</v>
      </c>
      <c r="D1748" s="63" t="s">
        <v>5240</v>
      </c>
      <c r="E1748" s="63" t="s">
        <v>428</v>
      </c>
      <c r="F1748" s="63" t="s">
        <v>437</v>
      </c>
    </row>
    <row r="1749" spans="2:6" x14ac:dyDescent="0.3">
      <c r="B1749" s="63" t="s">
        <v>49</v>
      </c>
      <c r="C1749" s="63">
        <v>1758023265584</v>
      </c>
      <c r="D1749" s="63" t="s">
        <v>5241</v>
      </c>
      <c r="E1749" s="63" t="s">
        <v>424</v>
      </c>
      <c r="F1749" s="63" t="s">
        <v>459</v>
      </c>
    </row>
    <row r="1750" spans="2:6" x14ac:dyDescent="0.3">
      <c r="B1750" s="63" t="s">
        <v>426</v>
      </c>
      <c r="C1750" s="63">
        <v>1758023280194</v>
      </c>
      <c r="D1750" s="63" t="s">
        <v>5242</v>
      </c>
      <c r="E1750" s="63" t="s">
        <v>428</v>
      </c>
      <c r="F1750" s="63" t="s">
        <v>439</v>
      </c>
    </row>
    <row r="1751" spans="2:6" x14ac:dyDescent="0.3">
      <c r="B1751" s="63" t="s">
        <v>49</v>
      </c>
      <c r="C1751" s="63">
        <v>1758023290012</v>
      </c>
      <c r="D1751" s="63" t="s">
        <v>5243</v>
      </c>
      <c r="E1751" s="63" t="s">
        <v>424</v>
      </c>
      <c r="F1751" s="63" t="s">
        <v>461</v>
      </c>
    </row>
    <row r="1752" spans="2:6" x14ac:dyDescent="0.3">
      <c r="B1752" s="63" t="s">
        <v>426</v>
      </c>
      <c r="C1752" s="63">
        <v>1758023298588</v>
      </c>
      <c r="D1752" s="63" t="s">
        <v>5244</v>
      </c>
      <c r="E1752" s="63" t="s">
        <v>428</v>
      </c>
      <c r="F1752" s="63" t="s">
        <v>429</v>
      </c>
    </row>
    <row r="1753" spans="2:6" x14ac:dyDescent="0.3">
      <c r="B1753" s="63" t="s">
        <v>49</v>
      </c>
      <c r="C1753" s="63">
        <v>1758023301465</v>
      </c>
      <c r="D1753" s="63" t="s">
        <v>5245</v>
      </c>
      <c r="E1753" s="63" t="s">
        <v>424</v>
      </c>
      <c r="F1753" s="63" t="s">
        <v>441</v>
      </c>
    </row>
    <row r="1754" spans="2:6" x14ac:dyDescent="0.3">
      <c r="B1754" s="63" t="s">
        <v>426</v>
      </c>
      <c r="C1754" s="63">
        <v>1758023315576</v>
      </c>
      <c r="D1754" s="63" t="s">
        <v>5246</v>
      </c>
      <c r="E1754" s="63" t="s">
        <v>428</v>
      </c>
      <c r="F1754" s="63" t="s">
        <v>431</v>
      </c>
    </row>
    <row r="1755" spans="2:6" x14ac:dyDescent="0.3">
      <c r="B1755" s="63" t="s">
        <v>49</v>
      </c>
      <c r="C1755" s="63">
        <v>1758023318312</v>
      </c>
      <c r="D1755" s="63" t="s">
        <v>5247</v>
      </c>
      <c r="E1755" s="63" t="s">
        <v>424</v>
      </c>
      <c r="F1755" s="63" t="s">
        <v>433</v>
      </c>
    </row>
    <row r="1756" spans="2:6" x14ac:dyDescent="0.3">
      <c r="B1756" s="63" t="s">
        <v>49</v>
      </c>
      <c r="C1756" s="63">
        <v>1758023325435</v>
      </c>
      <c r="D1756" s="63" t="s">
        <v>5248</v>
      </c>
      <c r="E1756" s="63" t="s">
        <v>424</v>
      </c>
      <c r="F1756" s="63" t="s">
        <v>841</v>
      </c>
    </row>
    <row r="1757" spans="2:6" x14ac:dyDescent="0.3">
      <c r="B1757" s="63" t="s">
        <v>49</v>
      </c>
      <c r="C1757" s="63">
        <v>1758023330575</v>
      </c>
      <c r="D1757" s="63" t="s">
        <v>5249</v>
      </c>
      <c r="E1757" s="63" t="s">
        <v>424</v>
      </c>
      <c r="F1757" s="63" t="s">
        <v>449</v>
      </c>
    </row>
    <row r="1758" spans="2:6" x14ac:dyDescent="0.3">
      <c r="B1758" s="63" t="s">
        <v>426</v>
      </c>
      <c r="C1758" s="63">
        <v>1758023331118</v>
      </c>
      <c r="D1758" s="63" t="s">
        <v>5250</v>
      </c>
      <c r="E1758" s="63" t="s">
        <v>428</v>
      </c>
      <c r="F1758" s="63" t="s">
        <v>538</v>
      </c>
    </row>
    <row r="1759" spans="2:6" x14ac:dyDescent="0.3">
      <c r="B1759" s="63" t="s">
        <v>49</v>
      </c>
      <c r="C1759" s="63">
        <v>1758023335661</v>
      </c>
      <c r="D1759" s="63" t="s">
        <v>5251</v>
      </c>
      <c r="E1759" s="63" t="s">
        <v>424</v>
      </c>
      <c r="F1759" s="63" t="s">
        <v>451</v>
      </c>
    </row>
    <row r="1760" spans="2:6" x14ac:dyDescent="0.3">
      <c r="B1760" s="63" t="s">
        <v>426</v>
      </c>
      <c r="C1760" s="63">
        <v>1758023348782</v>
      </c>
      <c r="D1760" s="63" t="s">
        <v>5252</v>
      </c>
      <c r="E1760" s="63" t="s">
        <v>428</v>
      </c>
      <c r="F1760" s="63" t="s">
        <v>672</v>
      </c>
    </row>
    <row r="1761" spans="2:6" x14ac:dyDescent="0.3">
      <c r="B1761" s="63" t="s">
        <v>426</v>
      </c>
      <c r="C1761" s="63">
        <v>1758023365704</v>
      </c>
      <c r="D1761" s="63" t="s">
        <v>5253</v>
      </c>
      <c r="E1761" s="63" t="s">
        <v>428</v>
      </c>
      <c r="F1761" s="63" t="s">
        <v>523</v>
      </c>
    </row>
    <row r="1762" spans="2:6" x14ac:dyDescent="0.3">
      <c r="B1762" s="63" t="s">
        <v>426</v>
      </c>
      <c r="C1762" s="63">
        <v>1758023387030</v>
      </c>
      <c r="D1762" s="63" t="s">
        <v>5254</v>
      </c>
      <c r="E1762" s="63" t="s">
        <v>428</v>
      </c>
      <c r="F1762" s="63" t="s">
        <v>455</v>
      </c>
    </row>
    <row r="1763" spans="2:6" x14ac:dyDescent="0.3">
      <c r="B1763" s="63" t="s">
        <v>49</v>
      </c>
      <c r="C1763" s="63">
        <v>1758023407903</v>
      </c>
      <c r="D1763" s="63" t="s">
        <v>5255</v>
      </c>
      <c r="E1763" s="63" t="s">
        <v>463</v>
      </c>
      <c r="F1763" s="63" t="s">
        <v>464</v>
      </c>
    </row>
    <row r="1764" spans="2:6" x14ac:dyDescent="0.3">
      <c r="B1764" s="58" t="s">
        <v>50</v>
      </c>
      <c r="C1764" s="58">
        <v>1758023416464</v>
      </c>
      <c r="D1764" s="58" t="s">
        <v>5256</v>
      </c>
      <c r="E1764" s="58" t="s">
        <v>416</v>
      </c>
      <c r="F1764" s="58" t="s">
        <v>466</v>
      </c>
    </row>
    <row r="1765" spans="2:6" x14ac:dyDescent="0.3">
      <c r="B1765" s="58" t="s">
        <v>50</v>
      </c>
      <c r="C1765" s="58">
        <v>1758023416580</v>
      </c>
      <c r="D1765" s="58" t="s">
        <v>5257</v>
      </c>
      <c r="E1765" s="58" t="s">
        <v>468</v>
      </c>
      <c r="F1765" s="58" t="s">
        <v>5258</v>
      </c>
    </row>
    <row r="1766" spans="2:6" x14ac:dyDescent="0.3">
      <c r="B1766" s="58" t="s">
        <v>50</v>
      </c>
      <c r="C1766" s="58">
        <v>1758023430914</v>
      </c>
      <c r="D1766" s="58" t="s">
        <v>5259</v>
      </c>
      <c r="E1766" s="58" t="s">
        <v>419</v>
      </c>
      <c r="F1766" s="58" t="s">
        <v>420</v>
      </c>
    </row>
    <row r="1767" spans="2:6" x14ac:dyDescent="0.3">
      <c r="B1767" s="58" t="s">
        <v>50</v>
      </c>
      <c r="C1767" s="58">
        <v>1758023514070</v>
      </c>
      <c r="D1767" s="58" t="s">
        <v>5260</v>
      </c>
      <c r="E1767" s="58" t="s">
        <v>389</v>
      </c>
      <c r="F1767" s="58" t="s">
        <v>818</v>
      </c>
    </row>
    <row r="1768" spans="2:6" x14ac:dyDescent="0.3">
      <c r="B1768" s="58" t="s">
        <v>50</v>
      </c>
      <c r="C1768" s="58">
        <v>1758023515180</v>
      </c>
      <c r="D1768" s="58" t="s">
        <v>5261</v>
      </c>
      <c r="E1768" s="58" t="s">
        <v>389</v>
      </c>
      <c r="F1768" s="58" t="s">
        <v>2768</v>
      </c>
    </row>
    <row r="1769" spans="2:6" x14ac:dyDescent="0.3">
      <c r="B1769" s="58" t="s">
        <v>50</v>
      </c>
      <c r="C1769" s="58">
        <v>1758023515831</v>
      </c>
      <c r="D1769" s="58" t="s">
        <v>5262</v>
      </c>
      <c r="E1769" s="58" t="s">
        <v>389</v>
      </c>
      <c r="F1769" s="58" t="s">
        <v>659</v>
      </c>
    </row>
    <row r="1770" spans="2:6" x14ac:dyDescent="0.3">
      <c r="B1770" s="58" t="s">
        <v>50</v>
      </c>
      <c r="C1770" s="58">
        <v>1758023523586</v>
      </c>
      <c r="D1770" s="58" t="s">
        <v>5263</v>
      </c>
      <c r="E1770" s="58" t="s">
        <v>422</v>
      </c>
      <c r="F1770" s="58" t="s">
        <v>420</v>
      </c>
    </row>
    <row r="1771" spans="2:6" x14ac:dyDescent="0.3">
      <c r="B1771" s="58" t="s">
        <v>50</v>
      </c>
      <c r="C1771" s="58">
        <v>1758023539719</v>
      </c>
      <c r="D1771" s="58" t="s">
        <v>5264</v>
      </c>
      <c r="E1771" s="58" t="s">
        <v>424</v>
      </c>
      <c r="F1771" s="58" t="s">
        <v>518</v>
      </c>
    </row>
    <row r="1772" spans="2:6" x14ac:dyDescent="0.3">
      <c r="B1772" s="58" t="s">
        <v>426</v>
      </c>
      <c r="C1772" s="58">
        <v>1758023543335</v>
      </c>
      <c r="D1772" s="58" t="s">
        <v>5265</v>
      </c>
      <c r="E1772" s="58" t="s">
        <v>428</v>
      </c>
      <c r="F1772" s="58" t="s">
        <v>435</v>
      </c>
    </row>
    <row r="1773" spans="2:6" x14ac:dyDescent="0.3">
      <c r="B1773" s="58" t="s">
        <v>50</v>
      </c>
      <c r="C1773" s="58">
        <v>1758023555730</v>
      </c>
      <c r="D1773" s="58" t="s">
        <v>5266</v>
      </c>
      <c r="E1773" s="58" t="s">
        <v>424</v>
      </c>
      <c r="F1773" s="58" t="s">
        <v>457</v>
      </c>
    </row>
    <row r="1774" spans="2:6" x14ac:dyDescent="0.3">
      <c r="B1774" s="58" t="s">
        <v>426</v>
      </c>
      <c r="C1774" s="58">
        <v>1758023562428</v>
      </c>
      <c r="D1774" s="58" t="s">
        <v>5267</v>
      </c>
      <c r="E1774" s="58" t="s">
        <v>428</v>
      </c>
      <c r="F1774" s="58" t="s">
        <v>437</v>
      </c>
    </row>
    <row r="1775" spans="2:6" x14ac:dyDescent="0.3">
      <c r="B1775" s="58" t="s">
        <v>50</v>
      </c>
      <c r="C1775" s="58">
        <v>1758023563019</v>
      </c>
      <c r="D1775" s="58" t="s">
        <v>5268</v>
      </c>
      <c r="E1775" s="58" t="s">
        <v>424</v>
      </c>
      <c r="F1775" s="58" t="s">
        <v>459</v>
      </c>
    </row>
    <row r="1776" spans="2:6" x14ac:dyDescent="0.3">
      <c r="B1776" s="58" t="s">
        <v>426</v>
      </c>
      <c r="C1776" s="58">
        <v>1758023580874</v>
      </c>
      <c r="D1776" s="58" t="s">
        <v>5269</v>
      </c>
      <c r="E1776" s="58" t="s">
        <v>428</v>
      </c>
      <c r="F1776" s="58" t="s">
        <v>439</v>
      </c>
    </row>
    <row r="1777" spans="1:6" x14ac:dyDescent="0.3">
      <c r="B1777" s="58" t="s">
        <v>426</v>
      </c>
      <c r="C1777" s="58">
        <v>1758023601557</v>
      </c>
      <c r="D1777" s="58" t="s">
        <v>5270</v>
      </c>
      <c r="E1777" s="58" t="s">
        <v>428</v>
      </c>
      <c r="F1777" s="58" t="s">
        <v>455</v>
      </c>
    </row>
    <row r="1778" spans="1:6" x14ac:dyDescent="0.3">
      <c r="B1778" s="58" t="s">
        <v>426</v>
      </c>
      <c r="C1778" s="58">
        <v>1758023617733</v>
      </c>
      <c r="D1778" s="58" t="s">
        <v>5271</v>
      </c>
      <c r="E1778" s="58" t="s">
        <v>428</v>
      </c>
      <c r="F1778" s="58" t="s">
        <v>538</v>
      </c>
    </row>
    <row r="1779" spans="1:6" x14ac:dyDescent="0.3">
      <c r="B1779" s="58" t="s">
        <v>50</v>
      </c>
      <c r="C1779" s="58">
        <v>1758023625115</v>
      </c>
      <c r="D1779" s="58" t="s">
        <v>5272</v>
      </c>
      <c r="E1779" s="58" t="s">
        <v>424</v>
      </c>
      <c r="F1779" s="58" t="s">
        <v>461</v>
      </c>
    </row>
    <row r="1780" spans="1:6" x14ac:dyDescent="0.3">
      <c r="B1780" s="58" t="s">
        <v>426</v>
      </c>
      <c r="C1780" s="58">
        <v>1758023635372</v>
      </c>
      <c r="D1780" s="58" t="s">
        <v>5273</v>
      </c>
      <c r="E1780" s="58" t="s">
        <v>428</v>
      </c>
      <c r="F1780" s="58" t="s">
        <v>672</v>
      </c>
    </row>
    <row r="1781" spans="1:6" x14ac:dyDescent="0.3">
      <c r="B1781" s="58" t="s">
        <v>50</v>
      </c>
      <c r="C1781" s="58">
        <v>1758023644993</v>
      </c>
      <c r="D1781" s="58" t="s">
        <v>5274</v>
      </c>
      <c r="E1781" s="58" t="s">
        <v>424</v>
      </c>
      <c r="F1781" s="58" t="s">
        <v>441</v>
      </c>
    </row>
    <row r="1782" spans="1:6" x14ac:dyDescent="0.3">
      <c r="B1782" s="58" t="s">
        <v>426</v>
      </c>
      <c r="C1782" s="58">
        <v>1758023652209</v>
      </c>
      <c r="D1782" s="58" t="s">
        <v>5275</v>
      </c>
      <c r="E1782" s="58" t="s">
        <v>428</v>
      </c>
      <c r="F1782" s="58" t="s">
        <v>523</v>
      </c>
    </row>
    <row r="1783" spans="1:6" x14ac:dyDescent="0.3">
      <c r="B1783" s="58" t="s">
        <v>50</v>
      </c>
      <c r="C1783" s="58">
        <v>1758023652673</v>
      </c>
      <c r="D1783" s="58" t="s">
        <v>5276</v>
      </c>
      <c r="E1783" s="58" t="s">
        <v>424</v>
      </c>
      <c r="F1783" s="58" t="s">
        <v>830</v>
      </c>
    </row>
    <row r="1784" spans="1:6" x14ac:dyDescent="0.3">
      <c r="B1784" s="58" t="s">
        <v>50</v>
      </c>
      <c r="C1784" s="58">
        <v>1758023660916</v>
      </c>
      <c r="D1784" s="58" t="s">
        <v>5277</v>
      </c>
      <c r="E1784" s="58" t="s">
        <v>424</v>
      </c>
      <c r="F1784" s="58" t="s">
        <v>667</v>
      </c>
    </row>
    <row r="1785" spans="1:6" x14ac:dyDescent="0.3">
      <c r="B1785" s="58" t="s">
        <v>50</v>
      </c>
      <c r="C1785" s="58">
        <v>1758023667934</v>
      </c>
      <c r="D1785" s="58" t="s">
        <v>5278</v>
      </c>
      <c r="E1785" s="58" t="s">
        <v>424</v>
      </c>
      <c r="F1785" s="58" t="s">
        <v>433</v>
      </c>
    </row>
    <row r="1786" spans="1:6" x14ac:dyDescent="0.3">
      <c r="B1786" s="58" t="s">
        <v>50</v>
      </c>
      <c r="C1786" s="58">
        <v>1758023679204</v>
      </c>
      <c r="D1786" s="58" t="s">
        <v>5279</v>
      </c>
      <c r="E1786" s="58" t="s">
        <v>424</v>
      </c>
      <c r="F1786" s="58" t="s">
        <v>841</v>
      </c>
    </row>
    <row r="1787" spans="1:6" x14ac:dyDescent="0.3">
      <c r="B1787" s="58" t="s">
        <v>50</v>
      </c>
      <c r="C1787" s="58">
        <v>1758023681450</v>
      </c>
      <c r="D1787" s="58" t="s">
        <v>5280</v>
      </c>
      <c r="E1787" s="58" t="s">
        <v>424</v>
      </c>
      <c r="F1787" s="58" t="s">
        <v>449</v>
      </c>
    </row>
    <row r="1788" spans="1:6" x14ac:dyDescent="0.3">
      <c r="B1788" s="58" t="s">
        <v>50</v>
      </c>
      <c r="C1788" s="58">
        <v>1758023682170</v>
      </c>
      <c r="D1788" s="58" t="s">
        <v>5281</v>
      </c>
      <c r="E1788" s="58" t="s">
        <v>424</v>
      </c>
      <c r="F1788" s="58" t="s">
        <v>451</v>
      </c>
    </row>
    <row r="1789" spans="1:6" x14ac:dyDescent="0.3">
      <c r="B1789" s="58" t="s">
        <v>50</v>
      </c>
      <c r="C1789" s="58">
        <v>1758023685591</v>
      </c>
      <c r="D1789" s="58" t="s">
        <v>5282</v>
      </c>
      <c r="E1789" s="58" t="s">
        <v>463</v>
      </c>
      <c r="F1789" s="58" t="s">
        <v>464</v>
      </c>
    </row>
    <row r="1790" spans="1:6" ht="21" x14ac:dyDescent="0.4">
      <c r="A1790" s="69" t="s">
        <v>60</v>
      </c>
      <c r="B1790" s="63" t="s">
        <v>55</v>
      </c>
      <c r="C1790" s="63">
        <v>1758027390358</v>
      </c>
      <c r="D1790" s="63" t="s">
        <v>5283</v>
      </c>
      <c r="E1790" s="63" t="s">
        <v>416</v>
      </c>
      <c r="F1790" t="s">
        <v>417</v>
      </c>
    </row>
    <row r="1791" spans="1:6" x14ac:dyDescent="0.3">
      <c r="B1791" s="63" t="s">
        <v>55</v>
      </c>
      <c r="C1791" s="63">
        <v>1758027396268</v>
      </c>
      <c r="D1791" s="63" t="s">
        <v>5284</v>
      </c>
      <c r="E1791" s="63" t="s">
        <v>419</v>
      </c>
      <c r="F1791" t="s">
        <v>420</v>
      </c>
    </row>
    <row r="1792" spans="1:6" x14ac:dyDescent="0.3">
      <c r="B1792" s="63" t="s">
        <v>55</v>
      </c>
      <c r="C1792" s="63">
        <v>1758027409228</v>
      </c>
      <c r="D1792" s="63" t="s">
        <v>5285</v>
      </c>
      <c r="E1792" s="63" t="s">
        <v>389</v>
      </c>
      <c r="F1792" t="s">
        <v>396</v>
      </c>
    </row>
    <row r="1793" spans="2:6" x14ac:dyDescent="0.3">
      <c r="B1793" s="63" t="s">
        <v>55</v>
      </c>
      <c r="C1793" s="63">
        <v>1758027409567</v>
      </c>
      <c r="D1793" s="63" t="s">
        <v>5286</v>
      </c>
      <c r="E1793" s="63" t="s">
        <v>389</v>
      </c>
      <c r="F1793" t="s">
        <v>398</v>
      </c>
    </row>
    <row r="1794" spans="2:6" x14ac:dyDescent="0.3">
      <c r="B1794" s="63" t="s">
        <v>55</v>
      </c>
      <c r="C1794" s="63">
        <v>1758027409845</v>
      </c>
      <c r="D1794" s="63" t="s">
        <v>5287</v>
      </c>
      <c r="E1794" s="63" t="s">
        <v>389</v>
      </c>
      <c r="F1794" t="s">
        <v>400</v>
      </c>
    </row>
    <row r="1795" spans="2:6" x14ac:dyDescent="0.3">
      <c r="B1795" s="63" t="s">
        <v>55</v>
      </c>
      <c r="C1795" s="63">
        <v>1758027410928</v>
      </c>
      <c r="D1795" s="63" t="s">
        <v>5288</v>
      </c>
      <c r="E1795" s="63" t="s">
        <v>389</v>
      </c>
      <c r="F1795" t="s">
        <v>390</v>
      </c>
    </row>
    <row r="1796" spans="2:6" x14ac:dyDescent="0.3">
      <c r="B1796" s="63" t="s">
        <v>55</v>
      </c>
      <c r="C1796" s="63">
        <v>1758027411306</v>
      </c>
      <c r="D1796" s="63" t="s">
        <v>5289</v>
      </c>
      <c r="E1796" s="63" t="s">
        <v>389</v>
      </c>
      <c r="F1796" t="s">
        <v>392</v>
      </c>
    </row>
    <row r="1797" spans="2:6" x14ac:dyDescent="0.3">
      <c r="B1797" s="63" t="s">
        <v>55</v>
      </c>
      <c r="C1797" s="63">
        <v>1758027412995</v>
      </c>
      <c r="D1797" s="63" t="s">
        <v>5290</v>
      </c>
      <c r="E1797" s="63" t="s">
        <v>389</v>
      </c>
      <c r="F1797" t="s">
        <v>508</v>
      </c>
    </row>
    <row r="1798" spans="2:6" x14ac:dyDescent="0.3">
      <c r="B1798" s="63" t="s">
        <v>55</v>
      </c>
      <c r="C1798" s="63">
        <v>1758027413602</v>
      </c>
      <c r="D1798" s="63" t="s">
        <v>5291</v>
      </c>
      <c r="E1798" s="63" t="s">
        <v>389</v>
      </c>
      <c r="F1798" t="s">
        <v>660</v>
      </c>
    </row>
    <row r="1799" spans="2:6" x14ac:dyDescent="0.3">
      <c r="B1799" s="63" t="s">
        <v>55</v>
      </c>
      <c r="C1799" s="63">
        <v>1758027414458</v>
      </c>
      <c r="D1799" s="63" t="s">
        <v>5292</v>
      </c>
      <c r="E1799" s="63" t="s">
        <v>389</v>
      </c>
      <c r="F1799" t="s">
        <v>406</v>
      </c>
    </row>
    <row r="1800" spans="2:6" x14ac:dyDescent="0.3">
      <c r="B1800" s="63" t="s">
        <v>55</v>
      </c>
      <c r="C1800" s="63">
        <v>1758027415993</v>
      </c>
      <c r="D1800" s="63" t="s">
        <v>5293</v>
      </c>
      <c r="E1800" s="63" t="s">
        <v>389</v>
      </c>
      <c r="F1800" t="s">
        <v>495</v>
      </c>
    </row>
    <row r="1801" spans="2:6" x14ac:dyDescent="0.3">
      <c r="B1801" s="63" t="s">
        <v>55</v>
      </c>
      <c r="C1801" s="63">
        <v>1758027417053</v>
      </c>
      <c r="D1801" s="63" t="s">
        <v>5294</v>
      </c>
      <c r="E1801" s="63" t="s">
        <v>389</v>
      </c>
      <c r="F1801" t="s">
        <v>410</v>
      </c>
    </row>
    <row r="1802" spans="2:6" x14ac:dyDescent="0.3">
      <c r="B1802" s="63" t="s">
        <v>55</v>
      </c>
      <c r="C1802" s="63">
        <v>1758027419511</v>
      </c>
      <c r="D1802" s="63" t="s">
        <v>5295</v>
      </c>
      <c r="E1802" s="63" t="s">
        <v>389</v>
      </c>
      <c r="F1802" t="s">
        <v>414</v>
      </c>
    </row>
    <row r="1803" spans="2:6" x14ac:dyDescent="0.3">
      <c r="B1803" s="63" t="s">
        <v>55</v>
      </c>
      <c r="C1803" s="63">
        <v>1758027430139</v>
      </c>
      <c r="D1803" s="63" t="s">
        <v>5296</v>
      </c>
      <c r="E1803" s="63" t="s">
        <v>389</v>
      </c>
      <c r="F1803" t="s">
        <v>502</v>
      </c>
    </row>
    <row r="1804" spans="2:6" x14ac:dyDescent="0.3">
      <c r="B1804" s="63" t="s">
        <v>55</v>
      </c>
      <c r="C1804" s="63">
        <v>1758027441892</v>
      </c>
      <c r="D1804" s="63" t="s">
        <v>5297</v>
      </c>
      <c r="E1804" s="63" t="s">
        <v>389</v>
      </c>
      <c r="F1804" t="s">
        <v>506</v>
      </c>
    </row>
    <row r="1805" spans="2:6" x14ac:dyDescent="0.3">
      <c r="B1805" s="63" t="s">
        <v>55</v>
      </c>
      <c r="C1805" s="63">
        <v>1758027463157</v>
      </c>
      <c r="D1805" s="63" t="s">
        <v>5298</v>
      </c>
      <c r="E1805" s="63" t="s">
        <v>389</v>
      </c>
      <c r="F1805" t="s">
        <v>818</v>
      </c>
    </row>
    <row r="1806" spans="2:6" x14ac:dyDescent="0.3">
      <c r="B1806" s="63" t="s">
        <v>55</v>
      </c>
      <c r="C1806" s="63">
        <v>1758027473201</v>
      </c>
      <c r="D1806" s="63" t="s">
        <v>5299</v>
      </c>
      <c r="E1806" s="63" t="s">
        <v>389</v>
      </c>
      <c r="F1806" t="s">
        <v>390</v>
      </c>
    </row>
    <row r="1807" spans="2:6" x14ac:dyDescent="0.3">
      <c r="B1807" s="63" t="s">
        <v>55</v>
      </c>
      <c r="C1807" s="63">
        <v>1758027491662</v>
      </c>
      <c r="D1807" s="63" t="s">
        <v>5300</v>
      </c>
      <c r="E1807" s="63" t="s">
        <v>389</v>
      </c>
      <c r="F1807" t="s">
        <v>404</v>
      </c>
    </row>
    <row r="1808" spans="2:6" x14ac:dyDescent="0.3">
      <c r="B1808" s="63" t="s">
        <v>55</v>
      </c>
      <c r="C1808" s="63">
        <v>1758027513212</v>
      </c>
      <c r="D1808" s="63" t="s">
        <v>5301</v>
      </c>
      <c r="E1808" s="63" t="s">
        <v>422</v>
      </c>
      <c r="F1808" t="s">
        <v>420</v>
      </c>
    </row>
    <row r="1809" spans="2:6" x14ac:dyDescent="0.3">
      <c r="B1809" s="63" t="s">
        <v>55</v>
      </c>
      <c r="C1809" s="63">
        <v>1758027525782</v>
      </c>
      <c r="D1809" s="63" t="s">
        <v>5302</v>
      </c>
      <c r="E1809" s="63" t="s">
        <v>422</v>
      </c>
      <c r="F1809" t="s">
        <v>420</v>
      </c>
    </row>
    <row r="1810" spans="2:6" x14ac:dyDescent="0.3">
      <c r="B1810" s="63" t="s">
        <v>55</v>
      </c>
      <c r="C1810" s="63">
        <v>1758027531323</v>
      </c>
      <c r="D1810" s="63" t="s">
        <v>5303</v>
      </c>
      <c r="E1810" s="63" t="s">
        <v>424</v>
      </c>
      <c r="F1810" t="s">
        <v>549</v>
      </c>
    </row>
    <row r="1811" spans="2:6" x14ac:dyDescent="0.3">
      <c r="B1811" s="63" t="s">
        <v>426</v>
      </c>
      <c r="C1811" s="63">
        <v>1758027542581</v>
      </c>
      <c r="D1811" s="63" t="s">
        <v>5304</v>
      </c>
      <c r="E1811" s="63" t="s">
        <v>428</v>
      </c>
      <c r="F1811" t="s">
        <v>437</v>
      </c>
    </row>
    <row r="1812" spans="2:6" x14ac:dyDescent="0.3">
      <c r="B1812" s="63" t="s">
        <v>55</v>
      </c>
      <c r="C1812" s="63">
        <v>1758027579013</v>
      </c>
      <c r="D1812" s="63" t="s">
        <v>5305</v>
      </c>
      <c r="E1812" s="63" t="s">
        <v>419</v>
      </c>
      <c r="F1812" t="s">
        <v>420</v>
      </c>
    </row>
    <row r="1813" spans="2:6" x14ac:dyDescent="0.3">
      <c r="B1813" s="63" t="s">
        <v>426</v>
      </c>
      <c r="C1813" s="63">
        <v>1758027595786</v>
      </c>
      <c r="D1813" s="63" t="s">
        <v>5306</v>
      </c>
      <c r="E1813" s="63" t="s">
        <v>428</v>
      </c>
      <c r="F1813" t="s">
        <v>523</v>
      </c>
    </row>
    <row r="1814" spans="2:6" x14ac:dyDescent="0.3">
      <c r="B1814" s="63" t="s">
        <v>55</v>
      </c>
      <c r="C1814" s="63">
        <v>1758027596999</v>
      </c>
      <c r="D1814" s="63" t="s">
        <v>5307</v>
      </c>
      <c r="E1814" s="63" t="s">
        <v>424</v>
      </c>
      <c r="F1814" t="s">
        <v>553</v>
      </c>
    </row>
    <row r="1815" spans="2:6" x14ac:dyDescent="0.3">
      <c r="B1815" s="63" t="s">
        <v>426</v>
      </c>
      <c r="C1815" s="63">
        <v>1758027611341</v>
      </c>
      <c r="D1815" s="63" t="s">
        <v>5308</v>
      </c>
      <c r="E1815" s="63" t="s">
        <v>428</v>
      </c>
      <c r="F1815" t="s">
        <v>447</v>
      </c>
    </row>
    <row r="1816" spans="2:6" x14ac:dyDescent="0.3">
      <c r="B1816" s="63" t="s">
        <v>55</v>
      </c>
      <c r="C1816" s="63">
        <v>1758027614927</v>
      </c>
      <c r="D1816" s="63" t="s">
        <v>5309</v>
      </c>
      <c r="E1816" s="63" t="s">
        <v>424</v>
      </c>
      <c r="F1816" t="s">
        <v>441</v>
      </c>
    </row>
    <row r="1817" spans="2:6" x14ac:dyDescent="0.3">
      <c r="B1817" s="63" t="s">
        <v>426</v>
      </c>
      <c r="C1817" s="63">
        <v>1758027632699</v>
      </c>
      <c r="D1817" s="63" t="s">
        <v>5310</v>
      </c>
      <c r="E1817" s="63" t="s">
        <v>428</v>
      </c>
      <c r="F1817" t="s">
        <v>455</v>
      </c>
    </row>
    <row r="1818" spans="2:6" x14ac:dyDescent="0.3">
      <c r="B1818" s="63" t="s">
        <v>426</v>
      </c>
      <c r="C1818" s="63">
        <v>1758027648213</v>
      </c>
      <c r="D1818" s="63" t="s">
        <v>5311</v>
      </c>
      <c r="E1818" s="63" t="s">
        <v>428</v>
      </c>
      <c r="F1818" t="s">
        <v>538</v>
      </c>
    </row>
    <row r="1819" spans="2:6" x14ac:dyDescent="0.3">
      <c r="B1819" s="63" t="s">
        <v>55</v>
      </c>
      <c r="C1819" s="63">
        <v>1758027653165</v>
      </c>
      <c r="D1819" s="63" t="s">
        <v>5312</v>
      </c>
      <c r="E1819" s="63" t="s">
        <v>424</v>
      </c>
      <c r="F1819" t="s">
        <v>445</v>
      </c>
    </row>
    <row r="1820" spans="2:6" x14ac:dyDescent="0.3">
      <c r="B1820" s="63" t="s">
        <v>426</v>
      </c>
      <c r="C1820" s="63">
        <v>1758027665945</v>
      </c>
      <c r="D1820" s="63" t="s">
        <v>5313</v>
      </c>
      <c r="E1820" s="63" t="s">
        <v>428</v>
      </c>
      <c r="F1820" t="s">
        <v>453</v>
      </c>
    </row>
    <row r="1821" spans="2:6" x14ac:dyDescent="0.3">
      <c r="B1821" s="63" t="s">
        <v>55</v>
      </c>
      <c r="C1821" s="63">
        <v>1758027675442</v>
      </c>
      <c r="D1821" s="63" t="s">
        <v>5314</v>
      </c>
      <c r="E1821" s="63" t="s">
        <v>424</v>
      </c>
      <c r="F1821" t="s">
        <v>457</v>
      </c>
    </row>
    <row r="1822" spans="2:6" x14ac:dyDescent="0.3">
      <c r="B1822" s="63" t="s">
        <v>55</v>
      </c>
      <c r="C1822" s="63">
        <v>1758027680692</v>
      </c>
      <c r="D1822" s="63" t="s">
        <v>5315</v>
      </c>
      <c r="E1822" s="63" t="s">
        <v>424</v>
      </c>
      <c r="F1822" t="s">
        <v>459</v>
      </c>
    </row>
    <row r="1823" spans="2:6" x14ac:dyDescent="0.3">
      <c r="B1823" s="63" t="s">
        <v>426</v>
      </c>
      <c r="C1823" s="63">
        <v>1758027684340</v>
      </c>
      <c r="D1823" s="63" t="s">
        <v>5316</v>
      </c>
      <c r="E1823" s="63" t="s">
        <v>428</v>
      </c>
      <c r="F1823" t="s">
        <v>429</v>
      </c>
    </row>
    <row r="1824" spans="2:6" x14ac:dyDescent="0.3">
      <c r="B1824" s="63" t="s">
        <v>426</v>
      </c>
      <c r="C1824" s="63">
        <v>1758027702011</v>
      </c>
      <c r="D1824" s="63" t="s">
        <v>5317</v>
      </c>
      <c r="E1824" s="63" t="s">
        <v>428</v>
      </c>
      <c r="F1824" t="s">
        <v>431</v>
      </c>
    </row>
    <row r="1825" spans="2:6" x14ac:dyDescent="0.3">
      <c r="B1825" s="63" t="s">
        <v>55</v>
      </c>
      <c r="C1825" s="63">
        <v>1758027715999</v>
      </c>
      <c r="D1825" s="63" t="s">
        <v>5318</v>
      </c>
      <c r="E1825" s="63" t="s">
        <v>424</v>
      </c>
      <c r="F1825" t="s">
        <v>461</v>
      </c>
    </row>
    <row r="1826" spans="2:6" x14ac:dyDescent="0.3">
      <c r="B1826" s="63" t="s">
        <v>55</v>
      </c>
      <c r="C1826" s="63">
        <v>1758027722167</v>
      </c>
      <c r="D1826" s="63" t="s">
        <v>5319</v>
      </c>
      <c r="E1826" s="63" t="s">
        <v>424</v>
      </c>
      <c r="F1826" t="s">
        <v>433</v>
      </c>
    </row>
    <row r="1827" spans="2:6" x14ac:dyDescent="0.3">
      <c r="B1827" s="63" t="s">
        <v>55</v>
      </c>
      <c r="C1827" s="63">
        <v>1758027728841</v>
      </c>
      <c r="D1827" s="63" t="s">
        <v>5320</v>
      </c>
      <c r="E1827" s="63" t="s">
        <v>424</v>
      </c>
      <c r="F1827" t="s">
        <v>449</v>
      </c>
    </row>
    <row r="1828" spans="2:6" x14ac:dyDescent="0.3">
      <c r="B1828" s="63" t="s">
        <v>55</v>
      </c>
      <c r="C1828" s="63">
        <v>1758027734126</v>
      </c>
      <c r="D1828" s="63" t="s">
        <v>5321</v>
      </c>
      <c r="E1828" s="63" t="s">
        <v>424</v>
      </c>
      <c r="F1828" t="s">
        <v>451</v>
      </c>
    </row>
    <row r="1829" spans="2:6" x14ac:dyDescent="0.3">
      <c r="B1829" s="63" t="s">
        <v>55</v>
      </c>
      <c r="C1829" s="63">
        <v>1758027736954</v>
      </c>
      <c r="D1829" s="63" t="s">
        <v>5322</v>
      </c>
      <c r="E1829" s="63" t="s">
        <v>463</v>
      </c>
      <c r="F1829" t="s">
        <v>464</v>
      </c>
    </row>
    <row r="1830" spans="2:6" x14ac:dyDescent="0.3">
      <c r="B1830" s="58" t="s">
        <v>56</v>
      </c>
      <c r="C1830" s="58">
        <v>1758027744845</v>
      </c>
      <c r="D1830" s="58" t="s">
        <v>5323</v>
      </c>
      <c r="E1830" s="58" t="s">
        <v>416</v>
      </c>
      <c r="F1830" t="s">
        <v>466</v>
      </c>
    </row>
    <row r="1831" spans="2:6" x14ac:dyDescent="0.3">
      <c r="B1831" s="58" t="s">
        <v>56</v>
      </c>
      <c r="C1831" s="58">
        <v>1758027745066</v>
      </c>
      <c r="D1831" s="58" t="s">
        <v>5324</v>
      </c>
      <c r="E1831" s="58" t="s">
        <v>468</v>
      </c>
      <c r="F1831" t="s">
        <v>5325</v>
      </c>
    </row>
    <row r="1832" spans="2:6" x14ac:dyDescent="0.3">
      <c r="B1832" s="58" t="s">
        <v>56</v>
      </c>
      <c r="C1832" s="58">
        <v>1758027745572</v>
      </c>
      <c r="D1832" s="58" t="s">
        <v>5326</v>
      </c>
      <c r="E1832" s="58" t="s">
        <v>419</v>
      </c>
      <c r="F1832" t="s">
        <v>420</v>
      </c>
    </row>
    <row r="1833" spans="2:6" x14ac:dyDescent="0.3">
      <c r="B1833" s="58" t="s">
        <v>56</v>
      </c>
      <c r="C1833" s="58">
        <v>1758027786870</v>
      </c>
      <c r="D1833" s="58" t="s">
        <v>5327</v>
      </c>
      <c r="E1833" s="58" t="s">
        <v>389</v>
      </c>
      <c r="F1833" t="s">
        <v>396</v>
      </c>
    </row>
    <row r="1834" spans="2:6" x14ac:dyDescent="0.3">
      <c r="B1834" s="58" t="s">
        <v>56</v>
      </c>
      <c r="C1834" s="58">
        <v>1758027788210</v>
      </c>
      <c r="D1834" s="58" t="s">
        <v>5328</v>
      </c>
      <c r="E1834" s="58" t="s">
        <v>389</v>
      </c>
      <c r="F1834" t="s">
        <v>504</v>
      </c>
    </row>
    <row r="1835" spans="2:6" x14ac:dyDescent="0.3">
      <c r="B1835" s="58" t="s">
        <v>56</v>
      </c>
      <c r="C1835" s="58">
        <v>1758027798899</v>
      </c>
      <c r="D1835" s="58" t="s">
        <v>5329</v>
      </c>
      <c r="E1835" s="58" t="s">
        <v>389</v>
      </c>
      <c r="F1835" t="s">
        <v>1685</v>
      </c>
    </row>
    <row r="1836" spans="2:6" x14ac:dyDescent="0.3">
      <c r="B1836" s="58" t="s">
        <v>56</v>
      </c>
      <c r="C1836" s="58">
        <v>1758027820276</v>
      </c>
      <c r="D1836" s="58" t="s">
        <v>5330</v>
      </c>
      <c r="E1836" s="58" t="s">
        <v>389</v>
      </c>
      <c r="F1836" t="s">
        <v>502</v>
      </c>
    </row>
    <row r="1837" spans="2:6" x14ac:dyDescent="0.3">
      <c r="B1837" s="58" t="s">
        <v>56</v>
      </c>
      <c r="C1837" s="58">
        <v>1758027821776</v>
      </c>
      <c r="D1837" s="58" t="s">
        <v>5331</v>
      </c>
      <c r="E1837" s="58" t="s">
        <v>389</v>
      </c>
      <c r="F1837" t="s">
        <v>400</v>
      </c>
    </row>
    <row r="1838" spans="2:6" x14ac:dyDescent="0.3">
      <c r="B1838" s="58" t="s">
        <v>56</v>
      </c>
      <c r="C1838" s="58">
        <v>1758027823577</v>
      </c>
      <c r="D1838" s="58" t="s">
        <v>5332</v>
      </c>
      <c r="E1838" s="58" t="s">
        <v>422</v>
      </c>
      <c r="F1838" t="s">
        <v>420</v>
      </c>
    </row>
    <row r="1839" spans="2:6" x14ac:dyDescent="0.3">
      <c r="B1839" s="58" t="s">
        <v>56</v>
      </c>
      <c r="C1839" s="58">
        <v>1758027835333</v>
      </c>
      <c r="D1839" s="58" t="s">
        <v>5333</v>
      </c>
      <c r="E1839" s="58" t="s">
        <v>424</v>
      </c>
      <c r="F1839" t="s">
        <v>549</v>
      </c>
    </row>
    <row r="1840" spans="2:6" x14ac:dyDescent="0.3">
      <c r="B1840" s="58" t="s">
        <v>426</v>
      </c>
      <c r="C1840" s="58">
        <v>1758027854746</v>
      </c>
      <c r="D1840" s="58" t="s">
        <v>5334</v>
      </c>
      <c r="E1840" s="58" t="s">
        <v>428</v>
      </c>
      <c r="F1840" t="s">
        <v>439</v>
      </c>
    </row>
    <row r="1841" spans="2:6" x14ac:dyDescent="0.3">
      <c r="B1841" s="58" t="s">
        <v>56</v>
      </c>
      <c r="C1841" s="58">
        <v>1758027863456</v>
      </c>
      <c r="D1841" s="58" t="s">
        <v>5335</v>
      </c>
      <c r="E1841" s="58" t="s">
        <v>424</v>
      </c>
      <c r="F1841" t="s">
        <v>551</v>
      </c>
    </row>
    <row r="1842" spans="2:6" x14ac:dyDescent="0.3">
      <c r="B1842" s="58" t="s">
        <v>426</v>
      </c>
      <c r="C1842" s="58">
        <v>1758027870208</v>
      </c>
      <c r="D1842" s="58" t="s">
        <v>5336</v>
      </c>
      <c r="E1842" s="58" t="s">
        <v>428</v>
      </c>
      <c r="F1842" t="s">
        <v>429</v>
      </c>
    </row>
    <row r="1843" spans="2:6" x14ac:dyDescent="0.3">
      <c r="B1843" s="58" t="s">
        <v>56</v>
      </c>
      <c r="C1843" s="58">
        <v>1758027875228</v>
      </c>
      <c r="D1843" s="58" t="s">
        <v>5337</v>
      </c>
      <c r="E1843" s="58" t="s">
        <v>424</v>
      </c>
      <c r="F1843" t="s">
        <v>441</v>
      </c>
    </row>
    <row r="1844" spans="2:6" x14ac:dyDescent="0.3">
      <c r="B1844" s="58" t="s">
        <v>426</v>
      </c>
      <c r="C1844" s="58">
        <v>1758027885726</v>
      </c>
      <c r="D1844" s="58" t="s">
        <v>5338</v>
      </c>
      <c r="E1844" s="58" t="s">
        <v>428</v>
      </c>
      <c r="F1844" t="s">
        <v>431</v>
      </c>
    </row>
    <row r="1845" spans="2:6" x14ac:dyDescent="0.3">
      <c r="B1845" s="58" t="s">
        <v>56</v>
      </c>
      <c r="C1845" s="58">
        <v>1758027892476</v>
      </c>
      <c r="D1845" s="58" t="s">
        <v>5339</v>
      </c>
      <c r="E1845" s="58" t="s">
        <v>424</v>
      </c>
      <c r="F1845" t="s">
        <v>433</v>
      </c>
    </row>
    <row r="1846" spans="2:6" x14ac:dyDescent="0.3">
      <c r="B1846" s="58" t="s">
        <v>426</v>
      </c>
      <c r="C1846" s="58">
        <v>1758027899876</v>
      </c>
      <c r="D1846" s="58" t="s">
        <v>5340</v>
      </c>
      <c r="E1846" s="58" t="s">
        <v>428</v>
      </c>
      <c r="F1846" t="s">
        <v>453</v>
      </c>
    </row>
    <row r="1847" spans="2:6" x14ac:dyDescent="0.3">
      <c r="B1847" s="58" t="s">
        <v>426</v>
      </c>
      <c r="C1847" s="58">
        <v>1758027916074</v>
      </c>
      <c r="D1847" s="58" t="s">
        <v>5341</v>
      </c>
      <c r="E1847" s="58" t="s">
        <v>428</v>
      </c>
      <c r="F1847" t="s">
        <v>538</v>
      </c>
    </row>
    <row r="1848" spans="2:6" x14ac:dyDescent="0.3">
      <c r="B1848" s="58" t="s">
        <v>56</v>
      </c>
      <c r="C1848" s="58">
        <v>1758027917380</v>
      </c>
      <c r="D1848" s="58" t="s">
        <v>5342</v>
      </c>
      <c r="E1848" s="58" t="s">
        <v>424</v>
      </c>
      <c r="F1848" t="s">
        <v>457</v>
      </c>
    </row>
    <row r="1849" spans="2:6" x14ac:dyDescent="0.3">
      <c r="B1849" s="58" t="s">
        <v>56</v>
      </c>
      <c r="C1849" s="58">
        <v>1758027923563</v>
      </c>
      <c r="D1849" s="58" t="s">
        <v>5343</v>
      </c>
      <c r="E1849" s="58" t="s">
        <v>424</v>
      </c>
      <c r="F1849" t="s">
        <v>459</v>
      </c>
    </row>
    <row r="1850" spans="2:6" x14ac:dyDescent="0.3">
      <c r="B1850" s="58" t="s">
        <v>426</v>
      </c>
      <c r="C1850" s="58">
        <v>1758027933789</v>
      </c>
      <c r="D1850" s="58" t="s">
        <v>5344</v>
      </c>
      <c r="E1850" s="58" t="s">
        <v>428</v>
      </c>
      <c r="F1850" t="s">
        <v>672</v>
      </c>
    </row>
    <row r="1851" spans="2:6" x14ac:dyDescent="0.3">
      <c r="B1851" s="58" t="s">
        <v>426</v>
      </c>
      <c r="C1851" s="58">
        <v>1758027950696</v>
      </c>
      <c r="D1851" s="58" t="s">
        <v>5345</v>
      </c>
      <c r="E1851" s="58" t="s">
        <v>428</v>
      </c>
      <c r="F1851" t="s">
        <v>523</v>
      </c>
    </row>
    <row r="1852" spans="2:6" x14ac:dyDescent="0.3">
      <c r="B1852" s="58" t="s">
        <v>56</v>
      </c>
      <c r="C1852" s="58">
        <v>1758027954585</v>
      </c>
      <c r="D1852" s="58" t="s">
        <v>5346</v>
      </c>
      <c r="E1852" s="58" t="s">
        <v>424</v>
      </c>
      <c r="F1852" t="s">
        <v>461</v>
      </c>
    </row>
    <row r="1853" spans="2:6" x14ac:dyDescent="0.3">
      <c r="B1853" s="58" t="s">
        <v>426</v>
      </c>
      <c r="C1853" s="58">
        <v>1758027966138</v>
      </c>
      <c r="D1853" s="58" t="s">
        <v>5347</v>
      </c>
      <c r="E1853" s="58" t="s">
        <v>428</v>
      </c>
      <c r="F1853" t="s">
        <v>447</v>
      </c>
    </row>
    <row r="1854" spans="2:6" x14ac:dyDescent="0.3">
      <c r="B1854" s="58" t="s">
        <v>56</v>
      </c>
      <c r="C1854" s="58">
        <v>1758027971413</v>
      </c>
      <c r="D1854" s="58" t="s">
        <v>5348</v>
      </c>
      <c r="E1854" s="58" t="s">
        <v>424</v>
      </c>
      <c r="F1854" t="s">
        <v>449</v>
      </c>
    </row>
    <row r="1855" spans="2:6" x14ac:dyDescent="0.3">
      <c r="B1855" s="58" t="s">
        <v>426</v>
      </c>
      <c r="C1855" s="58">
        <v>1758027986679</v>
      </c>
      <c r="D1855" s="58" t="s">
        <v>5349</v>
      </c>
      <c r="E1855" s="58" t="s">
        <v>428</v>
      </c>
      <c r="F1855" t="s">
        <v>455</v>
      </c>
    </row>
    <row r="1856" spans="2:6" x14ac:dyDescent="0.3">
      <c r="B1856" s="58" t="s">
        <v>56</v>
      </c>
      <c r="C1856" s="58">
        <v>1758027986937</v>
      </c>
      <c r="D1856" s="58" t="s">
        <v>5350</v>
      </c>
      <c r="E1856" s="58" t="s">
        <v>424</v>
      </c>
      <c r="F1856" t="s">
        <v>451</v>
      </c>
    </row>
    <row r="1857" spans="1:6" x14ac:dyDescent="0.3">
      <c r="B1857" s="58" t="s">
        <v>56</v>
      </c>
      <c r="C1857" s="58">
        <v>1758027987937</v>
      </c>
      <c r="D1857" s="58" t="s">
        <v>5351</v>
      </c>
      <c r="E1857" s="58" t="s">
        <v>463</v>
      </c>
      <c r="F1857" t="s">
        <v>464</v>
      </c>
    </row>
    <row r="1858" spans="1:6" ht="21" x14ac:dyDescent="0.4">
      <c r="A1858" s="69" t="s">
        <v>61</v>
      </c>
      <c r="B1858" s="63" t="s">
        <v>5524</v>
      </c>
      <c r="C1858" s="63">
        <v>1758038100104</v>
      </c>
      <c r="D1858" s="63" t="s">
        <v>5525</v>
      </c>
      <c r="E1858" s="63" t="s">
        <v>416</v>
      </c>
      <c r="F1858" t="s">
        <v>417</v>
      </c>
    </row>
    <row r="1859" spans="1:6" x14ac:dyDescent="0.3">
      <c r="B1859" s="63" t="s">
        <v>5524</v>
      </c>
      <c r="C1859" s="63">
        <v>1758038114354</v>
      </c>
      <c r="D1859" s="63" t="s">
        <v>5526</v>
      </c>
      <c r="E1859" s="63" t="s">
        <v>419</v>
      </c>
      <c r="F1859" t="s">
        <v>420</v>
      </c>
    </row>
    <row r="1860" spans="1:6" x14ac:dyDescent="0.3">
      <c r="B1860" s="63" t="s">
        <v>5524</v>
      </c>
      <c r="C1860" s="63">
        <v>1758038120716</v>
      </c>
      <c r="D1860" s="63" t="s">
        <v>5527</v>
      </c>
      <c r="E1860" s="63" t="s">
        <v>389</v>
      </c>
      <c r="F1860" t="s">
        <v>811</v>
      </c>
    </row>
    <row r="1861" spans="1:6" x14ac:dyDescent="0.3">
      <c r="B1861" s="63" t="s">
        <v>5524</v>
      </c>
      <c r="C1861" s="63">
        <v>1758038132246</v>
      </c>
      <c r="D1861" s="63" t="s">
        <v>5528</v>
      </c>
      <c r="E1861" s="63" t="s">
        <v>389</v>
      </c>
      <c r="F1861" t="s">
        <v>495</v>
      </c>
    </row>
    <row r="1862" spans="1:6" x14ac:dyDescent="0.3">
      <c r="B1862" s="63" t="s">
        <v>5524</v>
      </c>
      <c r="C1862" s="63">
        <v>1758038133808</v>
      </c>
      <c r="D1862" s="63" t="s">
        <v>5529</v>
      </c>
      <c r="E1862" s="63" t="s">
        <v>389</v>
      </c>
      <c r="F1862" t="s">
        <v>414</v>
      </c>
    </row>
    <row r="1863" spans="1:6" x14ac:dyDescent="0.3">
      <c r="B1863" s="63" t="s">
        <v>5524</v>
      </c>
      <c r="C1863" s="63">
        <v>1758038138908</v>
      </c>
      <c r="D1863" s="63" t="s">
        <v>5530</v>
      </c>
      <c r="E1863" s="63" t="s">
        <v>389</v>
      </c>
      <c r="F1863" t="s">
        <v>511</v>
      </c>
    </row>
    <row r="1864" spans="1:6" x14ac:dyDescent="0.3">
      <c r="B1864" s="63" t="s">
        <v>5524</v>
      </c>
      <c r="C1864" s="63">
        <v>1758038161477</v>
      </c>
      <c r="D1864" s="63" t="s">
        <v>5531</v>
      </c>
      <c r="E1864" s="63" t="s">
        <v>389</v>
      </c>
      <c r="F1864" t="s">
        <v>392</v>
      </c>
    </row>
    <row r="1865" spans="1:6" x14ac:dyDescent="0.3">
      <c r="B1865" s="63" t="s">
        <v>5524</v>
      </c>
      <c r="C1865" s="63">
        <v>1758038162033</v>
      </c>
      <c r="D1865" s="63" t="s">
        <v>5532</v>
      </c>
      <c r="E1865" s="63" t="s">
        <v>389</v>
      </c>
      <c r="F1865" t="s">
        <v>390</v>
      </c>
    </row>
    <row r="1866" spans="1:6" x14ac:dyDescent="0.3">
      <c r="B1866" s="63" t="s">
        <v>5524</v>
      </c>
      <c r="C1866" s="63">
        <v>1758038162903</v>
      </c>
      <c r="D1866" s="63" t="s">
        <v>5533</v>
      </c>
      <c r="E1866" s="63" t="s">
        <v>389</v>
      </c>
      <c r="F1866" t="s">
        <v>400</v>
      </c>
    </row>
    <row r="1867" spans="1:6" x14ac:dyDescent="0.3">
      <c r="B1867" s="63" t="s">
        <v>5524</v>
      </c>
      <c r="C1867" s="63">
        <v>1758038163405</v>
      </c>
      <c r="D1867" s="63" t="s">
        <v>5534</v>
      </c>
      <c r="E1867" s="63" t="s">
        <v>389</v>
      </c>
      <c r="F1867" t="s">
        <v>398</v>
      </c>
    </row>
    <row r="1868" spans="1:6" x14ac:dyDescent="0.3">
      <c r="B1868" s="63" t="s">
        <v>5524</v>
      </c>
      <c r="C1868" s="63">
        <v>1758038164065</v>
      </c>
      <c r="D1868" s="63" t="s">
        <v>5535</v>
      </c>
      <c r="E1868" s="63" t="s">
        <v>389</v>
      </c>
      <c r="F1868" t="s">
        <v>396</v>
      </c>
    </row>
    <row r="1869" spans="1:6" x14ac:dyDescent="0.3">
      <c r="B1869" s="63" t="s">
        <v>5524</v>
      </c>
      <c r="C1869" s="63">
        <v>1758038166749</v>
      </c>
      <c r="D1869" s="63" t="s">
        <v>5536</v>
      </c>
      <c r="E1869" s="63" t="s">
        <v>389</v>
      </c>
      <c r="F1869" t="s">
        <v>508</v>
      </c>
    </row>
    <row r="1870" spans="1:6" x14ac:dyDescent="0.3">
      <c r="B1870" s="63" t="s">
        <v>5524</v>
      </c>
      <c r="C1870" s="63">
        <v>1758038167537</v>
      </c>
      <c r="D1870" s="63" t="s">
        <v>5537</v>
      </c>
      <c r="E1870" s="63" t="s">
        <v>389</v>
      </c>
      <c r="F1870" t="s">
        <v>660</v>
      </c>
    </row>
    <row r="1871" spans="1:6" x14ac:dyDescent="0.3">
      <c r="B1871" s="63" t="s">
        <v>5524</v>
      </c>
      <c r="C1871" s="63">
        <v>1758038172514</v>
      </c>
      <c r="D1871" s="63" t="s">
        <v>5538</v>
      </c>
      <c r="E1871" s="63" t="s">
        <v>422</v>
      </c>
      <c r="F1871" t="s">
        <v>420</v>
      </c>
    </row>
    <row r="1872" spans="1:6" x14ac:dyDescent="0.3">
      <c r="B1872" s="63" t="s">
        <v>426</v>
      </c>
      <c r="C1872" s="63">
        <v>1758038188054</v>
      </c>
      <c r="D1872" s="63" t="s">
        <v>5539</v>
      </c>
      <c r="E1872" s="63" t="s">
        <v>428</v>
      </c>
      <c r="F1872" t="s">
        <v>435</v>
      </c>
    </row>
    <row r="1873" spans="2:6" x14ac:dyDescent="0.3">
      <c r="B1873" s="63" t="s">
        <v>5524</v>
      </c>
      <c r="C1873" s="63">
        <v>1758038199203</v>
      </c>
      <c r="D1873" s="63" t="s">
        <v>5540</v>
      </c>
      <c r="E1873" s="63" t="s">
        <v>424</v>
      </c>
      <c r="F1873" t="s">
        <v>841</v>
      </c>
    </row>
    <row r="1874" spans="2:6" x14ac:dyDescent="0.3">
      <c r="B1874" s="63" t="s">
        <v>5524</v>
      </c>
      <c r="C1874" s="63">
        <v>1758038199863</v>
      </c>
      <c r="D1874" s="63" t="s">
        <v>5541</v>
      </c>
      <c r="E1874" s="63" t="s">
        <v>424</v>
      </c>
      <c r="F1874" t="s">
        <v>449</v>
      </c>
    </row>
    <row r="1875" spans="2:6" x14ac:dyDescent="0.3">
      <c r="B1875" s="63" t="s">
        <v>5524</v>
      </c>
      <c r="C1875" s="63">
        <v>1758038200768</v>
      </c>
      <c r="D1875" s="63" t="s">
        <v>5542</v>
      </c>
      <c r="E1875" s="63" t="s">
        <v>424</v>
      </c>
      <c r="F1875" t="s">
        <v>451</v>
      </c>
    </row>
    <row r="1876" spans="2:6" x14ac:dyDescent="0.3">
      <c r="B1876" s="63" t="s">
        <v>426</v>
      </c>
      <c r="C1876" s="63">
        <v>1758038202715</v>
      </c>
      <c r="D1876" s="63" t="s">
        <v>5543</v>
      </c>
      <c r="E1876" s="63" t="s">
        <v>428</v>
      </c>
      <c r="F1876" t="s">
        <v>437</v>
      </c>
    </row>
    <row r="1877" spans="2:6" x14ac:dyDescent="0.3">
      <c r="B1877" s="63" t="s">
        <v>426</v>
      </c>
      <c r="C1877" s="63">
        <v>1758038218966</v>
      </c>
      <c r="D1877" s="63" t="s">
        <v>5544</v>
      </c>
      <c r="E1877" s="63" t="s">
        <v>428</v>
      </c>
      <c r="F1877" t="s">
        <v>439</v>
      </c>
    </row>
    <row r="1878" spans="2:6" x14ac:dyDescent="0.3">
      <c r="B1878" s="63" t="s">
        <v>426</v>
      </c>
      <c r="C1878" s="63">
        <v>1758038237340</v>
      </c>
      <c r="D1878" s="63" t="s">
        <v>5545</v>
      </c>
      <c r="E1878" s="63" t="s">
        <v>428</v>
      </c>
      <c r="F1878" t="s">
        <v>429</v>
      </c>
    </row>
    <row r="1879" spans="2:6" x14ac:dyDescent="0.3">
      <c r="B1879" s="63" t="s">
        <v>5524</v>
      </c>
      <c r="C1879" s="63">
        <v>1758038238503</v>
      </c>
      <c r="D1879" s="63" t="s">
        <v>5546</v>
      </c>
      <c r="E1879" s="63" t="s">
        <v>424</v>
      </c>
      <c r="F1879" t="s">
        <v>441</v>
      </c>
    </row>
    <row r="1880" spans="2:6" x14ac:dyDescent="0.3">
      <c r="B1880" s="63" t="s">
        <v>426</v>
      </c>
      <c r="C1880" s="63">
        <v>1758038255377</v>
      </c>
      <c r="D1880" s="63" t="s">
        <v>5547</v>
      </c>
      <c r="E1880" s="63" t="s">
        <v>428</v>
      </c>
      <c r="F1880" t="s">
        <v>431</v>
      </c>
    </row>
    <row r="1881" spans="2:6" x14ac:dyDescent="0.3">
      <c r="B1881" s="63" t="s">
        <v>5524</v>
      </c>
      <c r="C1881" s="63">
        <v>1758038258123</v>
      </c>
      <c r="D1881" s="63" t="s">
        <v>5548</v>
      </c>
      <c r="E1881" s="63" t="s">
        <v>424</v>
      </c>
      <c r="F1881" t="s">
        <v>433</v>
      </c>
    </row>
    <row r="1882" spans="2:6" x14ac:dyDescent="0.3">
      <c r="B1882" s="63" t="s">
        <v>426</v>
      </c>
      <c r="C1882" s="63">
        <v>1758038270834</v>
      </c>
      <c r="D1882" s="63" t="s">
        <v>5549</v>
      </c>
      <c r="E1882" s="63" t="s">
        <v>428</v>
      </c>
      <c r="F1882" t="s">
        <v>538</v>
      </c>
    </row>
    <row r="1883" spans="2:6" x14ac:dyDescent="0.3">
      <c r="B1883" s="63" t="s">
        <v>5524</v>
      </c>
      <c r="C1883" s="63">
        <v>1758038279612</v>
      </c>
      <c r="D1883" s="63" t="s">
        <v>5550</v>
      </c>
      <c r="E1883" s="63" t="s">
        <v>424</v>
      </c>
      <c r="F1883" t="s">
        <v>518</v>
      </c>
    </row>
    <row r="1884" spans="2:6" x14ac:dyDescent="0.3">
      <c r="B1884" s="63" t="s">
        <v>5524</v>
      </c>
      <c r="C1884" s="63">
        <v>1758038280717</v>
      </c>
      <c r="D1884" s="63" t="s">
        <v>5551</v>
      </c>
      <c r="E1884" s="63" t="s">
        <v>424</v>
      </c>
      <c r="F1884" t="s">
        <v>457</v>
      </c>
    </row>
    <row r="1885" spans="2:6" x14ac:dyDescent="0.3">
      <c r="B1885" s="63" t="s">
        <v>426</v>
      </c>
      <c r="C1885" s="63">
        <v>1758038288514</v>
      </c>
      <c r="D1885" s="63" t="s">
        <v>5552</v>
      </c>
      <c r="E1885" s="63" t="s">
        <v>428</v>
      </c>
      <c r="F1885" t="s">
        <v>672</v>
      </c>
    </row>
    <row r="1886" spans="2:6" x14ac:dyDescent="0.3">
      <c r="B1886" s="63" t="s">
        <v>426</v>
      </c>
      <c r="C1886" s="63">
        <v>1758038305389</v>
      </c>
      <c r="D1886" s="63" t="s">
        <v>5553</v>
      </c>
      <c r="E1886" s="63" t="s">
        <v>428</v>
      </c>
      <c r="F1886" t="s">
        <v>523</v>
      </c>
    </row>
    <row r="1887" spans="2:6" x14ac:dyDescent="0.3">
      <c r="B1887" s="63" t="s">
        <v>5524</v>
      </c>
      <c r="C1887" s="63">
        <v>1758038309051</v>
      </c>
      <c r="D1887" s="63" t="s">
        <v>5554</v>
      </c>
      <c r="E1887" s="63" t="s">
        <v>424</v>
      </c>
      <c r="F1887" t="s">
        <v>459</v>
      </c>
    </row>
    <row r="1888" spans="2:6" x14ac:dyDescent="0.3">
      <c r="B1888" s="63" t="s">
        <v>5524</v>
      </c>
      <c r="C1888" s="63">
        <v>1758038310083</v>
      </c>
      <c r="D1888" s="63" t="s">
        <v>5555</v>
      </c>
      <c r="E1888" s="63" t="s">
        <v>424</v>
      </c>
      <c r="F1888" t="s">
        <v>461</v>
      </c>
    </row>
    <row r="1889" spans="2:6" x14ac:dyDescent="0.3">
      <c r="B1889" s="63" t="s">
        <v>426</v>
      </c>
      <c r="C1889" s="63">
        <v>1758038326689</v>
      </c>
      <c r="D1889" s="63" t="s">
        <v>5556</v>
      </c>
      <c r="E1889" s="63" t="s">
        <v>428</v>
      </c>
      <c r="F1889" t="s">
        <v>455</v>
      </c>
    </row>
    <row r="1890" spans="2:6" x14ac:dyDescent="0.3">
      <c r="B1890" s="63" t="s">
        <v>5524</v>
      </c>
      <c r="C1890" s="63">
        <v>1758038327061</v>
      </c>
      <c r="D1890" s="63" t="s">
        <v>5557</v>
      </c>
      <c r="E1890" s="63" t="s">
        <v>463</v>
      </c>
      <c r="F1890" t="s">
        <v>464</v>
      </c>
    </row>
    <row r="1891" spans="2:6" x14ac:dyDescent="0.3">
      <c r="B1891" s="58" t="s">
        <v>5558</v>
      </c>
      <c r="C1891" s="58">
        <v>1758038338451</v>
      </c>
      <c r="D1891" s="58" t="s">
        <v>5559</v>
      </c>
      <c r="E1891" s="58" t="s">
        <v>416</v>
      </c>
      <c r="F1891" t="s">
        <v>466</v>
      </c>
    </row>
    <row r="1892" spans="2:6" x14ac:dyDescent="0.3">
      <c r="B1892" s="58" t="s">
        <v>5558</v>
      </c>
      <c r="C1892" s="58">
        <v>1758038338636</v>
      </c>
      <c r="D1892" s="58" t="s">
        <v>5560</v>
      </c>
      <c r="E1892" s="58" t="s">
        <v>468</v>
      </c>
      <c r="F1892" t="s">
        <v>5258</v>
      </c>
    </row>
    <row r="1893" spans="2:6" x14ac:dyDescent="0.3">
      <c r="B1893" s="58" t="s">
        <v>5558</v>
      </c>
      <c r="C1893" s="58">
        <v>1758038339150</v>
      </c>
      <c r="D1893" s="58" t="s">
        <v>5561</v>
      </c>
      <c r="E1893" s="58" t="s">
        <v>419</v>
      </c>
      <c r="F1893" t="s">
        <v>420</v>
      </c>
    </row>
    <row r="1894" spans="2:6" x14ac:dyDescent="0.3">
      <c r="B1894" s="58" t="s">
        <v>5558</v>
      </c>
      <c r="C1894" s="58">
        <v>1758038383503</v>
      </c>
      <c r="D1894" s="58" t="s">
        <v>5562</v>
      </c>
      <c r="E1894" s="58" t="s">
        <v>422</v>
      </c>
      <c r="F1894" t="s">
        <v>420</v>
      </c>
    </row>
    <row r="1895" spans="2:6" x14ac:dyDescent="0.3">
      <c r="B1895" s="58" t="s">
        <v>426</v>
      </c>
      <c r="C1895" s="58">
        <v>1758038403281</v>
      </c>
      <c r="D1895" s="58" t="s">
        <v>5563</v>
      </c>
      <c r="E1895" s="58" t="s">
        <v>428</v>
      </c>
      <c r="F1895" t="s">
        <v>435</v>
      </c>
    </row>
    <row r="1896" spans="2:6" x14ac:dyDescent="0.3">
      <c r="B1896" s="58" t="s">
        <v>5558</v>
      </c>
      <c r="C1896" s="58">
        <v>1758038405263</v>
      </c>
      <c r="D1896" s="58" t="s">
        <v>5564</v>
      </c>
      <c r="E1896" s="58" t="s">
        <v>424</v>
      </c>
      <c r="F1896" t="s">
        <v>841</v>
      </c>
    </row>
    <row r="1897" spans="2:6" x14ac:dyDescent="0.3">
      <c r="B1897" s="58" t="s">
        <v>5558</v>
      </c>
      <c r="C1897" s="58">
        <v>1758038405955</v>
      </c>
      <c r="D1897" s="58" t="s">
        <v>5565</v>
      </c>
      <c r="E1897" s="58" t="s">
        <v>424</v>
      </c>
      <c r="F1897" t="s">
        <v>449</v>
      </c>
    </row>
    <row r="1898" spans="2:6" x14ac:dyDescent="0.3">
      <c r="B1898" s="58" t="s">
        <v>5558</v>
      </c>
      <c r="C1898" s="58">
        <v>1758038406722</v>
      </c>
      <c r="D1898" s="58" t="s">
        <v>5566</v>
      </c>
      <c r="E1898" s="58" t="s">
        <v>424</v>
      </c>
      <c r="F1898" t="s">
        <v>451</v>
      </c>
    </row>
    <row r="1899" spans="2:6" x14ac:dyDescent="0.3">
      <c r="B1899" s="58" t="s">
        <v>426</v>
      </c>
      <c r="C1899" s="58">
        <v>1758038422396</v>
      </c>
      <c r="D1899" s="58" t="s">
        <v>5567</v>
      </c>
      <c r="E1899" s="58" t="s">
        <v>428</v>
      </c>
      <c r="F1899" t="s">
        <v>437</v>
      </c>
    </row>
    <row r="1900" spans="2:6" x14ac:dyDescent="0.3">
      <c r="B1900" s="58" t="s">
        <v>426</v>
      </c>
      <c r="C1900" s="58">
        <v>1758038440836</v>
      </c>
      <c r="D1900" s="58" t="s">
        <v>5568</v>
      </c>
      <c r="E1900" s="58" t="s">
        <v>428</v>
      </c>
      <c r="F1900" t="s">
        <v>439</v>
      </c>
    </row>
    <row r="1901" spans="2:6" x14ac:dyDescent="0.3">
      <c r="B1901" s="58" t="s">
        <v>5558</v>
      </c>
      <c r="C1901" s="58">
        <v>1758038442506</v>
      </c>
      <c r="D1901" s="58" t="s">
        <v>5569</v>
      </c>
      <c r="E1901" s="58" t="s">
        <v>424</v>
      </c>
      <c r="F1901" t="s">
        <v>441</v>
      </c>
    </row>
    <row r="1902" spans="2:6" x14ac:dyDescent="0.3">
      <c r="B1902" s="58" t="s">
        <v>426</v>
      </c>
      <c r="C1902" s="58">
        <v>1758038456350</v>
      </c>
      <c r="D1902" s="58" t="s">
        <v>5570</v>
      </c>
      <c r="E1902" s="58" t="s">
        <v>428</v>
      </c>
      <c r="F1902" t="s">
        <v>429</v>
      </c>
    </row>
    <row r="1903" spans="2:6" x14ac:dyDescent="0.3">
      <c r="B1903" s="58" t="s">
        <v>426</v>
      </c>
      <c r="C1903" s="58">
        <v>1758038471833</v>
      </c>
      <c r="D1903" s="58" t="s">
        <v>5571</v>
      </c>
      <c r="E1903" s="58" t="s">
        <v>428</v>
      </c>
      <c r="F1903" t="s">
        <v>431</v>
      </c>
    </row>
    <row r="1904" spans="2:6" x14ac:dyDescent="0.3">
      <c r="B1904" s="58" t="s">
        <v>5558</v>
      </c>
      <c r="C1904" s="58">
        <v>1758038475969</v>
      </c>
      <c r="D1904" s="58" t="s">
        <v>5572</v>
      </c>
      <c r="E1904" s="58" t="s">
        <v>424</v>
      </c>
      <c r="F1904" t="s">
        <v>433</v>
      </c>
    </row>
    <row r="1905" spans="1:6" x14ac:dyDescent="0.3">
      <c r="B1905" s="58" t="s">
        <v>5558</v>
      </c>
      <c r="C1905" s="58">
        <v>1758038481699</v>
      </c>
      <c r="D1905" s="58" t="s">
        <v>5573</v>
      </c>
      <c r="E1905" s="58" t="s">
        <v>424</v>
      </c>
      <c r="F1905" t="s">
        <v>518</v>
      </c>
    </row>
    <row r="1906" spans="1:6" x14ac:dyDescent="0.3">
      <c r="B1906" s="58" t="s">
        <v>426</v>
      </c>
      <c r="C1906" s="58">
        <v>1758038488061</v>
      </c>
      <c r="D1906" s="58" t="s">
        <v>5574</v>
      </c>
      <c r="E1906" s="58" t="s">
        <v>428</v>
      </c>
      <c r="F1906" t="s">
        <v>538</v>
      </c>
    </row>
    <row r="1907" spans="1:6" x14ac:dyDescent="0.3">
      <c r="B1907" s="58" t="s">
        <v>5558</v>
      </c>
      <c r="C1907" s="58">
        <v>1758038498753</v>
      </c>
      <c r="D1907" s="58" t="s">
        <v>5575</v>
      </c>
      <c r="E1907" s="58" t="s">
        <v>424</v>
      </c>
      <c r="F1907" t="s">
        <v>457</v>
      </c>
    </row>
    <row r="1908" spans="1:6" x14ac:dyDescent="0.3">
      <c r="B1908" s="58" t="s">
        <v>426</v>
      </c>
      <c r="C1908" s="58">
        <v>1758038505786</v>
      </c>
      <c r="D1908" s="58" t="s">
        <v>5576</v>
      </c>
      <c r="E1908" s="58" t="s">
        <v>428</v>
      </c>
      <c r="F1908" t="s">
        <v>672</v>
      </c>
    </row>
    <row r="1909" spans="1:6" x14ac:dyDescent="0.3">
      <c r="B1909" s="58" t="s">
        <v>5558</v>
      </c>
      <c r="C1909" s="58">
        <v>1758038513072</v>
      </c>
      <c r="D1909" s="58" t="s">
        <v>5577</v>
      </c>
      <c r="E1909" s="58" t="s">
        <v>424</v>
      </c>
      <c r="F1909" t="s">
        <v>459</v>
      </c>
    </row>
    <row r="1910" spans="1:6" x14ac:dyDescent="0.3">
      <c r="B1910" s="58" t="s">
        <v>426</v>
      </c>
      <c r="C1910" s="58">
        <v>1758038522692</v>
      </c>
      <c r="D1910" s="58" t="s">
        <v>5578</v>
      </c>
      <c r="E1910" s="58" t="s">
        <v>428</v>
      </c>
      <c r="F1910" t="s">
        <v>523</v>
      </c>
    </row>
    <row r="1911" spans="1:6" x14ac:dyDescent="0.3">
      <c r="B1911" s="58" t="s">
        <v>5558</v>
      </c>
      <c r="C1911" s="58">
        <v>1758038529123</v>
      </c>
      <c r="D1911" s="58" t="s">
        <v>5579</v>
      </c>
      <c r="E1911" s="58" t="s">
        <v>424</v>
      </c>
      <c r="F1911" t="s">
        <v>461</v>
      </c>
    </row>
    <row r="1912" spans="1:6" x14ac:dyDescent="0.3">
      <c r="B1912" s="58" t="s">
        <v>5558</v>
      </c>
      <c r="C1912" s="58">
        <v>1758038539910</v>
      </c>
      <c r="D1912" s="58" t="s">
        <v>5580</v>
      </c>
      <c r="E1912" s="58" t="s">
        <v>463</v>
      </c>
      <c r="F1912" t="s">
        <v>464</v>
      </c>
    </row>
    <row r="1913" spans="1:6" x14ac:dyDescent="0.3">
      <c r="B1913" s="58" t="s">
        <v>426</v>
      </c>
      <c r="C1913" s="58">
        <v>1758038543235</v>
      </c>
      <c r="D1913" s="58" t="s">
        <v>5581</v>
      </c>
      <c r="E1913" s="58" t="s">
        <v>428</v>
      </c>
      <c r="F1913" t="s">
        <v>455</v>
      </c>
    </row>
    <row r="1914" spans="1:6" ht="21" x14ac:dyDescent="0.4">
      <c r="A1914" s="69" t="s">
        <v>62</v>
      </c>
      <c r="B1914" s="63" t="s">
        <v>5582</v>
      </c>
      <c r="C1914" s="63">
        <v>1758042481090</v>
      </c>
      <c r="D1914" s="63" t="s">
        <v>5583</v>
      </c>
      <c r="E1914" s="63" t="s">
        <v>416</v>
      </c>
      <c r="F1914" s="63" t="s">
        <v>417</v>
      </c>
    </row>
    <row r="1915" spans="1:6" x14ac:dyDescent="0.3">
      <c r="B1915" s="63" t="s">
        <v>5582</v>
      </c>
      <c r="C1915" s="63">
        <v>1758042486992</v>
      </c>
      <c r="D1915" s="63" t="s">
        <v>5584</v>
      </c>
      <c r="E1915" s="63" t="s">
        <v>419</v>
      </c>
      <c r="F1915" s="63" t="s">
        <v>420</v>
      </c>
    </row>
    <row r="1916" spans="1:6" x14ac:dyDescent="0.3">
      <c r="B1916" s="63" t="s">
        <v>5582</v>
      </c>
      <c r="C1916" s="63">
        <v>1758042509713</v>
      </c>
      <c r="D1916" s="63" t="s">
        <v>5585</v>
      </c>
      <c r="E1916" s="63" t="s">
        <v>389</v>
      </c>
      <c r="F1916" s="63" t="s">
        <v>2731</v>
      </c>
    </row>
    <row r="1917" spans="1:6" x14ac:dyDescent="0.3">
      <c r="B1917" s="63" t="s">
        <v>5582</v>
      </c>
      <c r="C1917" s="63">
        <v>1758042509788</v>
      </c>
      <c r="D1917" s="63" t="s">
        <v>5586</v>
      </c>
      <c r="E1917" s="63" t="s">
        <v>389</v>
      </c>
      <c r="F1917" s="63" t="s">
        <v>511</v>
      </c>
    </row>
    <row r="1918" spans="1:6" x14ac:dyDescent="0.3">
      <c r="B1918" s="63" t="s">
        <v>5582</v>
      </c>
      <c r="C1918" s="63">
        <v>1758042509868</v>
      </c>
      <c r="D1918" s="63" t="s">
        <v>5587</v>
      </c>
      <c r="E1918" s="63" t="s">
        <v>389</v>
      </c>
      <c r="F1918" s="63" t="s">
        <v>2731</v>
      </c>
    </row>
    <row r="1919" spans="1:6" x14ac:dyDescent="0.3">
      <c r="B1919" s="63" t="s">
        <v>5582</v>
      </c>
      <c r="C1919" s="63">
        <v>1758042509934</v>
      </c>
      <c r="D1919" s="63" t="s">
        <v>5588</v>
      </c>
      <c r="E1919" s="63" t="s">
        <v>389</v>
      </c>
      <c r="F1919" s="63" t="s">
        <v>2733</v>
      </c>
    </row>
    <row r="1920" spans="1:6" x14ac:dyDescent="0.3">
      <c r="B1920" s="63" t="s">
        <v>5582</v>
      </c>
      <c r="C1920" s="63">
        <v>1758042510001</v>
      </c>
      <c r="D1920" s="63" t="s">
        <v>5589</v>
      </c>
      <c r="E1920" s="63" t="s">
        <v>389</v>
      </c>
      <c r="F1920" s="63" t="s">
        <v>2731</v>
      </c>
    </row>
    <row r="1921" spans="2:6" x14ac:dyDescent="0.3">
      <c r="B1921" s="63" t="s">
        <v>5582</v>
      </c>
      <c r="C1921" s="63">
        <v>1758042510064</v>
      </c>
      <c r="D1921" s="63" t="s">
        <v>5590</v>
      </c>
      <c r="E1921" s="63" t="s">
        <v>389</v>
      </c>
      <c r="F1921" s="63" t="s">
        <v>2735</v>
      </c>
    </row>
    <row r="1922" spans="2:6" x14ac:dyDescent="0.3">
      <c r="B1922" s="63" t="s">
        <v>5582</v>
      </c>
      <c r="C1922" s="63">
        <v>1758042510130</v>
      </c>
      <c r="D1922" s="63" t="s">
        <v>5591</v>
      </c>
      <c r="E1922" s="63" t="s">
        <v>389</v>
      </c>
      <c r="F1922" s="63" t="s">
        <v>2731</v>
      </c>
    </row>
    <row r="1923" spans="2:6" x14ac:dyDescent="0.3">
      <c r="B1923" s="63" t="s">
        <v>5582</v>
      </c>
      <c r="C1923" s="63">
        <v>1758042510193</v>
      </c>
      <c r="D1923" s="63" t="s">
        <v>5592</v>
      </c>
      <c r="E1923" s="63" t="s">
        <v>389</v>
      </c>
      <c r="F1923" s="63" t="s">
        <v>2735</v>
      </c>
    </row>
    <row r="1924" spans="2:6" x14ac:dyDescent="0.3">
      <c r="B1924" s="63" t="s">
        <v>5582</v>
      </c>
      <c r="C1924" s="63">
        <v>1758042510287</v>
      </c>
      <c r="D1924" s="63" t="s">
        <v>5593</v>
      </c>
      <c r="E1924" s="63" t="s">
        <v>389</v>
      </c>
      <c r="F1924" s="63" t="s">
        <v>2737</v>
      </c>
    </row>
    <row r="1925" spans="2:6" x14ac:dyDescent="0.3">
      <c r="B1925" s="63" t="s">
        <v>5582</v>
      </c>
      <c r="C1925" s="63">
        <v>1758042510369</v>
      </c>
      <c r="D1925" s="63" t="s">
        <v>5594</v>
      </c>
      <c r="E1925" s="63" t="s">
        <v>389</v>
      </c>
      <c r="F1925" s="63" t="s">
        <v>2856</v>
      </c>
    </row>
    <row r="1926" spans="2:6" x14ac:dyDescent="0.3">
      <c r="B1926" s="63" t="s">
        <v>5582</v>
      </c>
      <c r="C1926" s="63">
        <v>1758042510437</v>
      </c>
      <c r="D1926" s="63" t="s">
        <v>5595</v>
      </c>
      <c r="E1926" s="63" t="s">
        <v>389</v>
      </c>
      <c r="F1926" s="63" t="s">
        <v>2739</v>
      </c>
    </row>
    <row r="1927" spans="2:6" x14ac:dyDescent="0.3">
      <c r="B1927" s="63" t="s">
        <v>5582</v>
      </c>
      <c r="C1927" s="63">
        <v>1758042510507</v>
      </c>
      <c r="D1927" s="63" t="s">
        <v>5596</v>
      </c>
      <c r="E1927" s="63" t="s">
        <v>389</v>
      </c>
      <c r="F1927" s="63" t="s">
        <v>2856</v>
      </c>
    </row>
    <row r="1928" spans="2:6" x14ac:dyDescent="0.3">
      <c r="B1928" s="63" t="s">
        <v>5582</v>
      </c>
      <c r="C1928" s="63">
        <v>1758042510577</v>
      </c>
      <c r="D1928" s="63" t="s">
        <v>5597</v>
      </c>
      <c r="E1928" s="63" t="s">
        <v>389</v>
      </c>
      <c r="F1928" s="63" t="s">
        <v>1601</v>
      </c>
    </row>
    <row r="1929" spans="2:6" x14ac:dyDescent="0.3">
      <c r="B1929" s="63" t="s">
        <v>5582</v>
      </c>
      <c r="C1929" s="63">
        <v>1758042510640</v>
      </c>
      <c r="D1929" s="63" t="s">
        <v>5598</v>
      </c>
      <c r="E1929" s="63" t="s">
        <v>389</v>
      </c>
      <c r="F1929" s="63" t="s">
        <v>2737</v>
      </c>
    </row>
    <row r="1930" spans="2:6" x14ac:dyDescent="0.3">
      <c r="B1930" s="63" t="s">
        <v>5582</v>
      </c>
      <c r="C1930" s="63">
        <v>1758042511758</v>
      </c>
      <c r="D1930" s="63" t="s">
        <v>5599</v>
      </c>
      <c r="E1930" s="63" t="s">
        <v>389</v>
      </c>
      <c r="F1930" s="63" t="s">
        <v>511</v>
      </c>
    </row>
    <row r="1931" spans="2:6" x14ac:dyDescent="0.3">
      <c r="B1931" s="63" t="s">
        <v>5582</v>
      </c>
      <c r="C1931" s="63">
        <v>1758042513534</v>
      </c>
      <c r="D1931" s="63" t="s">
        <v>5600</v>
      </c>
      <c r="E1931" s="63" t="s">
        <v>389</v>
      </c>
      <c r="F1931" s="63" t="s">
        <v>3274</v>
      </c>
    </row>
    <row r="1932" spans="2:6" x14ac:dyDescent="0.3">
      <c r="B1932" s="63" t="s">
        <v>5582</v>
      </c>
      <c r="C1932" s="63">
        <v>1758042514112</v>
      </c>
      <c r="D1932" s="63" t="s">
        <v>5601</v>
      </c>
      <c r="E1932" s="63" t="s">
        <v>389</v>
      </c>
      <c r="F1932" s="63" t="s">
        <v>2733</v>
      </c>
    </row>
    <row r="1933" spans="2:6" x14ac:dyDescent="0.3">
      <c r="B1933" s="63" t="s">
        <v>5582</v>
      </c>
      <c r="C1933" s="63">
        <v>1758042520055</v>
      </c>
      <c r="D1933" s="63" t="s">
        <v>5602</v>
      </c>
      <c r="E1933" s="63" t="s">
        <v>389</v>
      </c>
      <c r="F1933" s="63" t="s">
        <v>495</v>
      </c>
    </row>
    <row r="1934" spans="2:6" x14ac:dyDescent="0.3">
      <c r="B1934" s="63" t="s">
        <v>5582</v>
      </c>
      <c r="C1934" s="63">
        <v>1758042527684</v>
      </c>
      <c r="D1934" s="63" t="s">
        <v>5603</v>
      </c>
      <c r="E1934" s="63" t="s">
        <v>389</v>
      </c>
      <c r="F1934" s="63" t="s">
        <v>414</v>
      </c>
    </row>
    <row r="1935" spans="2:6" x14ac:dyDescent="0.3">
      <c r="B1935" s="63" t="s">
        <v>5582</v>
      </c>
      <c r="C1935" s="63">
        <v>1758042550588</v>
      </c>
      <c r="D1935" s="63" t="s">
        <v>5604</v>
      </c>
      <c r="E1935" s="63" t="s">
        <v>389</v>
      </c>
      <c r="F1935" s="63" t="s">
        <v>1694</v>
      </c>
    </row>
    <row r="1936" spans="2:6" x14ac:dyDescent="0.3">
      <c r="B1936" s="63" t="s">
        <v>5582</v>
      </c>
      <c r="C1936" s="63">
        <v>1758042551756</v>
      </c>
      <c r="D1936" s="63" t="s">
        <v>5605</v>
      </c>
      <c r="E1936" s="63" t="s">
        <v>389</v>
      </c>
      <c r="F1936" s="63" t="s">
        <v>398</v>
      </c>
    </row>
    <row r="1937" spans="2:6" x14ac:dyDescent="0.3">
      <c r="B1937" s="63" t="s">
        <v>5582</v>
      </c>
      <c r="C1937" s="63">
        <v>1758042553354</v>
      </c>
      <c r="D1937" s="63" t="s">
        <v>5606</v>
      </c>
      <c r="E1937" s="63" t="s">
        <v>389</v>
      </c>
      <c r="F1937" s="63" t="s">
        <v>400</v>
      </c>
    </row>
    <row r="1938" spans="2:6" x14ac:dyDescent="0.3">
      <c r="B1938" s="63" t="s">
        <v>5582</v>
      </c>
      <c r="C1938" s="63">
        <v>1758042561282</v>
      </c>
      <c r="D1938" s="63" t="s">
        <v>5607</v>
      </c>
      <c r="E1938" s="63" t="s">
        <v>389</v>
      </c>
      <c r="F1938" s="63" t="s">
        <v>508</v>
      </c>
    </row>
    <row r="1939" spans="2:6" x14ac:dyDescent="0.3">
      <c r="B1939" s="63" t="s">
        <v>5582</v>
      </c>
      <c r="C1939" s="63">
        <v>1758042561955</v>
      </c>
      <c r="D1939" s="63" t="s">
        <v>5608</v>
      </c>
      <c r="E1939" s="63" t="s">
        <v>389</v>
      </c>
      <c r="F1939" s="63" t="s">
        <v>660</v>
      </c>
    </row>
    <row r="1940" spans="2:6" x14ac:dyDescent="0.3">
      <c r="B1940" s="63" t="s">
        <v>5582</v>
      </c>
      <c r="C1940" s="63">
        <v>1758042565400</v>
      </c>
      <c r="D1940" s="63" t="s">
        <v>5609</v>
      </c>
      <c r="E1940" s="63" t="s">
        <v>389</v>
      </c>
      <c r="F1940" s="63" t="s">
        <v>2285</v>
      </c>
    </row>
    <row r="1941" spans="2:6" x14ac:dyDescent="0.3">
      <c r="B1941" s="63" t="s">
        <v>5582</v>
      </c>
      <c r="C1941" s="63">
        <v>1758042566537</v>
      </c>
      <c r="D1941" s="63" t="s">
        <v>5610</v>
      </c>
      <c r="E1941" s="63" t="s">
        <v>389</v>
      </c>
      <c r="F1941" s="63" t="s">
        <v>2287</v>
      </c>
    </row>
    <row r="1942" spans="2:6" x14ac:dyDescent="0.3">
      <c r="B1942" s="63" t="s">
        <v>5582</v>
      </c>
      <c r="C1942" s="63">
        <v>1758042566670</v>
      </c>
      <c r="D1942" s="63" t="s">
        <v>5611</v>
      </c>
      <c r="E1942" s="63" t="s">
        <v>389</v>
      </c>
      <c r="F1942" s="63" t="s">
        <v>2285</v>
      </c>
    </row>
    <row r="1943" spans="2:6" x14ac:dyDescent="0.3">
      <c r="B1943" s="63" t="s">
        <v>5582</v>
      </c>
      <c r="C1943" s="63">
        <v>1758042567204</v>
      </c>
      <c r="D1943" s="63" t="s">
        <v>5612</v>
      </c>
      <c r="E1943" s="63" t="s">
        <v>389</v>
      </c>
      <c r="F1943" s="63" t="s">
        <v>811</v>
      </c>
    </row>
    <row r="1944" spans="2:6" x14ac:dyDescent="0.3">
      <c r="B1944" s="63" t="s">
        <v>5582</v>
      </c>
      <c r="C1944" s="63">
        <v>1758042567320</v>
      </c>
      <c r="D1944" s="63" t="s">
        <v>5613</v>
      </c>
      <c r="E1944" s="63" t="s">
        <v>389</v>
      </c>
      <c r="F1944" s="63" t="s">
        <v>2285</v>
      </c>
    </row>
    <row r="1945" spans="2:6" x14ac:dyDescent="0.3">
      <c r="B1945" s="63" t="s">
        <v>5582</v>
      </c>
      <c r="C1945" s="63">
        <v>1758042567436</v>
      </c>
      <c r="D1945" s="63" t="s">
        <v>5614</v>
      </c>
      <c r="E1945" s="63" t="s">
        <v>389</v>
      </c>
      <c r="F1945" s="63" t="s">
        <v>811</v>
      </c>
    </row>
    <row r="1946" spans="2:6" x14ac:dyDescent="0.3">
      <c r="B1946" s="63" t="s">
        <v>5582</v>
      </c>
      <c r="C1946" s="63">
        <v>1758042567527</v>
      </c>
      <c r="D1946" s="63" t="s">
        <v>5615</v>
      </c>
      <c r="E1946" s="63" t="s">
        <v>389</v>
      </c>
      <c r="F1946" s="63" t="s">
        <v>2285</v>
      </c>
    </row>
    <row r="1947" spans="2:6" x14ac:dyDescent="0.3">
      <c r="B1947" s="63" t="s">
        <v>5582</v>
      </c>
      <c r="C1947" s="63">
        <v>1758042568054</v>
      </c>
      <c r="D1947" s="63" t="s">
        <v>5616</v>
      </c>
      <c r="E1947" s="63" t="s">
        <v>389</v>
      </c>
      <c r="F1947" s="63" t="s">
        <v>1778</v>
      </c>
    </row>
    <row r="1948" spans="2:6" x14ac:dyDescent="0.3">
      <c r="B1948" s="63" t="s">
        <v>5582</v>
      </c>
      <c r="C1948" s="63">
        <v>1758042577507</v>
      </c>
      <c r="D1948" s="63" t="s">
        <v>5617</v>
      </c>
      <c r="E1948" s="63" t="s">
        <v>389</v>
      </c>
      <c r="F1948" s="63" t="s">
        <v>979</v>
      </c>
    </row>
    <row r="1949" spans="2:6" x14ac:dyDescent="0.3">
      <c r="B1949" s="63" t="s">
        <v>5582</v>
      </c>
      <c r="C1949" s="63">
        <v>1758042578997</v>
      </c>
      <c r="D1949" s="63" t="s">
        <v>5618</v>
      </c>
      <c r="E1949" s="63" t="s">
        <v>389</v>
      </c>
      <c r="F1949" s="63" t="s">
        <v>2017</v>
      </c>
    </row>
    <row r="1950" spans="2:6" x14ac:dyDescent="0.3">
      <c r="B1950" s="63" t="s">
        <v>5582</v>
      </c>
      <c r="C1950" s="63">
        <v>1758042581429</v>
      </c>
      <c r="D1950" s="63" t="s">
        <v>5619</v>
      </c>
      <c r="E1950" s="63" t="s">
        <v>389</v>
      </c>
      <c r="F1950" s="63" t="s">
        <v>968</v>
      </c>
    </row>
    <row r="1951" spans="2:6" x14ac:dyDescent="0.3">
      <c r="B1951" s="63" t="s">
        <v>5582</v>
      </c>
      <c r="C1951" s="63">
        <v>1758042654100</v>
      </c>
      <c r="D1951" s="63" t="s">
        <v>5620</v>
      </c>
      <c r="E1951" s="63" t="s">
        <v>422</v>
      </c>
      <c r="F1951" s="63" t="s">
        <v>420</v>
      </c>
    </row>
    <row r="1952" spans="2:6" x14ac:dyDescent="0.3">
      <c r="B1952" s="63" t="s">
        <v>426</v>
      </c>
      <c r="C1952" s="63">
        <v>1758042669615</v>
      </c>
      <c r="D1952" s="63" t="s">
        <v>5621</v>
      </c>
      <c r="E1952" s="63" t="s">
        <v>428</v>
      </c>
      <c r="F1952" s="63" t="s">
        <v>538</v>
      </c>
    </row>
    <row r="1953" spans="2:6" x14ac:dyDescent="0.3">
      <c r="B1953" s="63" t="s">
        <v>426</v>
      </c>
      <c r="C1953" s="63">
        <v>1758042687275</v>
      </c>
      <c r="D1953" s="63" t="s">
        <v>5622</v>
      </c>
      <c r="E1953" s="63" t="s">
        <v>428</v>
      </c>
      <c r="F1953" s="63" t="s">
        <v>672</v>
      </c>
    </row>
    <row r="1954" spans="2:6" x14ac:dyDescent="0.3">
      <c r="B1954" s="63" t="s">
        <v>5582</v>
      </c>
      <c r="C1954" s="63">
        <v>1758042702368</v>
      </c>
      <c r="D1954" s="63" t="s">
        <v>5623</v>
      </c>
      <c r="E1954" s="63" t="s">
        <v>424</v>
      </c>
      <c r="F1954" s="63" t="s">
        <v>518</v>
      </c>
    </row>
    <row r="1955" spans="2:6" x14ac:dyDescent="0.3">
      <c r="B1955" s="63" t="s">
        <v>5582</v>
      </c>
      <c r="C1955" s="63">
        <v>1758042703040</v>
      </c>
      <c r="D1955" s="63" t="s">
        <v>5624</v>
      </c>
      <c r="E1955" s="63" t="s">
        <v>424</v>
      </c>
      <c r="F1955" s="63" t="s">
        <v>457</v>
      </c>
    </row>
    <row r="1956" spans="2:6" x14ac:dyDescent="0.3">
      <c r="B1956" s="63" t="s">
        <v>5582</v>
      </c>
      <c r="C1956" s="63">
        <v>1758042704292</v>
      </c>
      <c r="D1956" s="63" t="s">
        <v>5625</v>
      </c>
      <c r="E1956" s="63" t="s">
        <v>424</v>
      </c>
      <c r="F1956" s="63" t="s">
        <v>459</v>
      </c>
    </row>
    <row r="1957" spans="2:6" x14ac:dyDescent="0.3">
      <c r="B1957" s="63" t="s">
        <v>5582</v>
      </c>
      <c r="C1957" s="63">
        <v>1758042705297</v>
      </c>
      <c r="D1957" s="63" t="s">
        <v>5626</v>
      </c>
      <c r="E1957" s="63" t="s">
        <v>424</v>
      </c>
      <c r="F1957" s="63" t="s">
        <v>461</v>
      </c>
    </row>
    <row r="1958" spans="2:6" x14ac:dyDescent="0.3">
      <c r="B1958" s="63" t="s">
        <v>426</v>
      </c>
      <c r="C1958" s="63">
        <v>1758042705684</v>
      </c>
      <c r="D1958" s="63" t="s">
        <v>5627</v>
      </c>
      <c r="E1958" s="63" t="s">
        <v>428</v>
      </c>
      <c r="F1958" s="63" t="s">
        <v>429</v>
      </c>
    </row>
    <row r="1959" spans="2:6" x14ac:dyDescent="0.3">
      <c r="B1959" s="63" t="s">
        <v>426</v>
      </c>
      <c r="C1959" s="63">
        <v>1758042722564</v>
      </c>
      <c r="D1959" s="63" t="s">
        <v>5628</v>
      </c>
      <c r="E1959" s="63" t="s">
        <v>428</v>
      </c>
      <c r="F1959" s="63" t="s">
        <v>431</v>
      </c>
    </row>
    <row r="1960" spans="2:6" x14ac:dyDescent="0.3">
      <c r="B1960" s="63" t="s">
        <v>5582</v>
      </c>
      <c r="C1960" s="63">
        <v>1758042725733</v>
      </c>
      <c r="D1960" s="63" t="s">
        <v>5629</v>
      </c>
      <c r="E1960" s="63" t="s">
        <v>424</v>
      </c>
      <c r="F1960" s="63" t="s">
        <v>433</v>
      </c>
    </row>
    <row r="1961" spans="2:6" x14ac:dyDescent="0.3">
      <c r="B1961" s="63" t="s">
        <v>426</v>
      </c>
      <c r="C1961" s="63">
        <v>1758042738043</v>
      </c>
      <c r="D1961" s="63" t="s">
        <v>5630</v>
      </c>
      <c r="E1961" s="63" t="s">
        <v>428</v>
      </c>
      <c r="F1961" s="63" t="s">
        <v>435</v>
      </c>
    </row>
    <row r="1962" spans="2:6" x14ac:dyDescent="0.3">
      <c r="B1962" s="63" t="s">
        <v>5582</v>
      </c>
      <c r="C1962" s="63">
        <v>1758042742367</v>
      </c>
      <c r="D1962" s="63" t="s">
        <v>5631</v>
      </c>
      <c r="E1962" s="63" t="s">
        <v>424</v>
      </c>
      <c r="F1962" s="63" t="s">
        <v>841</v>
      </c>
    </row>
    <row r="1963" spans="2:6" x14ac:dyDescent="0.3">
      <c r="B1963" s="63" t="s">
        <v>5582</v>
      </c>
      <c r="C1963" s="63">
        <v>1758042743796</v>
      </c>
      <c r="D1963" s="63" t="s">
        <v>5632</v>
      </c>
      <c r="E1963" s="63" t="s">
        <v>424</v>
      </c>
      <c r="F1963" s="63" t="s">
        <v>449</v>
      </c>
    </row>
    <row r="1964" spans="2:6" x14ac:dyDescent="0.3">
      <c r="B1964" s="63" t="s">
        <v>5582</v>
      </c>
      <c r="C1964" s="63">
        <v>1758042745998</v>
      </c>
      <c r="D1964" s="63" t="s">
        <v>5633</v>
      </c>
      <c r="E1964" s="63" t="s">
        <v>424</v>
      </c>
      <c r="F1964" t="s">
        <v>451</v>
      </c>
    </row>
    <row r="1965" spans="2:6" x14ac:dyDescent="0.3">
      <c r="B1965" s="63" t="s">
        <v>426</v>
      </c>
      <c r="C1965" s="63">
        <v>1758042752761</v>
      </c>
      <c r="D1965" s="63" t="s">
        <v>5634</v>
      </c>
      <c r="E1965" s="63" t="s">
        <v>428</v>
      </c>
      <c r="F1965" t="s">
        <v>437</v>
      </c>
    </row>
    <row r="1966" spans="2:6" x14ac:dyDescent="0.3">
      <c r="B1966" s="63" t="s">
        <v>426</v>
      </c>
      <c r="C1966" s="63">
        <v>1758042768981</v>
      </c>
      <c r="D1966" s="63" t="s">
        <v>5635</v>
      </c>
      <c r="E1966" s="63" t="s">
        <v>428</v>
      </c>
      <c r="F1966" t="s">
        <v>439</v>
      </c>
    </row>
    <row r="1967" spans="2:6" x14ac:dyDescent="0.3">
      <c r="B1967" s="63" t="s">
        <v>5582</v>
      </c>
      <c r="C1967" s="63">
        <v>1758042784175</v>
      </c>
      <c r="D1967" s="63" t="s">
        <v>5636</v>
      </c>
      <c r="E1967" s="63" t="s">
        <v>424</v>
      </c>
      <c r="F1967" t="s">
        <v>441</v>
      </c>
    </row>
    <row r="1968" spans="2:6" x14ac:dyDescent="0.3">
      <c r="B1968" s="63" t="s">
        <v>426</v>
      </c>
      <c r="C1968" s="63">
        <v>1758042785124</v>
      </c>
      <c r="D1968" s="63" t="s">
        <v>5637</v>
      </c>
      <c r="E1968" s="63" t="s">
        <v>428</v>
      </c>
      <c r="F1968" t="s">
        <v>523</v>
      </c>
    </row>
    <row r="1969" spans="2:6" x14ac:dyDescent="0.3">
      <c r="B1969" s="63" t="s">
        <v>426</v>
      </c>
      <c r="C1969" s="63">
        <v>1758042806438</v>
      </c>
      <c r="D1969" s="63" t="s">
        <v>5638</v>
      </c>
      <c r="E1969" s="63" t="s">
        <v>428</v>
      </c>
      <c r="F1969" t="s">
        <v>455</v>
      </c>
    </row>
    <row r="1970" spans="2:6" x14ac:dyDescent="0.3">
      <c r="B1970" s="63" t="s">
        <v>5582</v>
      </c>
      <c r="C1970" s="63">
        <v>1758042810601</v>
      </c>
      <c r="D1970" s="63" t="s">
        <v>5639</v>
      </c>
      <c r="E1970" s="63" t="s">
        <v>463</v>
      </c>
      <c r="F1970" t="s">
        <v>464</v>
      </c>
    </row>
    <row r="1971" spans="2:6" x14ac:dyDescent="0.3">
      <c r="B1971" s="76" t="s">
        <v>5640</v>
      </c>
      <c r="C1971" s="76">
        <v>1758042818138</v>
      </c>
      <c r="D1971" s="76" t="s">
        <v>5641</v>
      </c>
      <c r="E1971" t="s">
        <v>416</v>
      </c>
      <c r="F1971" t="s">
        <v>466</v>
      </c>
    </row>
    <row r="1972" spans="2:6" x14ac:dyDescent="0.3">
      <c r="B1972" s="76" t="s">
        <v>5640</v>
      </c>
      <c r="C1972" s="76">
        <v>1758042818626</v>
      </c>
      <c r="D1972" s="76" t="s">
        <v>5642</v>
      </c>
      <c r="E1972" t="s">
        <v>468</v>
      </c>
      <c r="F1972" t="s">
        <v>5643</v>
      </c>
    </row>
    <row r="1973" spans="2:6" x14ac:dyDescent="0.3">
      <c r="B1973" s="76" t="s">
        <v>5640</v>
      </c>
      <c r="C1973" s="76">
        <v>1758042819130</v>
      </c>
      <c r="D1973" s="76" t="s">
        <v>5644</v>
      </c>
      <c r="E1973" t="s">
        <v>419</v>
      </c>
      <c r="F1973" t="s">
        <v>420</v>
      </c>
    </row>
    <row r="1974" spans="2:6" x14ac:dyDescent="0.3">
      <c r="B1974" s="76" t="s">
        <v>5640</v>
      </c>
      <c r="C1974" s="76">
        <v>1758042839648</v>
      </c>
      <c r="D1974" s="76" t="s">
        <v>5645</v>
      </c>
      <c r="E1974" t="s">
        <v>389</v>
      </c>
      <c r="F1974" t="s">
        <v>661</v>
      </c>
    </row>
    <row r="1975" spans="2:6" x14ac:dyDescent="0.3">
      <c r="B1975" s="76" t="s">
        <v>5640</v>
      </c>
      <c r="C1975" s="76">
        <v>1758042839719</v>
      </c>
      <c r="D1975" s="76" t="s">
        <v>5646</v>
      </c>
      <c r="E1975" t="s">
        <v>389</v>
      </c>
      <c r="F1975" t="s">
        <v>1576</v>
      </c>
    </row>
    <row r="1976" spans="2:6" x14ac:dyDescent="0.3">
      <c r="B1976" s="76" t="s">
        <v>5640</v>
      </c>
      <c r="C1976" s="76">
        <v>1758042839776</v>
      </c>
      <c r="D1976" s="76" t="s">
        <v>5647</v>
      </c>
      <c r="E1976" t="s">
        <v>389</v>
      </c>
      <c r="F1976" t="s">
        <v>412</v>
      </c>
    </row>
    <row r="1977" spans="2:6" x14ac:dyDescent="0.3">
      <c r="B1977" s="76" t="s">
        <v>5640</v>
      </c>
      <c r="C1977" s="76">
        <v>1758042839849</v>
      </c>
      <c r="D1977" s="76" t="s">
        <v>5648</v>
      </c>
      <c r="E1977" t="s">
        <v>389</v>
      </c>
      <c r="F1977" t="s">
        <v>412</v>
      </c>
    </row>
    <row r="1978" spans="2:6" x14ac:dyDescent="0.3">
      <c r="B1978" s="76" t="s">
        <v>5640</v>
      </c>
      <c r="C1978" s="76">
        <v>1758042839918</v>
      </c>
      <c r="D1978" s="76" t="s">
        <v>5649</v>
      </c>
      <c r="E1978" t="s">
        <v>389</v>
      </c>
      <c r="F1978" t="s">
        <v>412</v>
      </c>
    </row>
    <row r="1979" spans="2:6" x14ac:dyDescent="0.3">
      <c r="B1979" s="76" t="s">
        <v>5640</v>
      </c>
      <c r="C1979" s="76">
        <v>1758042840007</v>
      </c>
      <c r="D1979" s="76" t="s">
        <v>5650</v>
      </c>
      <c r="E1979" t="s">
        <v>389</v>
      </c>
      <c r="F1979" t="s">
        <v>412</v>
      </c>
    </row>
    <row r="1980" spans="2:6" x14ac:dyDescent="0.3">
      <c r="B1980" s="76" t="s">
        <v>5640</v>
      </c>
      <c r="C1980" s="76">
        <v>1758042840101</v>
      </c>
      <c r="D1980" s="76" t="s">
        <v>5651</v>
      </c>
      <c r="E1980" t="s">
        <v>389</v>
      </c>
      <c r="F1980" t="s">
        <v>412</v>
      </c>
    </row>
    <row r="1981" spans="2:6" x14ac:dyDescent="0.3">
      <c r="B1981" s="76" t="s">
        <v>5640</v>
      </c>
      <c r="C1981" s="76">
        <v>1758042840178</v>
      </c>
      <c r="D1981" s="76" t="s">
        <v>5652</v>
      </c>
      <c r="E1981" t="s">
        <v>389</v>
      </c>
      <c r="F1981" t="s">
        <v>412</v>
      </c>
    </row>
    <row r="1982" spans="2:6" x14ac:dyDescent="0.3">
      <c r="B1982" s="76" t="s">
        <v>5640</v>
      </c>
      <c r="C1982" s="76">
        <v>1758042840250</v>
      </c>
      <c r="D1982" s="76" t="s">
        <v>5653</v>
      </c>
      <c r="E1982" t="s">
        <v>389</v>
      </c>
      <c r="F1982" t="s">
        <v>414</v>
      </c>
    </row>
    <row r="1983" spans="2:6" x14ac:dyDescent="0.3">
      <c r="B1983" s="76" t="s">
        <v>5640</v>
      </c>
      <c r="C1983" s="76">
        <v>1758042840336</v>
      </c>
      <c r="D1983" s="76" t="s">
        <v>5654</v>
      </c>
      <c r="E1983" t="s">
        <v>389</v>
      </c>
      <c r="F1983" t="s">
        <v>414</v>
      </c>
    </row>
    <row r="1984" spans="2:6" x14ac:dyDescent="0.3">
      <c r="B1984" s="76" t="s">
        <v>5640</v>
      </c>
      <c r="C1984" s="76">
        <v>1758042840418</v>
      </c>
      <c r="D1984" s="76" t="s">
        <v>5655</v>
      </c>
      <c r="E1984" t="s">
        <v>389</v>
      </c>
      <c r="F1984" t="s">
        <v>414</v>
      </c>
    </row>
    <row r="1985" spans="2:6" x14ac:dyDescent="0.3">
      <c r="B1985" s="76" t="s">
        <v>5640</v>
      </c>
      <c r="C1985" s="76">
        <v>1758042840492</v>
      </c>
      <c r="D1985" s="76" t="s">
        <v>5656</v>
      </c>
      <c r="E1985" t="s">
        <v>389</v>
      </c>
      <c r="F1985" t="s">
        <v>414</v>
      </c>
    </row>
    <row r="1986" spans="2:6" x14ac:dyDescent="0.3">
      <c r="B1986" s="76" t="s">
        <v>5640</v>
      </c>
      <c r="C1986" s="76">
        <v>1758042840576</v>
      </c>
      <c r="D1986" s="76" t="s">
        <v>5657</v>
      </c>
      <c r="E1986" t="s">
        <v>389</v>
      </c>
      <c r="F1986" t="s">
        <v>414</v>
      </c>
    </row>
    <row r="1987" spans="2:6" x14ac:dyDescent="0.3">
      <c r="B1987" s="76" t="s">
        <v>5640</v>
      </c>
      <c r="C1987" s="76">
        <v>1758042840628</v>
      </c>
      <c r="D1987" s="76" t="s">
        <v>5658</v>
      </c>
      <c r="E1987" t="s">
        <v>389</v>
      </c>
      <c r="F1987" t="s">
        <v>414</v>
      </c>
    </row>
    <row r="1988" spans="2:6" x14ac:dyDescent="0.3">
      <c r="B1988" s="76" t="s">
        <v>5640</v>
      </c>
      <c r="C1988" s="76">
        <v>1758042842051</v>
      </c>
      <c r="D1988" s="76" t="s">
        <v>5659</v>
      </c>
      <c r="E1988" t="s">
        <v>389</v>
      </c>
      <c r="F1988" t="s">
        <v>1584</v>
      </c>
    </row>
    <row r="1989" spans="2:6" x14ac:dyDescent="0.3">
      <c r="B1989" s="76" t="s">
        <v>5640</v>
      </c>
      <c r="C1989" s="76">
        <v>1758042844237</v>
      </c>
      <c r="D1989" s="76" t="s">
        <v>5660</v>
      </c>
      <c r="E1989" t="s">
        <v>389</v>
      </c>
      <c r="F1989" t="s">
        <v>515</v>
      </c>
    </row>
    <row r="1990" spans="2:6" x14ac:dyDescent="0.3">
      <c r="B1990" s="76" t="s">
        <v>5640</v>
      </c>
      <c r="C1990" s="76">
        <v>1758042904460</v>
      </c>
      <c r="D1990" s="76" t="s">
        <v>5661</v>
      </c>
      <c r="E1990" t="s">
        <v>422</v>
      </c>
      <c r="F1990" t="s">
        <v>420</v>
      </c>
    </row>
    <row r="1991" spans="2:6" x14ac:dyDescent="0.3">
      <c r="B1991" s="76" t="s">
        <v>426</v>
      </c>
      <c r="C1991" s="76">
        <v>1758042920579</v>
      </c>
      <c r="D1991" s="76" t="s">
        <v>5662</v>
      </c>
      <c r="E1991" t="s">
        <v>428</v>
      </c>
      <c r="F1991" t="s">
        <v>538</v>
      </c>
    </row>
    <row r="1992" spans="2:6" x14ac:dyDescent="0.3">
      <c r="B1992" s="76" t="s">
        <v>426</v>
      </c>
      <c r="C1992" s="76">
        <v>1758042938274</v>
      </c>
      <c r="D1992" s="76" t="s">
        <v>5663</v>
      </c>
      <c r="E1992" t="s">
        <v>428</v>
      </c>
      <c r="F1992" t="s">
        <v>672</v>
      </c>
    </row>
    <row r="1993" spans="2:6" x14ac:dyDescent="0.3">
      <c r="B1993" s="76" t="s">
        <v>5640</v>
      </c>
      <c r="C1993" s="76">
        <v>1758042947839</v>
      </c>
      <c r="D1993" s="76" t="s">
        <v>5664</v>
      </c>
      <c r="E1993" t="s">
        <v>424</v>
      </c>
      <c r="F1993" t="s">
        <v>518</v>
      </c>
    </row>
    <row r="1994" spans="2:6" x14ac:dyDescent="0.3">
      <c r="B1994" s="76" t="s">
        <v>5640</v>
      </c>
      <c r="C1994" s="76">
        <v>1758042948310</v>
      </c>
      <c r="D1994" s="76" t="s">
        <v>5665</v>
      </c>
      <c r="E1994" t="s">
        <v>424</v>
      </c>
      <c r="F1994" t="s">
        <v>457</v>
      </c>
    </row>
    <row r="1995" spans="2:6" x14ac:dyDescent="0.3">
      <c r="B1995" s="76" t="s">
        <v>5640</v>
      </c>
      <c r="C1995" s="76">
        <v>1758042949976</v>
      </c>
      <c r="D1995" s="76" t="s">
        <v>5666</v>
      </c>
      <c r="E1995" t="s">
        <v>424</v>
      </c>
      <c r="F1995" t="s">
        <v>459</v>
      </c>
    </row>
    <row r="1996" spans="2:6" x14ac:dyDescent="0.3">
      <c r="B1996" s="76" t="s">
        <v>5640</v>
      </c>
      <c r="C1996" s="76">
        <v>1758042951914</v>
      </c>
      <c r="D1996" s="76" t="s">
        <v>5667</v>
      </c>
      <c r="E1996" t="s">
        <v>424</v>
      </c>
      <c r="F1996" t="s">
        <v>461</v>
      </c>
    </row>
    <row r="1997" spans="2:6" x14ac:dyDescent="0.3">
      <c r="B1997" s="76" t="s">
        <v>426</v>
      </c>
      <c r="C1997" s="76">
        <v>1758042957367</v>
      </c>
      <c r="D1997" s="76" t="s">
        <v>5668</v>
      </c>
      <c r="E1997" t="s">
        <v>428</v>
      </c>
      <c r="F1997" t="s">
        <v>435</v>
      </c>
    </row>
    <row r="1998" spans="2:6" x14ac:dyDescent="0.3">
      <c r="B1998" s="76" t="s">
        <v>426</v>
      </c>
      <c r="C1998" s="76">
        <v>1758042976449</v>
      </c>
      <c r="D1998" s="76" t="s">
        <v>5669</v>
      </c>
      <c r="E1998" t="s">
        <v>428</v>
      </c>
      <c r="F1998" t="s">
        <v>437</v>
      </c>
    </row>
    <row r="1999" spans="2:6" x14ac:dyDescent="0.3">
      <c r="B1999" s="76" t="s">
        <v>426</v>
      </c>
      <c r="C1999" s="76">
        <v>1758042994865</v>
      </c>
      <c r="D1999" s="76" t="s">
        <v>5670</v>
      </c>
      <c r="E1999" t="s">
        <v>428</v>
      </c>
      <c r="F1999" t="s">
        <v>439</v>
      </c>
    </row>
    <row r="2000" spans="2:6" x14ac:dyDescent="0.3">
      <c r="B2000" s="76" t="s">
        <v>5640</v>
      </c>
      <c r="C2000" s="76">
        <v>1758042997908</v>
      </c>
      <c r="D2000" s="76" t="s">
        <v>5671</v>
      </c>
      <c r="E2000" t="s">
        <v>424</v>
      </c>
      <c r="F2000" t="s">
        <v>441</v>
      </c>
    </row>
    <row r="2001" spans="1:6" x14ac:dyDescent="0.3">
      <c r="B2001" s="76" t="s">
        <v>426</v>
      </c>
      <c r="C2001" s="76">
        <v>1758043010341</v>
      </c>
      <c r="D2001" s="76" t="s">
        <v>5672</v>
      </c>
      <c r="E2001" t="s">
        <v>428</v>
      </c>
      <c r="F2001" t="s">
        <v>429</v>
      </c>
    </row>
    <row r="2002" spans="1:6" x14ac:dyDescent="0.3">
      <c r="B2002" s="76" t="s">
        <v>5640</v>
      </c>
      <c r="C2002" s="76">
        <v>1758043014869</v>
      </c>
      <c r="D2002" s="76" t="s">
        <v>5673</v>
      </c>
      <c r="E2002" t="s">
        <v>424</v>
      </c>
      <c r="F2002" t="s">
        <v>841</v>
      </c>
    </row>
    <row r="2003" spans="1:6" x14ac:dyDescent="0.3">
      <c r="B2003" s="76" t="s">
        <v>5640</v>
      </c>
      <c r="C2003" s="76">
        <v>1758043015694</v>
      </c>
      <c r="D2003" s="76" t="s">
        <v>5674</v>
      </c>
      <c r="E2003" t="s">
        <v>424</v>
      </c>
      <c r="F2003" t="s">
        <v>449</v>
      </c>
    </row>
    <row r="2004" spans="1:6" x14ac:dyDescent="0.3">
      <c r="B2004" s="76" t="s">
        <v>5640</v>
      </c>
      <c r="C2004" s="76">
        <v>1758043017332</v>
      </c>
      <c r="D2004" s="76" t="s">
        <v>5675</v>
      </c>
      <c r="E2004" t="s">
        <v>424</v>
      </c>
      <c r="F2004" t="s">
        <v>451</v>
      </c>
    </row>
    <row r="2005" spans="1:6" x14ac:dyDescent="0.3">
      <c r="B2005" s="76" t="s">
        <v>426</v>
      </c>
      <c r="C2005" s="76">
        <v>1758043025805</v>
      </c>
      <c r="D2005" s="76" t="s">
        <v>5676</v>
      </c>
      <c r="E2005" t="s">
        <v>428</v>
      </c>
      <c r="F2005" t="s">
        <v>431</v>
      </c>
    </row>
    <row r="2006" spans="1:6" x14ac:dyDescent="0.3">
      <c r="B2006" s="76" t="s">
        <v>5640</v>
      </c>
      <c r="C2006" s="76">
        <v>1758043028846</v>
      </c>
      <c r="D2006" s="76" t="s">
        <v>5677</v>
      </c>
      <c r="E2006" t="s">
        <v>424</v>
      </c>
      <c r="F2006" t="s">
        <v>433</v>
      </c>
    </row>
    <row r="2007" spans="1:6" x14ac:dyDescent="0.3">
      <c r="B2007" s="76" t="s">
        <v>5640</v>
      </c>
      <c r="C2007" s="76">
        <v>1758043037126</v>
      </c>
      <c r="D2007" s="76" t="s">
        <v>5678</v>
      </c>
      <c r="E2007" t="s">
        <v>424</v>
      </c>
      <c r="F2007" t="s">
        <v>570</v>
      </c>
    </row>
    <row r="2008" spans="1:6" x14ac:dyDescent="0.3">
      <c r="B2008" s="76" t="s">
        <v>426</v>
      </c>
      <c r="C2008" s="76">
        <v>1758043043483</v>
      </c>
      <c r="D2008" s="76" t="s">
        <v>5679</v>
      </c>
      <c r="E2008" t="s">
        <v>428</v>
      </c>
      <c r="F2008" t="s">
        <v>523</v>
      </c>
    </row>
    <row r="2009" spans="1:6" x14ac:dyDescent="0.3">
      <c r="B2009" s="76" t="s">
        <v>5640</v>
      </c>
      <c r="C2009" s="76">
        <v>1758043046441</v>
      </c>
      <c r="D2009" s="76" t="s">
        <v>5680</v>
      </c>
      <c r="E2009" t="s">
        <v>463</v>
      </c>
      <c r="F2009" t="s">
        <v>464</v>
      </c>
    </row>
    <row r="2010" spans="1:6" ht="21" x14ac:dyDescent="0.4">
      <c r="A2010" s="69" t="s">
        <v>63</v>
      </c>
      <c r="B2010" s="63" t="s">
        <v>5904</v>
      </c>
      <c r="C2010" s="63">
        <v>1758113365260</v>
      </c>
      <c r="D2010" s="63" t="s">
        <v>5905</v>
      </c>
      <c r="E2010" t="s">
        <v>416</v>
      </c>
      <c r="F2010" t="s">
        <v>417</v>
      </c>
    </row>
    <row r="2011" spans="1:6" x14ac:dyDescent="0.3">
      <c r="B2011" s="63" t="s">
        <v>5904</v>
      </c>
      <c r="C2011" s="63">
        <v>1758113365760</v>
      </c>
      <c r="D2011" s="63" t="s">
        <v>5906</v>
      </c>
      <c r="E2011" t="s">
        <v>419</v>
      </c>
      <c r="F2011" t="s">
        <v>420</v>
      </c>
    </row>
    <row r="2012" spans="1:6" x14ac:dyDescent="0.3">
      <c r="B2012" s="63" t="s">
        <v>5904</v>
      </c>
      <c r="C2012" s="63">
        <v>1758113386348</v>
      </c>
      <c r="D2012" s="63" t="s">
        <v>5907</v>
      </c>
      <c r="E2012" t="s">
        <v>389</v>
      </c>
      <c r="F2012" t="s">
        <v>515</v>
      </c>
    </row>
    <row r="2013" spans="1:6" x14ac:dyDescent="0.3">
      <c r="B2013" s="63" t="s">
        <v>5904</v>
      </c>
      <c r="C2013" s="63">
        <v>1758113386455</v>
      </c>
      <c r="D2013" s="63" t="s">
        <v>5908</v>
      </c>
      <c r="E2013" t="s">
        <v>389</v>
      </c>
      <c r="F2013" t="s">
        <v>515</v>
      </c>
    </row>
    <row r="2014" spans="1:6" x14ac:dyDescent="0.3">
      <c r="B2014" s="63" t="s">
        <v>5904</v>
      </c>
      <c r="C2014" s="63">
        <v>1758113386557</v>
      </c>
      <c r="D2014" s="63" t="s">
        <v>5909</v>
      </c>
      <c r="E2014" t="s">
        <v>389</v>
      </c>
      <c r="F2014" t="s">
        <v>515</v>
      </c>
    </row>
    <row r="2015" spans="1:6" x14ac:dyDescent="0.3">
      <c r="B2015" s="63" t="s">
        <v>5904</v>
      </c>
      <c r="C2015" s="63">
        <v>1758113391300</v>
      </c>
      <c r="D2015" s="63" t="s">
        <v>5910</v>
      </c>
      <c r="E2015" t="s">
        <v>389</v>
      </c>
      <c r="F2015" t="s">
        <v>396</v>
      </c>
    </row>
    <row r="2016" spans="1:6" x14ac:dyDescent="0.3">
      <c r="B2016" s="63" t="s">
        <v>5904</v>
      </c>
      <c r="C2016" s="63">
        <v>1758113397136</v>
      </c>
      <c r="D2016" s="63" t="s">
        <v>5911</v>
      </c>
      <c r="E2016" t="s">
        <v>389</v>
      </c>
      <c r="F2016" t="s">
        <v>979</v>
      </c>
    </row>
    <row r="2017" spans="2:6" x14ac:dyDescent="0.3">
      <c r="B2017" s="63" t="s">
        <v>5904</v>
      </c>
      <c r="C2017" s="63">
        <v>1758113398588</v>
      </c>
      <c r="D2017" s="63" t="s">
        <v>5912</v>
      </c>
      <c r="E2017" t="s">
        <v>389</v>
      </c>
      <c r="F2017" t="s">
        <v>392</v>
      </c>
    </row>
    <row r="2018" spans="2:6" x14ac:dyDescent="0.3">
      <c r="B2018" s="63" t="s">
        <v>5904</v>
      </c>
      <c r="C2018" s="63">
        <v>1758113399472</v>
      </c>
      <c r="D2018" s="63" t="s">
        <v>5913</v>
      </c>
      <c r="E2018" t="s">
        <v>389</v>
      </c>
      <c r="F2018" t="s">
        <v>1689</v>
      </c>
    </row>
    <row r="2019" spans="2:6" x14ac:dyDescent="0.3">
      <c r="B2019" s="63" t="s">
        <v>5904</v>
      </c>
      <c r="C2019" s="63">
        <v>1758113402488</v>
      </c>
      <c r="D2019" s="63" t="s">
        <v>5914</v>
      </c>
      <c r="E2019" t="s">
        <v>389</v>
      </c>
      <c r="F2019" t="s">
        <v>1599</v>
      </c>
    </row>
    <row r="2020" spans="2:6" x14ac:dyDescent="0.3">
      <c r="B2020" s="63" t="s">
        <v>5904</v>
      </c>
      <c r="C2020" s="63">
        <v>1758113404243</v>
      </c>
      <c r="D2020" s="63" t="s">
        <v>5915</v>
      </c>
      <c r="E2020" t="s">
        <v>389</v>
      </c>
      <c r="F2020" t="s">
        <v>1601</v>
      </c>
    </row>
    <row r="2021" spans="2:6" x14ac:dyDescent="0.3">
      <c r="B2021" s="63" t="s">
        <v>5904</v>
      </c>
      <c r="C2021" s="63">
        <v>1758113419582</v>
      </c>
      <c r="D2021" s="63" t="s">
        <v>5916</v>
      </c>
      <c r="E2021" t="s">
        <v>389</v>
      </c>
      <c r="F2021" t="s">
        <v>5703</v>
      </c>
    </row>
    <row r="2022" spans="2:6" x14ac:dyDescent="0.3">
      <c r="B2022" s="63" t="s">
        <v>5904</v>
      </c>
      <c r="C2022" s="63">
        <v>1758113421526</v>
      </c>
      <c r="D2022" s="63" t="s">
        <v>5917</v>
      </c>
      <c r="E2022" t="s">
        <v>389</v>
      </c>
      <c r="F2022" t="s">
        <v>404</v>
      </c>
    </row>
    <row r="2023" spans="2:6" x14ac:dyDescent="0.3">
      <c r="B2023" s="63" t="s">
        <v>5904</v>
      </c>
      <c r="C2023" s="63">
        <v>1758113425549</v>
      </c>
      <c r="D2023" s="63" t="s">
        <v>5918</v>
      </c>
      <c r="E2023" t="s">
        <v>389</v>
      </c>
      <c r="F2023" t="s">
        <v>1728</v>
      </c>
    </row>
    <row r="2024" spans="2:6" x14ac:dyDescent="0.3">
      <c r="B2024" s="63" t="s">
        <v>5904</v>
      </c>
      <c r="C2024" s="63">
        <v>1758113432458</v>
      </c>
      <c r="D2024" s="63" t="s">
        <v>5919</v>
      </c>
      <c r="E2024" t="s">
        <v>389</v>
      </c>
      <c r="F2024" t="s">
        <v>1687</v>
      </c>
    </row>
    <row r="2025" spans="2:6" x14ac:dyDescent="0.3">
      <c r="B2025" s="63" t="s">
        <v>5904</v>
      </c>
      <c r="C2025" s="63">
        <v>1758113446224</v>
      </c>
      <c r="D2025" s="63" t="s">
        <v>5920</v>
      </c>
      <c r="E2025" t="s">
        <v>389</v>
      </c>
      <c r="F2025" t="s">
        <v>1470</v>
      </c>
    </row>
    <row r="2026" spans="2:6" x14ac:dyDescent="0.3">
      <c r="B2026" s="63" t="s">
        <v>5904</v>
      </c>
      <c r="C2026" s="63">
        <v>1758113448045</v>
      </c>
      <c r="D2026" s="63" t="s">
        <v>5921</v>
      </c>
      <c r="E2026" t="s">
        <v>389</v>
      </c>
      <c r="F2026" t="s">
        <v>1180</v>
      </c>
    </row>
    <row r="2027" spans="2:6" x14ac:dyDescent="0.3">
      <c r="B2027" s="63" t="s">
        <v>5904</v>
      </c>
      <c r="C2027" s="63">
        <v>1758113455919</v>
      </c>
      <c r="D2027" s="63" t="s">
        <v>5922</v>
      </c>
      <c r="E2027" t="s">
        <v>389</v>
      </c>
      <c r="F2027" t="s">
        <v>2020</v>
      </c>
    </row>
    <row r="2028" spans="2:6" x14ac:dyDescent="0.3">
      <c r="B2028" s="63" t="s">
        <v>5904</v>
      </c>
      <c r="C2028" s="63">
        <v>1758113457691</v>
      </c>
      <c r="D2028" s="63" t="s">
        <v>5923</v>
      </c>
      <c r="E2028" t="s">
        <v>389</v>
      </c>
      <c r="F2028" t="s">
        <v>4374</v>
      </c>
    </row>
    <row r="2029" spans="2:6" x14ac:dyDescent="0.3">
      <c r="B2029" s="63" t="s">
        <v>5904</v>
      </c>
      <c r="C2029" s="63">
        <v>1758113484120</v>
      </c>
      <c r="D2029" s="63" t="s">
        <v>5924</v>
      </c>
      <c r="E2029" t="s">
        <v>422</v>
      </c>
      <c r="F2029" t="s">
        <v>420</v>
      </c>
    </row>
    <row r="2030" spans="2:6" x14ac:dyDescent="0.3">
      <c r="B2030" s="63" t="s">
        <v>5904</v>
      </c>
      <c r="C2030" s="63">
        <v>1758113487132</v>
      </c>
      <c r="D2030" s="63" t="s">
        <v>5925</v>
      </c>
      <c r="E2030" t="s">
        <v>424</v>
      </c>
      <c r="F2030" t="s">
        <v>570</v>
      </c>
    </row>
    <row r="2031" spans="2:6" x14ac:dyDescent="0.3">
      <c r="B2031" s="63" t="s">
        <v>426</v>
      </c>
      <c r="C2031" s="63">
        <v>1758113499677</v>
      </c>
      <c r="D2031" s="63" t="s">
        <v>5926</v>
      </c>
      <c r="E2031" t="s">
        <v>428</v>
      </c>
      <c r="F2031" t="s">
        <v>435</v>
      </c>
    </row>
    <row r="2032" spans="2:6" x14ac:dyDescent="0.3">
      <c r="B2032" s="63" t="s">
        <v>5904</v>
      </c>
      <c r="C2032" s="63">
        <v>1758113516031</v>
      </c>
      <c r="D2032" s="63" t="s">
        <v>5927</v>
      </c>
      <c r="E2032" t="s">
        <v>424</v>
      </c>
      <c r="F2032" t="s">
        <v>551</v>
      </c>
    </row>
    <row r="2033" spans="2:6" x14ac:dyDescent="0.3">
      <c r="B2033" s="63" t="s">
        <v>426</v>
      </c>
      <c r="C2033" s="63">
        <v>1758113516721</v>
      </c>
      <c r="D2033" s="63" t="s">
        <v>5928</v>
      </c>
      <c r="E2033" t="s">
        <v>428</v>
      </c>
      <c r="F2033" t="s">
        <v>453</v>
      </c>
    </row>
    <row r="2034" spans="2:6" x14ac:dyDescent="0.3">
      <c r="B2034" s="63" t="s">
        <v>5904</v>
      </c>
      <c r="C2034" s="63">
        <v>1758113526373</v>
      </c>
      <c r="D2034" s="63" t="s">
        <v>5929</v>
      </c>
      <c r="E2034" t="s">
        <v>424</v>
      </c>
      <c r="F2034" t="s">
        <v>553</v>
      </c>
    </row>
    <row r="2035" spans="2:6" x14ac:dyDescent="0.3">
      <c r="B2035" s="63" t="s">
        <v>5904</v>
      </c>
      <c r="C2035" s="63">
        <v>1758113528243</v>
      </c>
      <c r="D2035" s="63" t="s">
        <v>5930</v>
      </c>
      <c r="E2035" t="s">
        <v>424</v>
      </c>
      <c r="F2035" t="s">
        <v>441</v>
      </c>
    </row>
    <row r="2036" spans="2:6" x14ac:dyDescent="0.3">
      <c r="B2036" s="63" t="s">
        <v>426</v>
      </c>
      <c r="C2036" s="63">
        <v>1758113535303</v>
      </c>
      <c r="D2036" s="63" t="s">
        <v>5931</v>
      </c>
      <c r="E2036" t="s">
        <v>428</v>
      </c>
      <c r="F2036" t="s">
        <v>429</v>
      </c>
    </row>
    <row r="2037" spans="2:6" x14ac:dyDescent="0.3">
      <c r="B2037" s="63" t="s">
        <v>5904</v>
      </c>
      <c r="C2037" s="63">
        <v>1758113542890</v>
      </c>
      <c r="D2037" s="63" t="s">
        <v>5932</v>
      </c>
      <c r="E2037" t="s">
        <v>424</v>
      </c>
      <c r="F2037" t="s">
        <v>457</v>
      </c>
    </row>
    <row r="2038" spans="2:6" x14ac:dyDescent="0.3">
      <c r="B2038" s="63" t="s">
        <v>426</v>
      </c>
      <c r="C2038" s="63">
        <v>1758113553078</v>
      </c>
      <c r="D2038" s="63" t="s">
        <v>5933</v>
      </c>
      <c r="E2038" t="s">
        <v>428</v>
      </c>
      <c r="F2038" t="s">
        <v>431</v>
      </c>
    </row>
    <row r="2039" spans="2:6" x14ac:dyDescent="0.3">
      <c r="B2039" s="63" t="s">
        <v>5904</v>
      </c>
      <c r="C2039" s="63">
        <v>1758113560621</v>
      </c>
      <c r="D2039" s="63" t="s">
        <v>5934</v>
      </c>
      <c r="E2039" t="s">
        <v>424</v>
      </c>
      <c r="F2039" t="s">
        <v>459</v>
      </c>
    </row>
    <row r="2040" spans="2:6" x14ac:dyDescent="0.3">
      <c r="B2040" s="63" t="s">
        <v>5904</v>
      </c>
      <c r="C2040" s="63">
        <v>1758113562436</v>
      </c>
      <c r="D2040" s="63" t="s">
        <v>5935</v>
      </c>
      <c r="E2040" t="s">
        <v>424</v>
      </c>
      <c r="F2040" t="s">
        <v>461</v>
      </c>
    </row>
    <row r="2041" spans="2:6" x14ac:dyDescent="0.3">
      <c r="B2041" s="63" t="s">
        <v>426</v>
      </c>
      <c r="C2041" s="63">
        <v>1758113568606</v>
      </c>
      <c r="D2041" s="63" t="s">
        <v>5936</v>
      </c>
      <c r="E2041" t="s">
        <v>428</v>
      </c>
      <c r="F2041" t="s">
        <v>447</v>
      </c>
    </row>
    <row r="2042" spans="2:6" x14ac:dyDescent="0.3">
      <c r="B2042" s="63" t="s">
        <v>5904</v>
      </c>
      <c r="C2042" s="63">
        <v>1758113569786</v>
      </c>
      <c r="D2042" s="63" t="s">
        <v>5937</v>
      </c>
      <c r="E2042" t="s">
        <v>424</v>
      </c>
      <c r="F2042" t="s">
        <v>433</v>
      </c>
    </row>
    <row r="2043" spans="2:6" x14ac:dyDescent="0.3">
      <c r="B2043" s="63" t="s">
        <v>5904</v>
      </c>
      <c r="C2043" s="63">
        <v>1758113574879</v>
      </c>
      <c r="D2043" s="63" t="s">
        <v>5938</v>
      </c>
      <c r="E2043" t="s">
        <v>424</v>
      </c>
      <c r="F2043" t="s">
        <v>449</v>
      </c>
    </row>
    <row r="2044" spans="2:6" x14ac:dyDescent="0.3">
      <c r="B2044" s="63" t="s">
        <v>5904</v>
      </c>
      <c r="C2044" s="63">
        <v>1758113579408</v>
      </c>
      <c r="D2044" s="63" t="s">
        <v>5939</v>
      </c>
      <c r="E2044" t="s">
        <v>424</v>
      </c>
      <c r="F2044" t="s">
        <v>451</v>
      </c>
    </row>
    <row r="2045" spans="2:6" x14ac:dyDescent="0.3">
      <c r="B2045" s="63" t="s">
        <v>426</v>
      </c>
      <c r="C2045" s="63">
        <v>1758113584171</v>
      </c>
      <c r="D2045" s="63" t="s">
        <v>5940</v>
      </c>
      <c r="E2045" t="s">
        <v>428</v>
      </c>
      <c r="F2045" t="s">
        <v>538</v>
      </c>
    </row>
    <row r="2046" spans="2:6" x14ac:dyDescent="0.3">
      <c r="B2046" s="63" t="s">
        <v>5904</v>
      </c>
      <c r="C2046" s="63">
        <v>1758113588062</v>
      </c>
      <c r="D2046" s="63" t="s">
        <v>5941</v>
      </c>
      <c r="E2046" t="s">
        <v>424</v>
      </c>
      <c r="F2046" t="s">
        <v>445</v>
      </c>
    </row>
    <row r="2047" spans="2:6" x14ac:dyDescent="0.3">
      <c r="B2047" s="63" t="s">
        <v>5904</v>
      </c>
      <c r="C2047" s="63">
        <v>1758113598740</v>
      </c>
      <c r="D2047" s="63" t="s">
        <v>5942</v>
      </c>
      <c r="E2047" t="s">
        <v>463</v>
      </c>
      <c r="F2047" t="s">
        <v>464</v>
      </c>
    </row>
    <row r="2048" spans="2:6" x14ac:dyDescent="0.3">
      <c r="B2048" s="63" t="s">
        <v>426</v>
      </c>
      <c r="C2048" s="63">
        <v>1758113601135</v>
      </c>
      <c r="D2048" s="63" t="s">
        <v>5943</v>
      </c>
      <c r="E2048" t="s">
        <v>428</v>
      </c>
      <c r="F2048" t="s">
        <v>523</v>
      </c>
    </row>
    <row r="2049" spans="2:6" x14ac:dyDescent="0.3">
      <c r="B2049" s="58" t="s">
        <v>4977</v>
      </c>
      <c r="C2049" s="58">
        <v>1758113621679</v>
      </c>
      <c r="D2049" s="58" t="s">
        <v>5944</v>
      </c>
      <c r="E2049" t="s">
        <v>416</v>
      </c>
      <c r="F2049" t="s">
        <v>466</v>
      </c>
    </row>
    <row r="2050" spans="2:6" x14ac:dyDescent="0.3">
      <c r="B2050" s="58" t="s">
        <v>4977</v>
      </c>
      <c r="C2050" s="58">
        <v>1758113621881</v>
      </c>
      <c r="D2050" s="58" t="s">
        <v>5945</v>
      </c>
      <c r="E2050" t="s">
        <v>468</v>
      </c>
      <c r="F2050" t="s">
        <v>5946</v>
      </c>
    </row>
    <row r="2051" spans="2:6" x14ac:dyDescent="0.3">
      <c r="B2051" s="58" t="s">
        <v>4977</v>
      </c>
      <c r="C2051" s="58">
        <v>1758113636338</v>
      </c>
      <c r="D2051" s="58" t="s">
        <v>5947</v>
      </c>
      <c r="E2051" t="s">
        <v>419</v>
      </c>
      <c r="F2051" t="s">
        <v>420</v>
      </c>
    </row>
    <row r="2052" spans="2:6" x14ac:dyDescent="0.3">
      <c r="B2052" s="58" t="s">
        <v>4977</v>
      </c>
      <c r="C2052" s="58">
        <v>1758113652044</v>
      </c>
      <c r="D2052" s="58" t="s">
        <v>5948</v>
      </c>
      <c r="E2052" t="s">
        <v>389</v>
      </c>
      <c r="F2052" t="s">
        <v>394</v>
      </c>
    </row>
    <row r="2053" spans="2:6" x14ac:dyDescent="0.3">
      <c r="B2053" s="58" t="s">
        <v>4977</v>
      </c>
      <c r="C2053" s="58">
        <v>1758113673802</v>
      </c>
      <c r="D2053" s="58" t="s">
        <v>5949</v>
      </c>
      <c r="E2053" t="s">
        <v>422</v>
      </c>
      <c r="F2053" t="s">
        <v>420</v>
      </c>
    </row>
    <row r="2054" spans="2:6" x14ac:dyDescent="0.3">
      <c r="B2054" s="58" t="s">
        <v>4977</v>
      </c>
      <c r="C2054" s="58">
        <v>1758113681697</v>
      </c>
      <c r="D2054" s="58" t="s">
        <v>5950</v>
      </c>
      <c r="E2054" t="s">
        <v>424</v>
      </c>
      <c r="F2054" t="s">
        <v>570</v>
      </c>
    </row>
    <row r="2055" spans="2:6" x14ac:dyDescent="0.3">
      <c r="B2055" s="58" t="s">
        <v>4977</v>
      </c>
      <c r="C2055" s="58">
        <v>1758113689635</v>
      </c>
      <c r="D2055" s="58" t="s">
        <v>5951</v>
      </c>
      <c r="E2055" t="s">
        <v>424</v>
      </c>
      <c r="F2055" t="s">
        <v>425</v>
      </c>
    </row>
    <row r="2056" spans="2:6" x14ac:dyDescent="0.3">
      <c r="B2056" s="58" t="s">
        <v>426</v>
      </c>
      <c r="C2056" s="58">
        <v>1758113693603</v>
      </c>
      <c r="D2056" s="58" t="s">
        <v>5952</v>
      </c>
      <c r="E2056" t="s">
        <v>428</v>
      </c>
      <c r="F2056" t="s">
        <v>435</v>
      </c>
    </row>
    <row r="2057" spans="2:6" x14ac:dyDescent="0.3">
      <c r="B2057" s="58" t="s">
        <v>4977</v>
      </c>
      <c r="C2057" s="58">
        <v>1758113695519</v>
      </c>
      <c r="D2057" s="58" t="s">
        <v>5953</v>
      </c>
      <c r="E2057" t="s">
        <v>424</v>
      </c>
      <c r="F2057" t="s">
        <v>551</v>
      </c>
    </row>
    <row r="2058" spans="2:6" x14ac:dyDescent="0.3">
      <c r="B2058" s="58" t="s">
        <v>4977</v>
      </c>
      <c r="C2058" s="58">
        <v>1758113701660</v>
      </c>
      <c r="D2058" s="58" t="s">
        <v>5954</v>
      </c>
      <c r="E2058" t="s">
        <v>424</v>
      </c>
      <c r="F2058" t="s">
        <v>553</v>
      </c>
    </row>
    <row r="2059" spans="2:6" x14ac:dyDescent="0.3">
      <c r="B2059" s="58" t="s">
        <v>426</v>
      </c>
      <c r="C2059" s="58">
        <v>1758113709148</v>
      </c>
      <c r="D2059" s="58" t="s">
        <v>5955</v>
      </c>
      <c r="E2059" t="s">
        <v>428</v>
      </c>
      <c r="F2059" t="s">
        <v>429</v>
      </c>
    </row>
    <row r="2060" spans="2:6" x14ac:dyDescent="0.3">
      <c r="B2060" s="58" t="s">
        <v>4977</v>
      </c>
      <c r="C2060" s="58">
        <v>1758113716671</v>
      </c>
      <c r="D2060" s="58" t="s">
        <v>5956</v>
      </c>
      <c r="E2060" t="s">
        <v>424</v>
      </c>
      <c r="F2060" t="s">
        <v>441</v>
      </c>
    </row>
    <row r="2061" spans="2:6" x14ac:dyDescent="0.3">
      <c r="B2061" s="58" t="s">
        <v>426</v>
      </c>
      <c r="C2061" s="58">
        <v>1758113724697</v>
      </c>
      <c r="D2061" s="58" t="s">
        <v>5957</v>
      </c>
      <c r="E2061" t="s">
        <v>428</v>
      </c>
      <c r="F2061" t="s">
        <v>431</v>
      </c>
    </row>
    <row r="2062" spans="2:6" x14ac:dyDescent="0.3">
      <c r="B2062" s="58" t="s">
        <v>4977</v>
      </c>
      <c r="C2062" s="58">
        <v>1758113728610</v>
      </c>
      <c r="D2062" s="58" t="s">
        <v>5958</v>
      </c>
      <c r="E2062" t="s">
        <v>424</v>
      </c>
      <c r="F2062" t="s">
        <v>433</v>
      </c>
    </row>
    <row r="2063" spans="2:6" x14ac:dyDescent="0.3">
      <c r="B2063" s="58" t="s">
        <v>426</v>
      </c>
      <c r="C2063" s="58">
        <v>1758113741017</v>
      </c>
      <c r="D2063" s="58" t="s">
        <v>5959</v>
      </c>
      <c r="E2063" t="s">
        <v>428</v>
      </c>
      <c r="F2063" t="s">
        <v>538</v>
      </c>
    </row>
    <row r="2064" spans="2:6" x14ac:dyDescent="0.3">
      <c r="B2064" s="58" t="s">
        <v>4977</v>
      </c>
      <c r="C2064" s="58">
        <v>1758113743808</v>
      </c>
      <c r="D2064" s="58" t="s">
        <v>5960</v>
      </c>
      <c r="E2064" t="s">
        <v>424</v>
      </c>
      <c r="F2064" t="s">
        <v>445</v>
      </c>
    </row>
    <row r="2065" spans="1:6" x14ac:dyDescent="0.3">
      <c r="B2065" s="58" t="s">
        <v>426</v>
      </c>
      <c r="C2065" s="58">
        <v>1758113755846</v>
      </c>
      <c r="D2065" s="58" t="s">
        <v>5961</v>
      </c>
      <c r="E2065" t="s">
        <v>428</v>
      </c>
      <c r="F2065" t="s">
        <v>453</v>
      </c>
    </row>
    <row r="2066" spans="1:6" x14ac:dyDescent="0.3">
      <c r="B2066" s="58" t="s">
        <v>4977</v>
      </c>
      <c r="C2066" s="58">
        <v>1758113768340</v>
      </c>
      <c r="D2066" s="58" t="s">
        <v>5962</v>
      </c>
      <c r="E2066" t="s">
        <v>424</v>
      </c>
      <c r="F2066" t="s">
        <v>457</v>
      </c>
    </row>
    <row r="2067" spans="1:6" x14ac:dyDescent="0.3">
      <c r="B2067" s="58" t="s">
        <v>426</v>
      </c>
      <c r="C2067" s="58">
        <v>1758113771395</v>
      </c>
      <c r="D2067" s="58" t="s">
        <v>5963</v>
      </c>
      <c r="E2067" t="s">
        <v>428</v>
      </c>
      <c r="F2067" t="s">
        <v>447</v>
      </c>
    </row>
    <row r="2068" spans="1:6" x14ac:dyDescent="0.3">
      <c r="B2068" s="58" t="s">
        <v>4977</v>
      </c>
      <c r="C2068" s="58">
        <v>1758113783152</v>
      </c>
      <c r="D2068" s="58" t="s">
        <v>5964</v>
      </c>
      <c r="E2068" t="s">
        <v>424</v>
      </c>
      <c r="F2068" t="s">
        <v>459</v>
      </c>
    </row>
    <row r="2069" spans="1:6" x14ac:dyDescent="0.3">
      <c r="B2069" s="58" t="s">
        <v>4977</v>
      </c>
      <c r="C2069" s="58">
        <v>1758113785965</v>
      </c>
      <c r="D2069" s="58" t="s">
        <v>5965</v>
      </c>
      <c r="E2069" t="s">
        <v>424</v>
      </c>
      <c r="F2069" t="s">
        <v>461</v>
      </c>
    </row>
    <row r="2070" spans="1:6" x14ac:dyDescent="0.3">
      <c r="B2070" s="58" t="s">
        <v>4977</v>
      </c>
      <c r="C2070" s="58">
        <v>1758113792205</v>
      </c>
      <c r="D2070" s="58" t="s">
        <v>5966</v>
      </c>
      <c r="E2070" t="s">
        <v>424</v>
      </c>
      <c r="F2070" t="s">
        <v>449</v>
      </c>
    </row>
    <row r="2071" spans="1:6" x14ac:dyDescent="0.3">
      <c r="B2071" s="58" t="s">
        <v>4977</v>
      </c>
      <c r="C2071" s="58">
        <v>1758113794450</v>
      </c>
      <c r="D2071" s="58" t="s">
        <v>5967</v>
      </c>
      <c r="E2071" t="s">
        <v>424</v>
      </c>
      <c r="F2071" t="s">
        <v>451</v>
      </c>
    </row>
    <row r="2072" spans="1:6" x14ac:dyDescent="0.3">
      <c r="B2072" s="58" t="s">
        <v>4977</v>
      </c>
      <c r="C2072" s="58">
        <v>1758113795651</v>
      </c>
      <c r="D2072" s="58" t="s">
        <v>5968</v>
      </c>
      <c r="E2072" t="s">
        <v>463</v>
      </c>
      <c r="F2072" t="s">
        <v>464</v>
      </c>
    </row>
    <row r="2073" spans="1:6" ht="21" x14ac:dyDescent="0.4">
      <c r="A2073" s="69" t="s">
        <v>65</v>
      </c>
      <c r="B2073" s="63" t="s">
        <v>46</v>
      </c>
      <c r="C2073" s="63">
        <v>1758123198799</v>
      </c>
      <c r="D2073" s="63" t="s">
        <v>5969</v>
      </c>
      <c r="E2073" s="63" t="s">
        <v>416</v>
      </c>
      <c r="F2073" t="s">
        <v>417</v>
      </c>
    </row>
    <row r="2074" spans="1:6" x14ac:dyDescent="0.3">
      <c r="B2074" s="63" t="s">
        <v>46</v>
      </c>
      <c r="C2074" s="63">
        <v>1758123199312</v>
      </c>
      <c r="D2074" s="63" t="s">
        <v>5970</v>
      </c>
      <c r="E2074" s="63" t="s">
        <v>419</v>
      </c>
      <c r="F2074" t="s">
        <v>420</v>
      </c>
    </row>
    <row r="2075" spans="1:6" x14ac:dyDescent="0.3">
      <c r="B2075" s="63" t="s">
        <v>46</v>
      </c>
      <c r="C2075" s="63">
        <v>1758123248218</v>
      </c>
      <c r="D2075" s="63" t="s">
        <v>5971</v>
      </c>
      <c r="E2075" s="63" t="s">
        <v>389</v>
      </c>
      <c r="F2075" t="s">
        <v>406</v>
      </c>
    </row>
    <row r="2076" spans="1:6" x14ac:dyDescent="0.3">
      <c r="B2076" s="63" t="s">
        <v>46</v>
      </c>
      <c r="C2076" s="63">
        <v>1758123250822</v>
      </c>
      <c r="D2076" s="63" t="s">
        <v>5972</v>
      </c>
      <c r="E2076" s="63" t="s">
        <v>389</v>
      </c>
      <c r="F2076" t="s">
        <v>414</v>
      </c>
    </row>
    <row r="2077" spans="1:6" x14ac:dyDescent="0.3">
      <c r="B2077" s="63" t="s">
        <v>46</v>
      </c>
      <c r="C2077" s="63">
        <v>1758123251885</v>
      </c>
      <c r="D2077" s="63" t="s">
        <v>5973</v>
      </c>
      <c r="E2077" s="63" t="s">
        <v>389</v>
      </c>
      <c r="F2077" t="s">
        <v>495</v>
      </c>
    </row>
    <row r="2078" spans="1:6" x14ac:dyDescent="0.3">
      <c r="B2078" s="63" t="s">
        <v>46</v>
      </c>
      <c r="C2078" s="63">
        <v>1758123252807</v>
      </c>
      <c r="D2078" s="63" t="s">
        <v>5974</v>
      </c>
      <c r="E2078" s="63" t="s">
        <v>389</v>
      </c>
      <c r="F2078" t="s">
        <v>508</v>
      </c>
    </row>
    <row r="2079" spans="1:6" x14ac:dyDescent="0.3">
      <c r="B2079" s="63" t="s">
        <v>46</v>
      </c>
      <c r="C2079" s="63">
        <v>1758123253289</v>
      </c>
      <c r="D2079" s="63" t="s">
        <v>5975</v>
      </c>
      <c r="E2079" s="63" t="s">
        <v>389</v>
      </c>
      <c r="F2079" t="s">
        <v>660</v>
      </c>
    </row>
    <row r="2080" spans="1:6" x14ac:dyDescent="0.3">
      <c r="B2080" s="63" t="s">
        <v>46</v>
      </c>
      <c r="C2080" s="63">
        <v>1758123254542</v>
      </c>
      <c r="D2080" s="63" t="s">
        <v>5976</v>
      </c>
      <c r="E2080" s="63" t="s">
        <v>389</v>
      </c>
      <c r="F2080" t="s">
        <v>396</v>
      </c>
    </row>
    <row r="2081" spans="2:6" x14ac:dyDescent="0.3">
      <c r="B2081" s="63" t="s">
        <v>46</v>
      </c>
      <c r="C2081" s="63">
        <v>1758123255094</v>
      </c>
      <c r="D2081" s="63" t="s">
        <v>5977</v>
      </c>
      <c r="E2081" s="63" t="s">
        <v>389</v>
      </c>
      <c r="F2081" t="s">
        <v>398</v>
      </c>
    </row>
    <row r="2082" spans="2:6" x14ac:dyDescent="0.3">
      <c r="B2082" s="63" t="s">
        <v>46</v>
      </c>
      <c r="C2082" s="63">
        <v>1758123255635</v>
      </c>
      <c r="D2082" s="63" t="s">
        <v>5978</v>
      </c>
      <c r="E2082" s="63" t="s">
        <v>389</v>
      </c>
      <c r="F2082" t="s">
        <v>400</v>
      </c>
    </row>
    <row r="2083" spans="2:6" x14ac:dyDescent="0.3">
      <c r="B2083" s="63" t="s">
        <v>46</v>
      </c>
      <c r="C2083" s="63">
        <v>1758123256572</v>
      </c>
      <c r="D2083" s="63" t="s">
        <v>5979</v>
      </c>
      <c r="E2083" s="63" t="s">
        <v>389</v>
      </c>
      <c r="F2083" t="s">
        <v>390</v>
      </c>
    </row>
    <row r="2084" spans="2:6" x14ac:dyDescent="0.3">
      <c r="B2084" s="63" t="s">
        <v>46</v>
      </c>
      <c r="C2084" s="63">
        <v>1758123257450</v>
      </c>
      <c r="D2084" s="63" t="s">
        <v>5980</v>
      </c>
      <c r="E2084" s="63" t="s">
        <v>389</v>
      </c>
      <c r="F2084" t="s">
        <v>392</v>
      </c>
    </row>
    <row r="2085" spans="2:6" x14ac:dyDescent="0.3">
      <c r="B2085" s="63" t="s">
        <v>46</v>
      </c>
      <c r="C2085" s="63">
        <v>1758123265440</v>
      </c>
      <c r="D2085" s="63" t="s">
        <v>5981</v>
      </c>
      <c r="E2085" s="63" t="s">
        <v>389</v>
      </c>
      <c r="F2085" t="s">
        <v>410</v>
      </c>
    </row>
    <row r="2086" spans="2:6" x14ac:dyDescent="0.3">
      <c r="B2086" s="63" t="s">
        <v>46</v>
      </c>
      <c r="C2086" s="63">
        <v>1758123272469</v>
      </c>
      <c r="D2086" s="63" t="s">
        <v>5982</v>
      </c>
      <c r="E2086" s="63" t="s">
        <v>422</v>
      </c>
      <c r="F2086" t="s">
        <v>420</v>
      </c>
    </row>
    <row r="2087" spans="2:6" x14ac:dyDescent="0.3">
      <c r="B2087" s="63" t="s">
        <v>426</v>
      </c>
      <c r="C2087" s="63">
        <v>1758123290221</v>
      </c>
      <c r="D2087" s="63" t="s">
        <v>5983</v>
      </c>
      <c r="E2087" s="63" t="s">
        <v>428</v>
      </c>
      <c r="F2087" t="s">
        <v>453</v>
      </c>
    </row>
    <row r="2088" spans="2:6" x14ac:dyDescent="0.3">
      <c r="B2088" s="63" t="s">
        <v>46</v>
      </c>
      <c r="C2088" s="63">
        <v>1758123303575</v>
      </c>
      <c r="D2088" s="63" t="s">
        <v>5984</v>
      </c>
      <c r="E2088" s="63" t="s">
        <v>424</v>
      </c>
      <c r="F2088" t="s">
        <v>457</v>
      </c>
    </row>
    <row r="2089" spans="2:6" x14ac:dyDescent="0.3">
      <c r="B2089" s="63" t="s">
        <v>426</v>
      </c>
      <c r="C2089" s="63">
        <v>1758123305775</v>
      </c>
      <c r="D2089" s="63" t="s">
        <v>5985</v>
      </c>
      <c r="E2089" s="63" t="s">
        <v>428</v>
      </c>
      <c r="F2089" t="s">
        <v>447</v>
      </c>
    </row>
    <row r="2090" spans="2:6" x14ac:dyDescent="0.3">
      <c r="B2090" s="63" t="s">
        <v>46</v>
      </c>
      <c r="C2090" s="63">
        <v>1758123315508</v>
      </c>
      <c r="D2090" s="63" t="s">
        <v>5986</v>
      </c>
      <c r="E2090" s="63" t="s">
        <v>424</v>
      </c>
      <c r="F2090" t="s">
        <v>459</v>
      </c>
    </row>
    <row r="2091" spans="2:6" x14ac:dyDescent="0.3">
      <c r="B2091" s="63" t="s">
        <v>426</v>
      </c>
      <c r="C2091" s="63">
        <v>1758123327172</v>
      </c>
      <c r="D2091" s="63" t="s">
        <v>5987</v>
      </c>
      <c r="E2091" s="63" t="s">
        <v>428</v>
      </c>
      <c r="F2091" t="s">
        <v>455</v>
      </c>
    </row>
    <row r="2092" spans="2:6" x14ac:dyDescent="0.3">
      <c r="B2092" s="63" t="s">
        <v>46</v>
      </c>
      <c r="C2092" s="63">
        <v>1758123328787</v>
      </c>
      <c r="D2092" s="63" t="s">
        <v>5988</v>
      </c>
      <c r="E2092" s="63" t="s">
        <v>424</v>
      </c>
      <c r="F2092" t="s">
        <v>461</v>
      </c>
    </row>
    <row r="2093" spans="2:6" x14ac:dyDescent="0.3">
      <c r="B2093" s="63" t="s">
        <v>426</v>
      </c>
      <c r="C2093" s="63">
        <v>1758123344151</v>
      </c>
      <c r="D2093" s="63" t="s">
        <v>5989</v>
      </c>
      <c r="E2093" s="63" t="s">
        <v>428</v>
      </c>
      <c r="F2093" t="s">
        <v>523</v>
      </c>
    </row>
    <row r="2094" spans="2:6" x14ac:dyDescent="0.3">
      <c r="B2094" s="63" t="s">
        <v>46</v>
      </c>
      <c r="C2094" s="63">
        <v>1758123346110</v>
      </c>
      <c r="D2094" s="63" t="s">
        <v>5990</v>
      </c>
      <c r="E2094" s="63" t="s">
        <v>424</v>
      </c>
      <c r="F2094" t="s">
        <v>449</v>
      </c>
    </row>
    <row r="2095" spans="2:6" x14ac:dyDescent="0.3">
      <c r="B2095" s="63" t="s">
        <v>46</v>
      </c>
      <c r="C2095" s="63">
        <v>1758123350683</v>
      </c>
      <c r="D2095" s="63" t="s">
        <v>5991</v>
      </c>
      <c r="E2095" s="63" t="s">
        <v>424</v>
      </c>
      <c r="F2095" t="s">
        <v>451</v>
      </c>
    </row>
    <row r="2096" spans="2:6" x14ac:dyDescent="0.3">
      <c r="B2096" s="63" t="s">
        <v>426</v>
      </c>
      <c r="C2096" s="63">
        <v>1758123359723</v>
      </c>
      <c r="D2096" s="63" t="s">
        <v>5992</v>
      </c>
      <c r="E2096" s="63" t="s">
        <v>428</v>
      </c>
      <c r="F2096" t="s">
        <v>538</v>
      </c>
    </row>
    <row r="2097" spans="2:6" x14ac:dyDescent="0.3">
      <c r="B2097" s="63" t="s">
        <v>426</v>
      </c>
      <c r="C2097" s="63">
        <v>1758123376803</v>
      </c>
      <c r="D2097" s="63" t="s">
        <v>5993</v>
      </c>
      <c r="E2097" s="63" t="s">
        <v>428</v>
      </c>
      <c r="F2097" t="s">
        <v>672</v>
      </c>
    </row>
    <row r="2098" spans="2:6" x14ac:dyDescent="0.3">
      <c r="B2098" s="63" t="s">
        <v>426</v>
      </c>
      <c r="C2098" s="63">
        <v>1758123392433</v>
      </c>
      <c r="D2098" s="63" t="s">
        <v>5994</v>
      </c>
      <c r="E2098" s="63" t="s">
        <v>428</v>
      </c>
      <c r="F2098" t="s">
        <v>435</v>
      </c>
    </row>
    <row r="2099" spans="2:6" x14ac:dyDescent="0.3">
      <c r="B2099" s="63" t="s">
        <v>426</v>
      </c>
      <c r="C2099" s="63">
        <v>1758123407351</v>
      </c>
      <c r="D2099" s="63" t="s">
        <v>5995</v>
      </c>
      <c r="E2099" s="63" t="s">
        <v>428</v>
      </c>
      <c r="F2099" t="s">
        <v>437</v>
      </c>
    </row>
    <row r="2100" spans="2:6" x14ac:dyDescent="0.3">
      <c r="B2100" s="63" t="s">
        <v>426</v>
      </c>
      <c r="C2100" s="63">
        <v>1758123423709</v>
      </c>
      <c r="D2100" s="63" t="s">
        <v>5996</v>
      </c>
      <c r="E2100" s="63" t="s">
        <v>428</v>
      </c>
      <c r="F2100" t="s">
        <v>439</v>
      </c>
    </row>
    <row r="2101" spans="2:6" x14ac:dyDescent="0.3">
      <c r="B2101" s="63" t="s">
        <v>46</v>
      </c>
      <c r="C2101" s="63">
        <v>1758123431703</v>
      </c>
      <c r="D2101" s="63" t="s">
        <v>5997</v>
      </c>
      <c r="E2101" s="63" t="s">
        <v>424</v>
      </c>
      <c r="F2101" t="s">
        <v>441</v>
      </c>
    </row>
    <row r="2102" spans="2:6" x14ac:dyDescent="0.3">
      <c r="B2102" s="63" t="s">
        <v>426</v>
      </c>
      <c r="C2102" s="63">
        <v>1758123442209</v>
      </c>
      <c r="D2102" s="63" t="s">
        <v>5998</v>
      </c>
      <c r="E2102" s="63" t="s">
        <v>428</v>
      </c>
      <c r="F2102" t="s">
        <v>429</v>
      </c>
    </row>
    <row r="2103" spans="2:6" x14ac:dyDescent="0.3">
      <c r="B2103" s="63" t="s">
        <v>426</v>
      </c>
      <c r="C2103" s="63">
        <v>1758123459949</v>
      </c>
      <c r="D2103" s="63" t="s">
        <v>5999</v>
      </c>
      <c r="E2103" s="63" t="s">
        <v>428</v>
      </c>
      <c r="F2103" t="s">
        <v>431</v>
      </c>
    </row>
    <row r="2104" spans="2:6" x14ac:dyDescent="0.3">
      <c r="B2104" s="63" t="s">
        <v>46</v>
      </c>
      <c r="C2104" s="63">
        <v>1758123461536</v>
      </c>
      <c r="D2104" s="63" t="s">
        <v>6000</v>
      </c>
      <c r="E2104" s="63" t="s">
        <v>424</v>
      </c>
      <c r="F2104" t="s">
        <v>433</v>
      </c>
    </row>
    <row r="2105" spans="2:6" x14ac:dyDescent="0.3">
      <c r="B2105" s="63" t="s">
        <v>46</v>
      </c>
      <c r="C2105" s="63">
        <v>1758123463232</v>
      </c>
      <c r="D2105" s="63" t="s">
        <v>6001</v>
      </c>
      <c r="E2105" s="63" t="s">
        <v>463</v>
      </c>
      <c r="F2105" t="s">
        <v>464</v>
      </c>
    </row>
    <row r="2106" spans="2:6" x14ac:dyDescent="0.3">
      <c r="B2106" s="58" t="s">
        <v>47</v>
      </c>
      <c r="C2106" s="58">
        <v>1758123472292</v>
      </c>
      <c r="D2106" s="58" t="s">
        <v>6002</v>
      </c>
      <c r="E2106" s="58" t="s">
        <v>416</v>
      </c>
      <c r="F2106" t="s">
        <v>466</v>
      </c>
    </row>
    <row r="2107" spans="2:6" x14ac:dyDescent="0.3">
      <c r="B2107" s="58" t="s">
        <v>47</v>
      </c>
      <c r="C2107" s="58">
        <v>1758123472510</v>
      </c>
      <c r="D2107" s="58" t="s">
        <v>6003</v>
      </c>
      <c r="E2107" s="58" t="s">
        <v>468</v>
      </c>
      <c r="F2107" t="s">
        <v>2557</v>
      </c>
    </row>
    <row r="2108" spans="2:6" x14ac:dyDescent="0.3">
      <c r="B2108" s="58" t="s">
        <v>47</v>
      </c>
      <c r="C2108" s="58">
        <v>1758123486788</v>
      </c>
      <c r="D2108" s="58" t="s">
        <v>6004</v>
      </c>
      <c r="E2108" s="58" t="s">
        <v>419</v>
      </c>
      <c r="F2108" t="s">
        <v>420</v>
      </c>
    </row>
    <row r="2109" spans="2:6" x14ac:dyDescent="0.3">
      <c r="B2109" s="58" t="s">
        <v>47</v>
      </c>
      <c r="C2109" s="58">
        <v>1758123499194</v>
      </c>
      <c r="D2109" s="58" t="s">
        <v>6005</v>
      </c>
      <c r="E2109" s="58" t="s">
        <v>422</v>
      </c>
      <c r="F2109" t="s">
        <v>420</v>
      </c>
    </row>
    <row r="2110" spans="2:6" x14ac:dyDescent="0.3">
      <c r="B2110" s="58" t="s">
        <v>47</v>
      </c>
      <c r="C2110" s="58">
        <v>1758123501443</v>
      </c>
      <c r="D2110" s="58" t="s">
        <v>6006</v>
      </c>
      <c r="E2110" s="58" t="s">
        <v>422</v>
      </c>
      <c r="F2110" t="s">
        <v>420</v>
      </c>
    </row>
    <row r="2111" spans="2:6" x14ac:dyDescent="0.3">
      <c r="B2111" s="58" t="s">
        <v>426</v>
      </c>
      <c r="C2111" s="58">
        <v>1758123519071</v>
      </c>
      <c r="D2111" s="58" t="s">
        <v>6007</v>
      </c>
      <c r="E2111" s="58" t="s">
        <v>428</v>
      </c>
      <c r="F2111" t="s">
        <v>435</v>
      </c>
    </row>
    <row r="2112" spans="2:6" x14ac:dyDescent="0.3">
      <c r="B2112" s="58" t="s">
        <v>426</v>
      </c>
      <c r="C2112" s="58">
        <v>1758123538289</v>
      </c>
      <c r="D2112" s="58" t="s">
        <v>6008</v>
      </c>
      <c r="E2112" s="58" t="s">
        <v>428</v>
      </c>
      <c r="F2112" t="s">
        <v>437</v>
      </c>
    </row>
    <row r="2113" spans="2:6" x14ac:dyDescent="0.3">
      <c r="B2113" s="58" t="s">
        <v>426</v>
      </c>
      <c r="C2113" s="58">
        <v>1758123556857</v>
      </c>
      <c r="D2113" s="58" t="s">
        <v>6009</v>
      </c>
      <c r="E2113" s="58" t="s">
        <v>428</v>
      </c>
      <c r="F2113" t="s">
        <v>439</v>
      </c>
    </row>
    <row r="2114" spans="2:6" x14ac:dyDescent="0.3">
      <c r="B2114" s="58" t="s">
        <v>47</v>
      </c>
      <c r="C2114" s="58">
        <v>1758123563966</v>
      </c>
      <c r="D2114" s="58" t="s">
        <v>6010</v>
      </c>
      <c r="E2114" s="58" t="s">
        <v>424</v>
      </c>
      <c r="F2114" t="s">
        <v>441</v>
      </c>
    </row>
    <row r="2115" spans="2:6" x14ac:dyDescent="0.3">
      <c r="B2115" s="58" t="s">
        <v>426</v>
      </c>
      <c r="C2115" s="58">
        <v>1758123572451</v>
      </c>
      <c r="D2115" s="58" t="s">
        <v>6011</v>
      </c>
      <c r="E2115" s="58" t="s">
        <v>428</v>
      </c>
      <c r="F2115" t="s">
        <v>429</v>
      </c>
    </row>
    <row r="2116" spans="2:6" x14ac:dyDescent="0.3">
      <c r="B2116" s="58" t="s">
        <v>426</v>
      </c>
      <c r="C2116" s="58">
        <v>1758123588038</v>
      </c>
      <c r="D2116" s="58" t="s">
        <v>6012</v>
      </c>
      <c r="E2116" s="58" t="s">
        <v>428</v>
      </c>
      <c r="F2116" t="s">
        <v>431</v>
      </c>
    </row>
    <row r="2117" spans="2:6" x14ac:dyDescent="0.3">
      <c r="B2117" s="58" t="s">
        <v>47</v>
      </c>
      <c r="C2117" s="58">
        <v>1758123590041</v>
      </c>
      <c r="D2117" s="58" t="s">
        <v>6013</v>
      </c>
      <c r="E2117" s="58" t="s">
        <v>424</v>
      </c>
      <c r="F2117" t="s">
        <v>433</v>
      </c>
    </row>
    <row r="2118" spans="2:6" x14ac:dyDescent="0.3">
      <c r="B2118" s="58" t="s">
        <v>426</v>
      </c>
      <c r="C2118" s="58">
        <v>1758123604266</v>
      </c>
      <c r="D2118" s="58" t="s">
        <v>6014</v>
      </c>
      <c r="E2118" s="58" t="s">
        <v>428</v>
      </c>
      <c r="F2118" t="s">
        <v>538</v>
      </c>
    </row>
    <row r="2119" spans="2:6" x14ac:dyDescent="0.3">
      <c r="B2119" s="58" t="s">
        <v>426</v>
      </c>
      <c r="C2119" s="58">
        <v>1758123622189</v>
      </c>
      <c r="D2119" s="58" t="s">
        <v>6015</v>
      </c>
      <c r="E2119" s="58" t="s">
        <v>428</v>
      </c>
      <c r="F2119" t="s">
        <v>672</v>
      </c>
    </row>
    <row r="2120" spans="2:6" x14ac:dyDescent="0.3">
      <c r="B2120" s="58" t="s">
        <v>426</v>
      </c>
      <c r="C2120" s="58">
        <v>1758123637010</v>
      </c>
      <c r="D2120" s="58" t="s">
        <v>6016</v>
      </c>
      <c r="E2120" s="58" t="s">
        <v>428</v>
      </c>
      <c r="F2120" t="s">
        <v>453</v>
      </c>
    </row>
    <row r="2121" spans="2:6" x14ac:dyDescent="0.3">
      <c r="B2121" s="58" t="s">
        <v>426</v>
      </c>
      <c r="C2121" s="58">
        <v>1758123654005</v>
      </c>
      <c r="D2121" s="58" t="s">
        <v>6017</v>
      </c>
      <c r="E2121" s="58" t="s">
        <v>428</v>
      </c>
      <c r="F2121" t="s">
        <v>523</v>
      </c>
    </row>
    <row r="2122" spans="2:6" x14ac:dyDescent="0.3">
      <c r="B2122" s="58" t="s">
        <v>47</v>
      </c>
      <c r="C2122" s="58">
        <v>1758123655375</v>
      </c>
      <c r="D2122" s="58" t="s">
        <v>6018</v>
      </c>
      <c r="E2122" s="58" t="s">
        <v>424</v>
      </c>
      <c r="F2122" t="s">
        <v>457</v>
      </c>
    </row>
    <row r="2123" spans="2:6" x14ac:dyDescent="0.3">
      <c r="B2123" s="58" t="s">
        <v>47</v>
      </c>
      <c r="C2123" s="58">
        <v>1758123660774</v>
      </c>
      <c r="D2123" s="58" t="s">
        <v>6019</v>
      </c>
      <c r="E2123" s="58" t="s">
        <v>424</v>
      </c>
      <c r="F2123" t="s">
        <v>459</v>
      </c>
    </row>
    <row r="2124" spans="2:6" x14ac:dyDescent="0.3">
      <c r="B2124" s="58" t="s">
        <v>426</v>
      </c>
      <c r="C2124" s="58">
        <v>1758123669557</v>
      </c>
      <c r="D2124" s="58" t="s">
        <v>6020</v>
      </c>
      <c r="E2124" s="58" t="s">
        <v>428</v>
      </c>
      <c r="F2124" t="s">
        <v>447</v>
      </c>
    </row>
    <row r="2125" spans="2:6" x14ac:dyDescent="0.3">
      <c r="B2125" s="58" t="s">
        <v>47</v>
      </c>
      <c r="C2125" s="58">
        <v>1758123678368</v>
      </c>
      <c r="D2125" s="58" t="s">
        <v>6021</v>
      </c>
      <c r="E2125" s="58" t="s">
        <v>424</v>
      </c>
      <c r="F2125" t="s">
        <v>461</v>
      </c>
    </row>
    <row r="2126" spans="2:6" x14ac:dyDescent="0.3">
      <c r="B2126" s="58" t="s">
        <v>47</v>
      </c>
      <c r="C2126" s="58">
        <v>1758123686452</v>
      </c>
      <c r="D2126" s="58" t="s">
        <v>6022</v>
      </c>
      <c r="E2126" s="58" t="s">
        <v>424</v>
      </c>
      <c r="F2126" t="s">
        <v>449</v>
      </c>
    </row>
    <row r="2127" spans="2:6" x14ac:dyDescent="0.3">
      <c r="B2127" s="58" t="s">
        <v>426</v>
      </c>
      <c r="C2127" s="58">
        <v>1758123690168</v>
      </c>
      <c r="D2127" s="58" t="s">
        <v>6023</v>
      </c>
      <c r="E2127" s="58" t="s">
        <v>428</v>
      </c>
      <c r="F2127" t="s">
        <v>455</v>
      </c>
    </row>
    <row r="2128" spans="2:6" x14ac:dyDescent="0.3">
      <c r="B2128" s="58" t="s">
        <v>47</v>
      </c>
      <c r="C2128" s="58">
        <v>1758123690661</v>
      </c>
      <c r="D2128" s="58" t="s">
        <v>6024</v>
      </c>
      <c r="E2128" s="58" t="s">
        <v>424</v>
      </c>
      <c r="F2128" t="s">
        <v>451</v>
      </c>
    </row>
    <row r="2129" spans="1:6" x14ac:dyDescent="0.3">
      <c r="B2129" s="58" t="s">
        <v>47</v>
      </c>
      <c r="C2129" s="58">
        <v>1758123691386</v>
      </c>
      <c r="D2129" s="58" t="s">
        <v>6025</v>
      </c>
      <c r="E2129" s="58" t="s">
        <v>463</v>
      </c>
      <c r="F2129" t="s">
        <v>464</v>
      </c>
    </row>
    <row r="2130" spans="1:6" ht="21" x14ac:dyDescent="0.4">
      <c r="A2130" s="69" t="s">
        <v>64</v>
      </c>
      <c r="B2130" s="63" t="s">
        <v>58</v>
      </c>
      <c r="C2130" s="63">
        <v>1758195625357</v>
      </c>
      <c r="D2130" s="63" t="s">
        <v>6202</v>
      </c>
      <c r="E2130" t="s">
        <v>416</v>
      </c>
      <c r="F2130" t="s">
        <v>417</v>
      </c>
    </row>
    <row r="2131" spans="1:6" x14ac:dyDescent="0.3">
      <c r="B2131" s="63" t="s">
        <v>58</v>
      </c>
      <c r="C2131" s="63">
        <v>1758195625864</v>
      </c>
      <c r="D2131" s="63" t="s">
        <v>6203</v>
      </c>
      <c r="E2131" t="s">
        <v>419</v>
      </c>
      <c r="F2131" t="s">
        <v>420</v>
      </c>
    </row>
    <row r="2132" spans="1:6" x14ac:dyDescent="0.3">
      <c r="B2132" s="63" t="s">
        <v>58</v>
      </c>
      <c r="C2132" s="63">
        <v>1758195688042</v>
      </c>
      <c r="D2132" s="63" t="s">
        <v>6204</v>
      </c>
      <c r="E2132" t="s">
        <v>389</v>
      </c>
      <c r="F2132" t="s">
        <v>1594</v>
      </c>
    </row>
    <row r="2133" spans="1:6" x14ac:dyDescent="0.3">
      <c r="B2133" s="63" t="s">
        <v>58</v>
      </c>
      <c r="C2133" s="63">
        <v>1758195688113</v>
      </c>
      <c r="D2133" s="63" t="s">
        <v>6205</v>
      </c>
      <c r="E2133" t="s">
        <v>389</v>
      </c>
      <c r="F2133" t="s">
        <v>1218</v>
      </c>
    </row>
    <row r="2134" spans="1:6" x14ac:dyDescent="0.3">
      <c r="B2134" s="63" t="s">
        <v>58</v>
      </c>
      <c r="C2134" s="63">
        <v>1758195688182</v>
      </c>
      <c r="D2134" s="63" t="s">
        <v>6206</v>
      </c>
      <c r="E2134" t="s">
        <v>389</v>
      </c>
      <c r="F2134" t="s">
        <v>1230</v>
      </c>
    </row>
    <row r="2135" spans="1:6" x14ac:dyDescent="0.3">
      <c r="B2135" s="63" t="s">
        <v>58</v>
      </c>
      <c r="C2135" s="63">
        <v>1758195688245</v>
      </c>
      <c r="D2135" s="63" t="s">
        <v>6207</v>
      </c>
      <c r="E2135" t="s">
        <v>389</v>
      </c>
      <c r="F2135" t="s">
        <v>1218</v>
      </c>
    </row>
    <row r="2136" spans="1:6" x14ac:dyDescent="0.3">
      <c r="B2136" s="63" t="s">
        <v>58</v>
      </c>
      <c r="C2136" s="63">
        <v>1758195688300</v>
      </c>
      <c r="D2136" s="63" t="s">
        <v>6208</v>
      </c>
      <c r="E2136" t="s">
        <v>389</v>
      </c>
      <c r="F2136" t="s">
        <v>1230</v>
      </c>
    </row>
    <row r="2137" spans="1:6" x14ac:dyDescent="0.3">
      <c r="B2137" s="63" t="s">
        <v>58</v>
      </c>
      <c r="C2137" s="63">
        <v>1758195688366</v>
      </c>
      <c r="D2137" s="63" t="s">
        <v>6209</v>
      </c>
      <c r="E2137" t="s">
        <v>389</v>
      </c>
      <c r="F2137" t="s">
        <v>1594</v>
      </c>
    </row>
    <row r="2138" spans="1:6" x14ac:dyDescent="0.3">
      <c r="B2138" s="63" t="s">
        <v>58</v>
      </c>
      <c r="C2138" s="63">
        <v>1758195688422</v>
      </c>
      <c r="D2138" s="63" t="s">
        <v>6210</v>
      </c>
      <c r="E2138" t="s">
        <v>389</v>
      </c>
      <c r="F2138" t="s">
        <v>1230</v>
      </c>
    </row>
    <row r="2139" spans="1:6" x14ac:dyDescent="0.3">
      <c r="B2139" s="63" t="s">
        <v>58</v>
      </c>
      <c r="C2139" s="63">
        <v>1758195688479</v>
      </c>
      <c r="D2139" s="63" t="s">
        <v>6211</v>
      </c>
      <c r="E2139" t="s">
        <v>389</v>
      </c>
      <c r="F2139" t="s">
        <v>1218</v>
      </c>
    </row>
    <row r="2140" spans="1:6" x14ac:dyDescent="0.3">
      <c r="B2140" s="63" t="s">
        <v>58</v>
      </c>
      <c r="C2140" s="63">
        <v>1758195689339</v>
      </c>
      <c r="D2140" s="63" t="s">
        <v>6212</v>
      </c>
      <c r="E2140" t="s">
        <v>389</v>
      </c>
      <c r="F2140" t="s">
        <v>396</v>
      </c>
    </row>
    <row r="2141" spans="1:6" x14ac:dyDescent="0.3">
      <c r="B2141" s="63" t="s">
        <v>58</v>
      </c>
      <c r="C2141" s="63">
        <v>1758195689857</v>
      </c>
      <c r="D2141" s="63" t="s">
        <v>6213</v>
      </c>
      <c r="E2141" t="s">
        <v>389</v>
      </c>
      <c r="F2141" t="s">
        <v>398</v>
      </c>
    </row>
    <row r="2142" spans="1:6" x14ac:dyDescent="0.3">
      <c r="B2142" s="63" t="s">
        <v>58</v>
      </c>
      <c r="C2142" s="63">
        <v>1758195690421</v>
      </c>
      <c r="D2142" s="63" t="s">
        <v>6214</v>
      </c>
      <c r="E2142" t="s">
        <v>389</v>
      </c>
      <c r="F2142" t="s">
        <v>400</v>
      </c>
    </row>
    <row r="2143" spans="1:6" x14ac:dyDescent="0.3">
      <c r="B2143" s="63" t="s">
        <v>58</v>
      </c>
      <c r="C2143" s="63">
        <v>1758195691374</v>
      </c>
      <c r="D2143" s="63" t="s">
        <v>6215</v>
      </c>
      <c r="E2143" t="s">
        <v>389</v>
      </c>
      <c r="F2143" t="s">
        <v>406</v>
      </c>
    </row>
    <row r="2144" spans="1:6" x14ac:dyDescent="0.3">
      <c r="B2144" s="63" t="s">
        <v>58</v>
      </c>
      <c r="C2144" s="63">
        <v>1758195692443</v>
      </c>
      <c r="D2144" s="63" t="s">
        <v>6216</v>
      </c>
      <c r="E2144" t="s">
        <v>389</v>
      </c>
      <c r="F2144" t="s">
        <v>390</v>
      </c>
    </row>
    <row r="2145" spans="2:6" x14ac:dyDescent="0.3">
      <c r="B2145" s="63" t="s">
        <v>58</v>
      </c>
      <c r="C2145" s="63">
        <v>1758195693066</v>
      </c>
      <c r="D2145" s="63" t="s">
        <v>6217</v>
      </c>
      <c r="E2145" t="s">
        <v>389</v>
      </c>
      <c r="F2145" t="s">
        <v>392</v>
      </c>
    </row>
    <row r="2146" spans="2:6" x14ac:dyDescent="0.3">
      <c r="B2146" s="63" t="s">
        <v>58</v>
      </c>
      <c r="C2146" s="63">
        <v>1758195694044</v>
      </c>
      <c r="D2146" s="63" t="s">
        <v>6218</v>
      </c>
      <c r="E2146" t="s">
        <v>389</v>
      </c>
      <c r="F2146" t="s">
        <v>410</v>
      </c>
    </row>
    <row r="2147" spans="2:6" x14ac:dyDescent="0.3">
      <c r="B2147" s="63" t="s">
        <v>58</v>
      </c>
      <c r="C2147" s="63">
        <v>1758195694815</v>
      </c>
      <c r="D2147" s="63" t="s">
        <v>6219</v>
      </c>
      <c r="E2147" t="s">
        <v>389</v>
      </c>
      <c r="F2147" t="s">
        <v>508</v>
      </c>
    </row>
    <row r="2148" spans="2:6" x14ac:dyDescent="0.3">
      <c r="B2148" s="63" t="s">
        <v>58</v>
      </c>
      <c r="C2148" s="63">
        <v>1758195696216</v>
      </c>
      <c r="D2148" s="63" t="s">
        <v>6220</v>
      </c>
      <c r="E2148" t="s">
        <v>389</v>
      </c>
      <c r="F2148" t="s">
        <v>660</v>
      </c>
    </row>
    <row r="2149" spans="2:6" x14ac:dyDescent="0.3">
      <c r="B2149" s="63" t="s">
        <v>58</v>
      </c>
      <c r="C2149" s="63">
        <v>1758195696951</v>
      </c>
      <c r="D2149" s="63" t="s">
        <v>6221</v>
      </c>
      <c r="E2149" t="s">
        <v>389</v>
      </c>
      <c r="F2149" t="s">
        <v>495</v>
      </c>
    </row>
    <row r="2150" spans="2:6" x14ac:dyDescent="0.3">
      <c r="B2150" s="63" t="s">
        <v>58</v>
      </c>
      <c r="C2150" s="63">
        <v>1758195697584</v>
      </c>
      <c r="D2150" s="63" t="s">
        <v>6222</v>
      </c>
      <c r="E2150" t="s">
        <v>389</v>
      </c>
      <c r="F2150" t="s">
        <v>414</v>
      </c>
    </row>
    <row r="2151" spans="2:6" x14ac:dyDescent="0.3">
      <c r="B2151" s="63" t="s">
        <v>58</v>
      </c>
      <c r="C2151" s="63">
        <v>1758195700688</v>
      </c>
      <c r="D2151" s="63" t="s">
        <v>6223</v>
      </c>
      <c r="E2151" t="s">
        <v>422</v>
      </c>
      <c r="F2151" t="s">
        <v>420</v>
      </c>
    </row>
    <row r="2152" spans="2:6" x14ac:dyDescent="0.3">
      <c r="B2152" s="63" t="s">
        <v>426</v>
      </c>
      <c r="C2152" s="63">
        <v>1758195716204</v>
      </c>
      <c r="D2152" s="63" t="s">
        <v>6224</v>
      </c>
      <c r="E2152" t="s">
        <v>428</v>
      </c>
      <c r="F2152" t="s">
        <v>435</v>
      </c>
    </row>
    <row r="2153" spans="2:6" x14ac:dyDescent="0.3">
      <c r="B2153" s="63" t="s">
        <v>426</v>
      </c>
      <c r="C2153" s="63">
        <v>1758195730954</v>
      </c>
      <c r="D2153" s="63" t="s">
        <v>6225</v>
      </c>
      <c r="E2153" t="s">
        <v>428</v>
      </c>
      <c r="F2153" t="s">
        <v>437</v>
      </c>
    </row>
    <row r="2154" spans="2:6" x14ac:dyDescent="0.3">
      <c r="B2154" s="63" t="s">
        <v>426</v>
      </c>
      <c r="C2154" s="63">
        <v>1758195747246</v>
      </c>
      <c r="D2154" s="63" t="s">
        <v>6226</v>
      </c>
      <c r="E2154" t="s">
        <v>428</v>
      </c>
      <c r="F2154" t="s">
        <v>439</v>
      </c>
    </row>
    <row r="2155" spans="2:6" x14ac:dyDescent="0.3">
      <c r="B2155" s="63" t="s">
        <v>426</v>
      </c>
      <c r="C2155" s="63">
        <v>1758195764938</v>
      </c>
      <c r="D2155" s="63" t="s">
        <v>6227</v>
      </c>
      <c r="E2155" t="s">
        <v>428</v>
      </c>
      <c r="F2155" t="s">
        <v>453</v>
      </c>
    </row>
    <row r="2156" spans="2:6" x14ac:dyDescent="0.3">
      <c r="B2156" s="63" t="s">
        <v>58</v>
      </c>
      <c r="C2156" s="63">
        <v>1758195767196</v>
      </c>
      <c r="D2156" s="63" t="s">
        <v>6228</v>
      </c>
      <c r="E2156" t="s">
        <v>424</v>
      </c>
      <c r="F2156" t="s">
        <v>441</v>
      </c>
    </row>
    <row r="2157" spans="2:6" x14ac:dyDescent="0.3">
      <c r="B2157" s="63" t="s">
        <v>58</v>
      </c>
      <c r="C2157" s="63">
        <v>1758195778334</v>
      </c>
      <c r="D2157" s="63" t="s">
        <v>6229</v>
      </c>
      <c r="E2157" t="s">
        <v>424</v>
      </c>
      <c r="F2157" t="s">
        <v>457</v>
      </c>
    </row>
    <row r="2158" spans="2:6" x14ac:dyDescent="0.3">
      <c r="B2158" s="63" t="s">
        <v>58</v>
      </c>
      <c r="C2158" s="63">
        <v>1758195780636</v>
      </c>
      <c r="D2158" s="63" t="s">
        <v>6230</v>
      </c>
      <c r="E2158" t="s">
        <v>424</v>
      </c>
      <c r="F2158" t="s">
        <v>459</v>
      </c>
    </row>
    <row r="2159" spans="2:6" x14ac:dyDescent="0.3">
      <c r="B2159" s="63" t="s">
        <v>426</v>
      </c>
      <c r="C2159" s="63">
        <v>1758195783318</v>
      </c>
      <c r="D2159" s="63" t="s">
        <v>6231</v>
      </c>
      <c r="E2159" t="s">
        <v>428</v>
      </c>
      <c r="F2159" t="s">
        <v>429</v>
      </c>
    </row>
    <row r="2160" spans="2:6" x14ac:dyDescent="0.3">
      <c r="B2160" s="63" t="s">
        <v>58</v>
      </c>
      <c r="C2160" s="63">
        <v>1758195794033</v>
      </c>
      <c r="D2160" s="63" t="s">
        <v>6232</v>
      </c>
      <c r="E2160" t="s">
        <v>424</v>
      </c>
      <c r="F2160" t="s">
        <v>461</v>
      </c>
    </row>
    <row r="2161" spans="2:6" x14ac:dyDescent="0.3">
      <c r="B2161" s="63" t="s">
        <v>426</v>
      </c>
      <c r="C2161" s="63">
        <v>1758195800999</v>
      </c>
      <c r="D2161" s="63" t="s">
        <v>6233</v>
      </c>
      <c r="E2161" t="s">
        <v>428</v>
      </c>
      <c r="F2161" t="s">
        <v>431</v>
      </c>
    </row>
    <row r="2162" spans="2:6" x14ac:dyDescent="0.3">
      <c r="B2162" s="63" t="s">
        <v>58</v>
      </c>
      <c r="C2162" s="63">
        <v>1758195805702</v>
      </c>
      <c r="D2162" s="63" t="s">
        <v>6234</v>
      </c>
      <c r="E2162" t="s">
        <v>424</v>
      </c>
      <c r="F2162" t="s">
        <v>433</v>
      </c>
    </row>
    <row r="2163" spans="2:6" x14ac:dyDescent="0.3">
      <c r="B2163" s="63" t="s">
        <v>426</v>
      </c>
      <c r="C2163" s="63">
        <v>1758195816518</v>
      </c>
      <c r="D2163" s="63" t="s">
        <v>6235</v>
      </c>
      <c r="E2163" t="s">
        <v>428</v>
      </c>
      <c r="F2163" t="s">
        <v>447</v>
      </c>
    </row>
    <row r="2164" spans="2:6" x14ac:dyDescent="0.3">
      <c r="B2164" s="63" t="s">
        <v>58</v>
      </c>
      <c r="C2164" s="63">
        <v>1758195819248</v>
      </c>
      <c r="D2164" s="63" t="s">
        <v>6236</v>
      </c>
      <c r="E2164" t="s">
        <v>424</v>
      </c>
      <c r="F2164" t="s">
        <v>449</v>
      </c>
    </row>
    <row r="2165" spans="2:6" x14ac:dyDescent="0.3">
      <c r="B2165" s="63" t="s">
        <v>58</v>
      </c>
      <c r="C2165" s="63">
        <v>1758195830246</v>
      </c>
      <c r="D2165" s="63" t="s">
        <v>6237</v>
      </c>
      <c r="E2165" t="s">
        <v>424</v>
      </c>
      <c r="F2165" t="s">
        <v>451</v>
      </c>
    </row>
    <row r="2166" spans="2:6" x14ac:dyDescent="0.3">
      <c r="B2166" s="63" t="s">
        <v>426</v>
      </c>
      <c r="C2166" s="63">
        <v>1758195832040</v>
      </c>
      <c r="D2166" s="63" t="s">
        <v>6238</v>
      </c>
      <c r="E2166" t="s">
        <v>428</v>
      </c>
      <c r="F2166" t="s">
        <v>538</v>
      </c>
    </row>
    <row r="2167" spans="2:6" x14ac:dyDescent="0.3">
      <c r="B2167" s="63" t="s">
        <v>426</v>
      </c>
      <c r="C2167" s="63">
        <v>1758195849730</v>
      </c>
      <c r="D2167" s="63" t="s">
        <v>6239</v>
      </c>
      <c r="E2167" t="s">
        <v>428</v>
      </c>
      <c r="F2167" t="s">
        <v>672</v>
      </c>
    </row>
    <row r="2168" spans="2:6" x14ac:dyDescent="0.3">
      <c r="B2168" s="63" t="s">
        <v>426</v>
      </c>
      <c r="C2168" s="63">
        <v>1758195866680</v>
      </c>
      <c r="D2168" s="63" t="s">
        <v>6240</v>
      </c>
      <c r="E2168" t="s">
        <v>428</v>
      </c>
      <c r="F2168" t="s">
        <v>523</v>
      </c>
    </row>
    <row r="2169" spans="2:6" x14ac:dyDescent="0.3">
      <c r="B2169" s="63" t="s">
        <v>426</v>
      </c>
      <c r="C2169" s="63">
        <v>1758195888109</v>
      </c>
      <c r="D2169" s="63" t="s">
        <v>6241</v>
      </c>
      <c r="E2169" t="s">
        <v>428</v>
      </c>
      <c r="F2169" t="s">
        <v>455</v>
      </c>
    </row>
    <row r="2170" spans="2:6" x14ac:dyDescent="0.3">
      <c r="B2170" s="63" t="s">
        <v>58</v>
      </c>
      <c r="C2170" s="63">
        <v>1758195890651</v>
      </c>
      <c r="D2170" s="63" t="s">
        <v>6242</v>
      </c>
      <c r="E2170" t="s">
        <v>463</v>
      </c>
      <c r="F2170" t="s">
        <v>464</v>
      </c>
    </row>
    <row r="2171" spans="2:6" x14ac:dyDescent="0.3">
      <c r="B2171" s="58" t="s">
        <v>59</v>
      </c>
      <c r="C2171" s="58">
        <v>1758195902500</v>
      </c>
      <c r="D2171" s="58" t="s">
        <v>6243</v>
      </c>
      <c r="E2171" t="s">
        <v>416</v>
      </c>
      <c r="F2171" t="s">
        <v>466</v>
      </c>
    </row>
    <row r="2172" spans="2:6" x14ac:dyDescent="0.3">
      <c r="B2172" s="58" t="s">
        <v>59</v>
      </c>
      <c r="C2172" s="58">
        <v>1758195902632</v>
      </c>
      <c r="D2172" s="58" t="s">
        <v>6244</v>
      </c>
      <c r="E2172" t="s">
        <v>468</v>
      </c>
      <c r="F2172" t="s">
        <v>2557</v>
      </c>
    </row>
    <row r="2173" spans="2:6" x14ac:dyDescent="0.3">
      <c r="B2173" s="58" t="s">
        <v>59</v>
      </c>
      <c r="C2173" s="58">
        <v>1758195917116</v>
      </c>
      <c r="D2173" s="58" t="s">
        <v>6245</v>
      </c>
      <c r="E2173" t="s">
        <v>419</v>
      </c>
      <c r="F2173" t="s">
        <v>420</v>
      </c>
    </row>
    <row r="2174" spans="2:6" x14ac:dyDescent="0.3">
      <c r="B2174" s="58" t="s">
        <v>59</v>
      </c>
      <c r="C2174" s="58">
        <v>1758195917172</v>
      </c>
      <c r="D2174" s="58" t="s">
        <v>6246</v>
      </c>
      <c r="E2174" t="s">
        <v>389</v>
      </c>
      <c r="F2174" t="s">
        <v>515</v>
      </c>
    </row>
    <row r="2175" spans="2:6" x14ac:dyDescent="0.3">
      <c r="B2175" s="58" t="s">
        <v>59</v>
      </c>
      <c r="C2175" s="58">
        <v>1758195917229</v>
      </c>
      <c r="D2175" s="58" t="s">
        <v>6247</v>
      </c>
      <c r="E2175" t="s">
        <v>389</v>
      </c>
      <c r="F2175" t="s">
        <v>515</v>
      </c>
    </row>
    <row r="2176" spans="2:6" x14ac:dyDescent="0.3">
      <c r="B2176" s="58" t="s">
        <v>59</v>
      </c>
      <c r="C2176" s="58">
        <v>1758195917289</v>
      </c>
      <c r="D2176" s="58" t="s">
        <v>6248</v>
      </c>
      <c r="E2176" t="s">
        <v>389</v>
      </c>
      <c r="F2176" t="s">
        <v>515</v>
      </c>
    </row>
    <row r="2177" spans="2:6" x14ac:dyDescent="0.3">
      <c r="B2177" s="58" t="s">
        <v>59</v>
      </c>
      <c r="C2177" s="58">
        <v>1758195917357</v>
      </c>
      <c r="D2177" s="58" t="s">
        <v>6249</v>
      </c>
      <c r="E2177" t="s">
        <v>389</v>
      </c>
      <c r="F2177" t="s">
        <v>515</v>
      </c>
    </row>
    <row r="2178" spans="2:6" x14ac:dyDescent="0.3">
      <c r="B2178" s="58" t="s">
        <v>59</v>
      </c>
      <c r="C2178" s="58">
        <v>1758195917409</v>
      </c>
      <c r="D2178" s="58" t="s">
        <v>6250</v>
      </c>
      <c r="E2178" t="s">
        <v>389</v>
      </c>
      <c r="F2178" t="s">
        <v>412</v>
      </c>
    </row>
    <row r="2179" spans="2:6" x14ac:dyDescent="0.3">
      <c r="B2179" s="58" t="s">
        <v>59</v>
      </c>
      <c r="C2179" s="58">
        <v>1758195917468</v>
      </c>
      <c r="D2179" s="58" t="s">
        <v>6251</v>
      </c>
      <c r="E2179" t="s">
        <v>389</v>
      </c>
      <c r="F2179" t="s">
        <v>412</v>
      </c>
    </row>
    <row r="2180" spans="2:6" x14ac:dyDescent="0.3">
      <c r="B2180" s="58" t="s">
        <v>59</v>
      </c>
      <c r="C2180" s="58">
        <v>1758195917522</v>
      </c>
      <c r="D2180" s="58" t="s">
        <v>6252</v>
      </c>
      <c r="E2180" t="s">
        <v>389</v>
      </c>
      <c r="F2180" t="s">
        <v>1566</v>
      </c>
    </row>
    <row r="2181" spans="2:6" x14ac:dyDescent="0.3">
      <c r="B2181" s="58" t="s">
        <v>59</v>
      </c>
      <c r="C2181" s="58">
        <v>1758195917572</v>
      </c>
      <c r="D2181" s="58" t="s">
        <v>6253</v>
      </c>
      <c r="E2181" t="s">
        <v>389</v>
      </c>
      <c r="F2181" t="s">
        <v>1581</v>
      </c>
    </row>
    <row r="2182" spans="2:6" x14ac:dyDescent="0.3">
      <c r="B2182" s="58" t="s">
        <v>59</v>
      </c>
      <c r="C2182" s="58">
        <v>1758195917638</v>
      </c>
      <c r="D2182" s="58" t="s">
        <v>6254</v>
      </c>
      <c r="E2182" t="s">
        <v>389</v>
      </c>
      <c r="F2182" t="s">
        <v>1581</v>
      </c>
    </row>
    <row r="2183" spans="2:6" x14ac:dyDescent="0.3">
      <c r="B2183" s="58" t="s">
        <v>59</v>
      </c>
      <c r="C2183" s="58">
        <v>1758195917699</v>
      </c>
      <c r="D2183" s="58" t="s">
        <v>6255</v>
      </c>
      <c r="E2183" t="s">
        <v>389</v>
      </c>
      <c r="F2183" t="s">
        <v>661</v>
      </c>
    </row>
    <row r="2184" spans="2:6" x14ac:dyDescent="0.3">
      <c r="B2184" s="58" t="s">
        <v>59</v>
      </c>
      <c r="C2184" s="58">
        <v>1758195917781</v>
      </c>
      <c r="D2184" s="58" t="s">
        <v>6256</v>
      </c>
      <c r="E2184" t="s">
        <v>389</v>
      </c>
      <c r="F2184" t="s">
        <v>412</v>
      </c>
    </row>
    <row r="2185" spans="2:6" x14ac:dyDescent="0.3">
      <c r="B2185" s="58" t="s">
        <v>59</v>
      </c>
      <c r="C2185" s="58">
        <v>1758195917866</v>
      </c>
      <c r="D2185" s="58" t="s">
        <v>6257</v>
      </c>
      <c r="E2185" t="s">
        <v>389</v>
      </c>
      <c r="F2185" t="s">
        <v>412</v>
      </c>
    </row>
    <row r="2186" spans="2:6" x14ac:dyDescent="0.3">
      <c r="B2186" s="58" t="s">
        <v>59</v>
      </c>
      <c r="C2186" s="58">
        <v>1758195917934</v>
      </c>
      <c r="D2186" s="58" t="s">
        <v>6258</v>
      </c>
      <c r="E2186" t="s">
        <v>389</v>
      </c>
      <c r="F2186" t="s">
        <v>412</v>
      </c>
    </row>
    <row r="2187" spans="2:6" x14ac:dyDescent="0.3">
      <c r="B2187" s="58" t="s">
        <v>59</v>
      </c>
      <c r="C2187" s="58">
        <v>1758195918018</v>
      </c>
      <c r="D2187" s="58" t="s">
        <v>6259</v>
      </c>
      <c r="E2187" t="s">
        <v>389</v>
      </c>
      <c r="F2187" t="s">
        <v>412</v>
      </c>
    </row>
    <row r="2188" spans="2:6" x14ac:dyDescent="0.3">
      <c r="B2188" s="58" t="s">
        <v>59</v>
      </c>
      <c r="C2188" s="58">
        <v>1758195918769</v>
      </c>
      <c r="D2188" s="58" t="s">
        <v>6260</v>
      </c>
      <c r="E2188" t="s">
        <v>389</v>
      </c>
      <c r="F2188" t="s">
        <v>515</v>
      </c>
    </row>
    <row r="2189" spans="2:6" x14ac:dyDescent="0.3">
      <c r="B2189" s="58" t="s">
        <v>59</v>
      </c>
      <c r="C2189" s="58">
        <v>1758195920382</v>
      </c>
      <c r="D2189" s="58" t="s">
        <v>6261</v>
      </c>
      <c r="E2189" t="s">
        <v>389</v>
      </c>
      <c r="F2189" t="s">
        <v>811</v>
      </c>
    </row>
    <row r="2190" spans="2:6" x14ac:dyDescent="0.3">
      <c r="B2190" s="58" t="s">
        <v>59</v>
      </c>
      <c r="C2190" s="58">
        <v>1758195922148</v>
      </c>
      <c r="D2190" s="58" t="s">
        <v>6262</v>
      </c>
      <c r="E2190" t="s">
        <v>389</v>
      </c>
      <c r="F2190" t="s">
        <v>394</v>
      </c>
    </row>
    <row r="2191" spans="2:6" x14ac:dyDescent="0.3">
      <c r="B2191" s="58" t="s">
        <v>59</v>
      </c>
      <c r="C2191" s="58">
        <v>1758195944393</v>
      </c>
      <c r="D2191" s="58" t="s">
        <v>6263</v>
      </c>
      <c r="E2191" t="s">
        <v>389</v>
      </c>
      <c r="F2191" t="s">
        <v>410</v>
      </c>
    </row>
    <row r="2192" spans="2:6" x14ac:dyDescent="0.3">
      <c r="B2192" s="58" t="s">
        <v>59</v>
      </c>
      <c r="C2192" s="58">
        <v>1758195995179</v>
      </c>
      <c r="D2192" s="58" t="s">
        <v>6264</v>
      </c>
      <c r="E2192" t="s">
        <v>422</v>
      </c>
      <c r="F2192" t="s">
        <v>420</v>
      </c>
    </row>
    <row r="2193" spans="2:6" x14ac:dyDescent="0.3">
      <c r="B2193" s="58" t="s">
        <v>426</v>
      </c>
      <c r="C2193" s="58">
        <v>1758196014987</v>
      </c>
      <c r="D2193" s="58" t="s">
        <v>6265</v>
      </c>
      <c r="E2193" t="s">
        <v>428</v>
      </c>
      <c r="F2193" t="s">
        <v>435</v>
      </c>
    </row>
    <row r="2194" spans="2:6" x14ac:dyDescent="0.3">
      <c r="B2194" s="58" t="s">
        <v>426</v>
      </c>
      <c r="C2194" s="58">
        <v>1758196034123</v>
      </c>
      <c r="D2194" s="58" t="s">
        <v>6266</v>
      </c>
      <c r="E2194" t="s">
        <v>428</v>
      </c>
      <c r="F2194" t="s">
        <v>437</v>
      </c>
    </row>
    <row r="2195" spans="2:6" x14ac:dyDescent="0.3">
      <c r="B2195" s="58" t="s">
        <v>426</v>
      </c>
      <c r="C2195" s="58">
        <v>1758196052576</v>
      </c>
      <c r="D2195" s="58" t="s">
        <v>6267</v>
      </c>
      <c r="E2195" t="s">
        <v>428</v>
      </c>
      <c r="F2195" t="s">
        <v>439</v>
      </c>
    </row>
    <row r="2196" spans="2:6" x14ac:dyDescent="0.3">
      <c r="B2196" s="58" t="s">
        <v>426</v>
      </c>
      <c r="C2196" s="58">
        <v>1758196067318</v>
      </c>
      <c r="D2196" s="58" t="s">
        <v>6268</v>
      </c>
      <c r="E2196" t="s">
        <v>428</v>
      </c>
      <c r="F2196" t="s">
        <v>453</v>
      </c>
    </row>
    <row r="2197" spans="2:6" x14ac:dyDescent="0.3">
      <c r="B2197" s="58" t="s">
        <v>59</v>
      </c>
      <c r="C2197" s="58">
        <v>1758196068768</v>
      </c>
      <c r="D2197" s="58" t="s">
        <v>6269</v>
      </c>
      <c r="E2197" t="s">
        <v>424</v>
      </c>
      <c r="F2197" t="s">
        <v>441</v>
      </c>
    </row>
    <row r="2198" spans="2:6" x14ac:dyDescent="0.3">
      <c r="B2198" s="58" t="s">
        <v>426</v>
      </c>
      <c r="C2198" s="58">
        <v>1758196082822</v>
      </c>
      <c r="D2198" s="58" t="s">
        <v>6270</v>
      </c>
      <c r="E2198" t="s">
        <v>428</v>
      </c>
      <c r="F2198" t="s">
        <v>429</v>
      </c>
    </row>
    <row r="2199" spans="2:6" x14ac:dyDescent="0.3">
      <c r="B2199" s="58" t="s">
        <v>59</v>
      </c>
      <c r="C2199" s="58">
        <v>1758196085087</v>
      </c>
      <c r="D2199" s="58" t="s">
        <v>6271</v>
      </c>
      <c r="E2199" t="s">
        <v>424</v>
      </c>
      <c r="F2199" t="s">
        <v>457</v>
      </c>
    </row>
    <row r="2200" spans="2:6" x14ac:dyDescent="0.3">
      <c r="B2200" s="58" t="s">
        <v>59</v>
      </c>
      <c r="C2200" s="58">
        <v>1758196086394</v>
      </c>
      <c r="D2200" s="58" t="s">
        <v>6272</v>
      </c>
      <c r="E2200" t="s">
        <v>424</v>
      </c>
      <c r="F2200" t="s">
        <v>459</v>
      </c>
    </row>
    <row r="2201" spans="2:6" x14ac:dyDescent="0.3">
      <c r="B2201" s="58" t="s">
        <v>426</v>
      </c>
      <c r="C2201" s="58">
        <v>1758196098358</v>
      </c>
      <c r="D2201" s="58" t="s">
        <v>6273</v>
      </c>
      <c r="E2201" t="s">
        <v>428</v>
      </c>
      <c r="F2201" t="s">
        <v>431</v>
      </c>
    </row>
    <row r="2202" spans="2:6" x14ac:dyDescent="0.3">
      <c r="B2202" s="58" t="s">
        <v>59</v>
      </c>
      <c r="C2202" s="58">
        <v>1758196103644</v>
      </c>
      <c r="D2202" s="58" t="s">
        <v>6274</v>
      </c>
      <c r="E2202" t="s">
        <v>424</v>
      </c>
      <c r="F2202" t="s">
        <v>461</v>
      </c>
    </row>
    <row r="2203" spans="2:6" x14ac:dyDescent="0.3">
      <c r="B2203" s="58" t="s">
        <v>59</v>
      </c>
      <c r="C2203" s="58">
        <v>1758196111062</v>
      </c>
      <c r="D2203" s="58" t="s">
        <v>6275</v>
      </c>
      <c r="E2203" t="s">
        <v>424</v>
      </c>
      <c r="F2203" t="s">
        <v>433</v>
      </c>
    </row>
    <row r="2204" spans="2:6" x14ac:dyDescent="0.3">
      <c r="B2204" s="58" t="s">
        <v>426</v>
      </c>
      <c r="C2204" s="58">
        <v>1758196113804</v>
      </c>
      <c r="D2204" s="58" t="s">
        <v>6276</v>
      </c>
      <c r="E2204" t="s">
        <v>428</v>
      </c>
      <c r="F2204" t="s">
        <v>447</v>
      </c>
    </row>
    <row r="2205" spans="2:6" x14ac:dyDescent="0.3">
      <c r="B2205" s="58" t="s">
        <v>59</v>
      </c>
      <c r="C2205" s="58">
        <v>1758196116063</v>
      </c>
      <c r="D2205" s="58" t="s">
        <v>6277</v>
      </c>
      <c r="E2205" t="s">
        <v>424</v>
      </c>
      <c r="F2205" t="s">
        <v>449</v>
      </c>
    </row>
    <row r="2206" spans="2:6" x14ac:dyDescent="0.3">
      <c r="B2206" s="58" t="s">
        <v>59</v>
      </c>
      <c r="C2206" s="58">
        <v>1758196121142</v>
      </c>
      <c r="D2206" s="58" t="s">
        <v>6278</v>
      </c>
      <c r="E2206" t="s">
        <v>424</v>
      </c>
      <c r="F2206" t="s">
        <v>451</v>
      </c>
    </row>
    <row r="2207" spans="2:6" x14ac:dyDescent="0.3">
      <c r="B2207" s="58" t="s">
        <v>59</v>
      </c>
      <c r="C2207" s="58">
        <v>1758196127638</v>
      </c>
      <c r="D2207" s="58" t="s">
        <v>6279</v>
      </c>
      <c r="E2207" t="s">
        <v>424</v>
      </c>
      <c r="F2207" t="s">
        <v>425</v>
      </c>
    </row>
    <row r="2208" spans="2:6" x14ac:dyDescent="0.3">
      <c r="B2208" s="58" t="s">
        <v>426</v>
      </c>
      <c r="C2208" s="58">
        <v>1758196130000</v>
      </c>
      <c r="D2208" s="58" t="s">
        <v>6280</v>
      </c>
      <c r="E2208" t="s">
        <v>428</v>
      </c>
      <c r="F2208" t="s">
        <v>538</v>
      </c>
    </row>
    <row r="2209" spans="2:6" x14ac:dyDescent="0.3">
      <c r="B2209" s="58" t="s">
        <v>59</v>
      </c>
      <c r="C2209" s="58">
        <v>1758196133022</v>
      </c>
      <c r="D2209" s="58" t="s">
        <v>6281</v>
      </c>
      <c r="E2209" t="s">
        <v>424</v>
      </c>
      <c r="F2209" t="s">
        <v>570</v>
      </c>
    </row>
    <row r="2210" spans="2:6" x14ac:dyDescent="0.3">
      <c r="B2210" s="58" t="s">
        <v>426</v>
      </c>
      <c r="C2210" s="58">
        <v>1758196147772</v>
      </c>
      <c r="D2210" s="58" t="s">
        <v>6282</v>
      </c>
      <c r="E2210" t="s">
        <v>428</v>
      </c>
      <c r="F2210" t="s">
        <v>672</v>
      </c>
    </row>
    <row r="2211" spans="2:6" x14ac:dyDescent="0.3">
      <c r="B2211" s="58" t="s">
        <v>59</v>
      </c>
      <c r="C2211" s="58">
        <v>1758196150325</v>
      </c>
      <c r="D2211" s="58" t="s">
        <v>6283</v>
      </c>
      <c r="E2211" t="s">
        <v>463</v>
      </c>
      <c r="F2211" t="s">
        <v>464</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963DC-2268-4EBE-A3F2-B11EFFA8657D}">
  <dimension ref="A2:H3169"/>
  <sheetViews>
    <sheetView topLeftCell="A11" workbookViewId="0">
      <selection activeCell="B21" sqref="B21:E26"/>
    </sheetView>
  </sheetViews>
  <sheetFormatPr defaultRowHeight="14.4" x14ac:dyDescent="0.3"/>
  <cols>
    <col min="1" max="1" width="15.6640625" customWidth="1"/>
    <col min="3" max="3" width="11.33203125" customWidth="1"/>
    <col min="4" max="4" width="25.109375" customWidth="1"/>
    <col min="5" max="5" width="23.44140625" customWidth="1"/>
  </cols>
  <sheetData>
    <row r="2" spans="1:6" ht="36" x14ac:dyDescent="0.35">
      <c r="A2" s="61" t="s">
        <v>626</v>
      </c>
      <c r="B2" s="57" t="s">
        <v>56</v>
      </c>
      <c r="C2" s="57">
        <v>1754988900681</v>
      </c>
      <c r="D2" s="57" t="s">
        <v>491</v>
      </c>
      <c r="E2" s="57" t="s">
        <v>416</v>
      </c>
      <c r="F2" s="57" t="s">
        <v>492</v>
      </c>
    </row>
    <row r="3" spans="1:6" x14ac:dyDescent="0.3">
      <c r="B3" s="57" t="s">
        <v>56</v>
      </c>
      <c r="C3" s="57">
        <v>1754988901194</v>
      </c>
      <c r="D3" s="57" t="s">
        <v>493</v>
      </c>
      <c r="E3" s="57" t="s">
        <v>419</v>
      </c>
      <c r="F3" s="57" t="s">
        <v>420</v>
      </c>
    </row>
    <row r="4" spans="1:6" x14ac:dyDescent="0.3">
      <c r="B4" s="57" t="s">
        <v>56</v>
      </c>
      <c r="C4" s="57">
        <v>1754988914882</v>
      </c>
      <c r="D4" s="57" t="s">
        <v>494</v>
      </c>
      <c r="E4" s="57" t="s">
        <v>389</v>
      </c>
      <c r="F4" s="57" t="s">
        <v>495</v>
      </c>
    </row>
    <row r="5" spans="1:6" x14ac:dyDescent="0.3">
      <c r="B5" s="57" t="s">
        <v>56</v>
      </c>
      <c r="C5" s="57">
        <v>1754988914963</v>
      </c>
      <c r="D5" s="57" t="s">
        <v>496</v>
      </c>
      <c r="E5" s="57" t="s">
        <v>389</v>
      </c>
      <c r="F5" s="57" t="s">
        <v>495</v>
      </c>
    </row>
    <row r="6" spans="1:6" x14ac:dyDescent="0.3">
      <c r="B6" s="57" t="s">
        <v>56</v>
      </c>
      <c r="C6" s="57">
        <v>1754988915042</v>
      </c>
      <c r="D6" s="57" t="s">
        <v>497</v>
      </c>
      <c r="E6" s="57" t="s">
        <v>389</v>
      </c>
      <c r="F6" s="57" t="s">
        <v>495</v>
      </c>
    </row>
    <row r="7" spans="1:6" x14ac:dyDescent="0.3">
      <c r="B7" s="57" t="s">
        <v>56</v>
      </c>
      <c r="C7" s="57">
        <v>1754988915133</v>
      </c>
      <c r="D7" s="57" t="s">
        <v>498</v>
      </c>
      <c r="E7" s="57" t="s">
        <v>389</v>
      </c>
      <c r="F7" s="57" t="s">
        <v>495</v>
      </c>
    </row>
    <row r="8" spans="1:6" x14ac:dyDescent="0.3">
      <c r="B8" s="57" t="s">
        <v>56</v>
      </c>
      <c r="C8" s="57">
        <v>1754988919287</v>
      </c>
      <c r="D8" s="57" t="s">
        <v>499</v>
      </c>
      <c r="E8" s="57" t="s">
        <v>389</v>
      </c>
      <c r="F8" s="57" t="s">
        <v>390</v>
      </c>
    </row>
    <row r="9" spans="1:6" x14ac:dyDescent="0.3">
      <c r="B9" s="57" t="s">
        <v>56</v>
      </c>
      <c r="C9" s="57">
        <v>1754988920186</v>
      </c>
      <c r="D9" s="57" t="s">
        <v>500</v>
      </c>
      <c r="E9" s="57" t="s">
        <v>389</v>
      </c>
      <c r="F9" s="57" t="s">
        <v>392</v>
      </c>
    </row>
    <row r="10" spans="1:6" x14ac:dyDescent="0.3">
      <c r="B10" s="57" t="s">
        <v>56</v>
      </c>
      <c r="C10" s="57">
        <v>1754988921873</v>
      </c>
      <c r="D10" s="57" t="s">
        <v>501</v>
      </c>
      <c r="E10" s="57" t="s">
        <v>389</v>
      </c>
      <c r="F10" s="57" t="s">
        <v>502</v>
      </c>
    </row>
    <row r="11" spans="1:6" x14ac:dyDescent="0.3">
      <c r="B11" s="57" t="s">
        <v>56</v>
      </c>
      <c r="C11" s="57">
        <v>1754988922684</v>
      </c>
      <c r="D11" s="57" t="s">
        <v>503</v>
      </c>
      <c r="E11" s="57" t="s">
        <v>389</v>
      </c>
      <c r="F11" s="57" t="s">
        <v>504</v>
      </c>
    </row>
    <row r="12" spans="1:6" x14ac:dyDescent="0.3">
      <c r="B12" s="57" t="s">
        <v>56</v>
      </c>
      <c r="C12" s="57">
        <v>1754988923227</v>
      </c>
      <c r="D12" s="57" t="s">
        <v>505</v>
      </c>
      <c r="E12" s="57" t="s">
        <v>389</v>
      </c>
      <c r="F12" s="57" t="s">
        <v>506</v>
      </c>
    </row>
    <row r="13" spans="1:6" x14ac:dyDescent="0.3">
      <c r="B13" s="57" t="s">
        <v>56</v>
      </c>
      <c r="C13" s="57">
        <v>1754988928721</v>
      </c>
      <c r="D13" s="57" t="s">
        <v>507</v>
      </c>
      <c r="E13" s="57" t="s">
        <v>389</v>
      </c>
      <c r="F13" s="57" t="s">
        <v>508</v>
      </c>
    </row>
    <row r="14" spans="1:6" x14ac:dyDescent="0.3">
      <c r="B14" s="57" t="s">
        <v>56</v>
      </c>
      <c r="C14" s="57">
        <v>1754988929959</v>
      </c>
      <c r="D14" s="57" t="s">
        <v>509</v>
      </c>
      <c r="E14" s="57" t="s">
        <v>389</v>
      </c>
      <c r="F14" s="57" t="s">
        <v>404</v>
      </c>
    </row>
    <row r="15" spans="1:6" x14ac:dyDescent="0.3">
      <c r="B15" s="57" t="s">
        <v>56</v>
      </c>
      <c r="C15" s="57">
        <v>1754988933252</v>
      </c>
      <c r="D15" s="57" t="s">
        <v>510</v>
      </c>
      <c r="E15" s="57" t="s">
        <v>389</v>
      </c>
      <c r="F15" s="57" t="s">
        <v>511</v>
      </c>
    </row>
    <row r="16" spans="1:6" x14ac:dyDescent="0.3">
      <c r="B16" s="57" t="s">
        <v>56</v>
      </c>
      <c r="C16" s="57">
        <v>1754988934567</v>
      </c>
      <c r="D16" s="57" t="s">
        <v>512</v>
      </c>
      <c r="E16" s="57" t="s">
        <v>389</v>
      </c>
      <c r="F16" s="57" t="s">
        <v>408</v>
      </c>
    </row>
    <row r="17" spans="2:6" x14ac:dyDescent="0.3">
      <c r="B17" s="57" t="s">
        <v>56</v>
      </c>
      <c r="C17" s="57">
        <v>1754988938809</v>
      </c>
      <c r="D17" s="57" t="s">
        <v>513</v>
      </c>
      <c r="E17" s="57" t="s">
        <v>389</v>
      </c>
      <c r="F17" s="57" t="s">
        <v>410</v>
      </c>
    </row>
    <row r="18" spans="2:6" x14ac:dyDescent="0.3">
      <c r="B18" s="57" t="s">
        <v>56</v>
      </c>
      <c r="C18" s="57">
        <v>1754988959423</v>
      </c>
      <c r="D18" s="57" t="s">
        <v>514</v>
      </c>
      <c r="E18" s="57" t="s">
        <v>389</v>
      </c>
      <c r="F18" s="57" t="s">
        <v>515</v>
      </c>
    </row>
    <row r="19" spans="2:6" x14ac:dyDescent="0.3">
      <c r="B19" s="57" t="s">
        <v>56</v>
      </c>
      <c r="C19" s="57">
        <v>1754988966154</v>
      </c>
      <c r="D19" s="57" t="s">
        <v>516</v>
      </c>
      <c r="E19" s="57" t="s">
        <v>422</v>
      </c>
      <c r="F19" s="57" t="s">
        <v>420</v>
      </c>
    </row>
    <row r="20" spans="2:6" x14ac:dyDescent="0.3">
      <c r="B20" s="57" t="s">
        <v>56</v>
      </c>
      <c r="C20" s="57">
        <v>1754988970456</v>
      </c>
      <c r="D20" s="57" t="s">
        <v>517</v>
      </c>
      <c r="E20" s="57" t="s">
        <v>424</v>
      </c>
      <c r="F20" s="57" t="s">
        <v>518</v>
      </c>
    </row>
    <row r="21" spans="2:6" x14ac:dyDescent="0.3">
      <c r="B21" s="57" t="s">
        <v>56</v>
      </c>
      <c r="C21" s="57">
        <v>1754988981173</v>
      </c>
      <c r="D21" s="82" t="s">
        <v>519</v>
      </c>
      <c r="E21" s="57" t="s">
        <v>520</v>
      </c>
      <c r="F21" s="57" t="s">
        <v>521</v>
      </c>
    </row>
    <row r="22" spans="2:6" x14ac:dyDescent="0.3">
      <c r="B22" s="57" t="s">
        <v>426</v>
      </c>
      <c r="C22" s="57">
        <v>1754988983094</v>
      </c>
      <c r="D22" s="82" t="s">
        <v>522</v>
      </c>
      <c r="E22" s="57" t="s">
        <v>428</v>
      </c>
      <c r="F22" s="57" t="s">
        <v>523</v>
      </c>
    </row>
    <row r="23" spans="2:6" x14ac:dyDescent="0.3">
      <c r="B23" s="57" t="s">
        <v>56</v>
      </c>
      <c r="C23" s="57">
        <v>1754988991508</v>
      </c>
      <c r="D23" s="82" t="s">
        <v>524</v>
      </c>
      <c r="E23" s="57" t="s">
        <v>525</v>
      </c>
      <c r="F23" s="57" t="s">
        <v>526</v>
      </c>
    </row>
    <row r="24" spans="2:6" x14ac:dyDescent="0.3">
      <c r="B24" s="57" t="s">
        <v>426</v>
      </c>
      <c r="C24" s="57">
        <v>1754989000738</v>
      </c>
      <c r="D24" s="57" t="s">
        <v>527</v>
      </c>
      <c r="E24" s="57" t="s">
        <v>428</v>
      </c>
      <c r="F24" s="57" t="s">
        <v>429</v>
      </c>
    </row>
    <row r="25" spans="2:6" x14ac:dyDescent="0.3">
      <c r="B25" s="57" t="s">
        <v>56</v>
      </c>
      <c r="C25" s="57">
        <v>1754989006517</v>
      </c>
      <c r="D25" s="82" t="s">
        <v>528</v>
      </c>
      <c r="E25" s="57" t="s">
        <v>520</v>
      </c>
      <c r="F25" s="57" t="s">
        <v>529</v>
      </c>
    </row>
    <row r="26" spans="2:6" x14ac:dyDescent="0.3">
      <c r="B26" s="57" t="s">
        <v>56</v>
      </c>
      <c r="C26" s="57">
        <v>1754989016178</v>
      </c>
      <c r="D26" s="82" t="s">
        <v>530</v>
      </c>
      <c r="E26" s="57" t="s">
        <v>525</v>
      </c>
      <c r="F26" s="57" t="s">
        <v>531</v>
      </c>
    </row>
    <row r="27" spans="2:6" x14ac:dyDescent="0.3">
      <c r="B27" s="57" t="s">
        <v>426</v>
      </c>
      <c r="C27" s="57">
        <v>1754989018376</v>
      </c>
      <c r="D27" s="57" t="s">
        <v>532</v>
      </c>
      <c r="E27" s="57" t="s">
        <v>428</v>
      </c>
      <c r="F27" s="57" t="s">
        <v>431</v>
      </c>
    </row>
    <row r="28" spans="2:6" x14ac:dyDescent="0.3">
      <c r="B28" s="57" t="s">
        <v>56</v>
      </c>
      <c r="C28" s="57">
        <v>1754989018481</v>
      </c>
      <c r="D28" s="57" t="s">
        <v>533</v>
      </c>
      <c r="E28" s="57" t="s">
        <v>424</v>
      </c>
      <c r="F28" s="57" t="s">
        <v>457</v>
      </c>
    </row>
    <row r="29" spans="2:6" x14ac:dyDescent="0.3">
      <c r="B29" s="57" t="s">
        <v>56</v>
      </c>
      <c r="C29" s="57">
        <v>1754989022260</v>
      </c>
      <c r="D29" s="57" t="s">
        <v>534</v>
      </c>
      <c r="E29" s="57" t="s">
        <v>424</v>
      </c>
      <c r="F29" s="57" t="s">
        <v>459</v>
      </c>
    </row>
    <row r="30" spans="2:6" x14ac:dyDescent="0.3">
      <c r="B30" s="57" t="s">
        <v>56</v>
      </c>
      <c r="C30" s="57">
        <v>1754989031192</v>
      </c>
      <c r="D30" s="82" t="s">
        <v>535</v>
      </c>
      <c r="E30" s="57" t="s">
        <v>520</v>
      </c>
      <c r="F30" s="57" t="s">
        <v>536</v>
      </c>
    </row>
    <row r="31" spans="2:6" x14ac:dyDescent="0.3">
      <c r="B31" s="57" t="s">
        <v>426</v>
      </c>
      <c r="C31" s="57">
        <v>1754989033834</v>
      </c>
      <c r="D31" s="82" t="s">
        <v>537</v>
      </c>
      <c r="E31" s="57" t="s">
        <v>428</v>
      </c>
      <c r="F31" s="57" t="s">
        <v>538</v>
      </c>
    </row>
    <row r="32" spans="2:6" x14ac:dyDescent="0.3">
      <c r="B32" s="57" t="s">
        <v>56</v>
      </c>
      <c r="C32" s="57">
        <v>1754989047008</v>
      </c>
      <c r="D32" s="82" t="s">
        <v>539</v>
      </c>
      <c r="E32" s="57" t="s">
        <v>525</v>
      </c>
      <c r="F32" s="57" t="s">
        <v>540</v>
      </c>
    </row>
    <row r="33" spans="2:6" x14ac:dyDescent="0.3">
      <c r="B33" s="57" t="s">
        <v>56</v>
      </c>
      <c r="C33" s="57">
        <v>1754989048698</v>
      </c>
      <c r="D33" s="57" t="s">
        <v>546</v>
      </c>
      <c r="E33" s="57" t="s">
        <v>424</v>
      </c>
      <c r="F33" s="57" t="s">
        <v>461</v>
      </c>
    </row>
    <row r="34" spans="2:6" x14ac:dyDescent="0.3">
      <c r="B34" s="57" t="s">
        <v>426</v>
      </c>
      <c r="C34" s="57">
        <v>1754989049298</v>
      </c>
      <c r="D34" s="57" t="s">
        <v>547</v>
      </c>
      <c r="E34" s="57" t="s">
        <v>428</v>
      </c>
      <c r="F34" s="57" t="s">
        <v>447</v>
      </c>
    </row>
    <row r="35" spans="2:6" x14ac:dyDescent="0.3">
      <c r="B35" s="57" t="s">
        <v>56</v>
      </c>
      <c r="C35" s="57">
        <v>1754989053038</v>
      </c>
      <c r="D35" s="57" t="s">
        <v>548</v>
      </c>
      <c r="E35" s="57" t="s">
        <v>424</v>
      </c>
      <c r="F35" s="57" t="s">
        <v>549</v>
      </c>
    </row>
    <row r="36" spans="2:6" x14ac:dyDescent="0.3">
      <c r="B36" s="57" t="s">
        <v>56</v>
      </c>
      <c r="C36" s="57">
        <v>1754989056633</v>
      </c>
      <c r="D36" s="57" t="s">
        <v>550</v>
      </c>
      <c r="E36" s="57" t="s">
        <v>424</v>
      </c>
      <c r="F36" s="57" t="s">
        <v>551</v>
      </c>
    </row>
    <row r="37" spans="2:6" x14ac:dyDescent="0.3">
      <c r="B37" s="57" t="s">
        <v>56</v>
      </c>
      <c r="C37" s="57">
        <v>1754989059793</v>
      </c>
      <c r="D37" s="57" t="s">
        <v>552</v>
      </c>
      <c r="E37" s="57" t="s">
        <v>424</v>
      </c>
      <c r="F37" s="57" t="s">
        <v>553</v>
      </c>
    </row>
    <row r="38" spans="2:6" x14ac:dyDescent="0.3">
      <c r="B38" s="57" t="s">
        <v>56</v>
      </c>
      <c r="C38" s="57">
        <v>1754989062012</v>
      </c>
      <c r="D38" s="82" t="s">
        <v>554</v>
      </c>
      <c r="E38" s="57" t="s">
        <v>520</v>
      </c>
      <c r="F38" s="57" t="s">
        <v>555</v>
      </c>
    </row>
    <row r="39" spans="2:6" x14ac:dyDescent="0.3">
      <c r="B39" s="57" t="s">
        <v>56</v>
      </c>
      <c r="C39" s="57">
        <v>1754989069209</v>
      </c>
      <c r="D39" s="82" t="s">
        <v>556</v>
      </c>
      <c r="E39" s="57" t="s">
        <v>525</v>
      </c>
      <c r="F39" s="57" t="s">
        <v>557</v>
      </c>
    </row>
    <row r="40" spans="2:6" x14ac:dyDescent="0.3">
      <c r="B40" s="57" t="s">
        <v>56</v>
      </c>
      <c r="C40" s="57">
        <v>1754989084216</v>
      </c>
      <c r="D40" s="82" t="s">
        <v>558</v>
      </c>
      <c r="E40" s="57" t="s">
        <v>520</v>
      </c>
      <c r="F40" s="57" t="s">
        <v>559</v>
      </c>
    </row>
    <row r="41" spans="2:6" x14ac:dyDescent="0.3">
      <c r="B41" s="57" t="s">
        <v>56</v>
      </c>
      <c r="C41" s="57">
        <v>1754989087111</v>
      </c>
      <c r="D41" s="82" t="s">
        <v>560</v>
      </c>
      <c r="E41" s="57" t="s">
        <v>525</v>
      </c>
      <c r="F41" s="57" t="s">
        <v>561</v>
      </c>
    </row>
    <row r="42" spans="2:6" x14ac:dyDescent="0.3">
      <c r="B42" s="57" t="s">
        <v>56</v>
      </c>
      <c r="C42" s="57">
        <v>1754989088450</v>
      </c>
      <c r="D42" s="57" t="s">
        <v>562</v>
      </c>
      <c r="E42" s="57" t="s">
        <v>424</v>
      </c>
      <c r="F42" s="57" t="s">
        <v>441</v>
      </c>
    </row>
    <row r="43" spans="2:6" x14ac:dyDescent="0.3">
      <c r="B43" s="57" t="s">
        <v>56</v>
      </c>
      <c r="C43" s="57">
        <v>1754989096018</v>
      </c>
      <c r="D43" s="57" t="s">
        <v>563</v>
      </c>
      <c r="E43" s="57" t="s">
        <v>424</v>
      </c>
      <c r="F43" s="57" t="s">
        <v>433</v>
      </c>
    </row>
    <row r="44" spans="2:6" x14ac:dyDescent="0.3">
      <c r="B44" s="57" t="s">
        <v>56</v>
      </c>
      <c r="C44" s="57">
        <v>1754989101733</v>
      </c>
      <c r="D44" s="57" t="s">
        <v>564</v>
      </c>
      <c r="E44" s="57" t="s">
        <v>424</v>
      </c>
      <c r="F44" s="57" t="s">
        <v>445</v>
      </c>
    </row>
    <row r="45" spans="2:6" x14ac:dyDescent="0.3">
      <c r="B45" s="57" t="s">
        <v>56</v>
      </c>
      <c r="C45" s="57">
        <v>1754989102116</v>
      </c>
      <c r="D45" s="82" t="s">
        <v>565</v>
      </c>
      <c r="E45" s="57" t="s">
        <v>520</v>
      </c>
      <c r="F45" s="57" t="s">
        <v>521</v>
      </c>
    </row>
    <row r="46" spans="2:6" x14ac:dyDescent="0.3">
      <c r="B46" s="57" t="s">
        <v>56</v>
      </c>
      <c r="C46" s="57">
        <v>1754989105150</v>
      </c>
      <c r="D46" s="82" t="s">
        <v>566</v>
      </c>
      <c r="E46" s="57" t="s">
        <v>525</v>
      </c>
      <c r="F46" s="57" t="s">
        <v>526</v>
      </c>
    </row>
    <row r="47" spans="2:6" x14ac:dyDescent="0.3">
      <c r="B47" s="57" t="s">
        <v>56</v>
      </c>
      <c r="C47" s="57">
        <v>1754989107323</v>
      </c>
      <c r="D47" s="57" t="s">
        <v>567</v>
      </c>
      <c r="E47" s="57" t="s">
        <v>424</v>
      </c>
      <c r="F47" s="57" t="s">
        <v>449</v>
      </c>
    </row>
    <row r="48" spans="2:6" x14ac:dyDescent="0.3">
      <c r="B48" s="57" t="s">
        <v>56</v>
      </c>
      <c r="C48" s="57">
        <v>1754989110868</v>
      </c>
      <c r="D48" s="57" t="s">
        <v>568</v>
      </c>
      <c r="E48" s="57" t="s">
        <v>424</v>
      </c>
      <c r="F48" s="57" t="s">
        <v>451</v>
      </c>
    </row>
    <row r="49" spans="2:6" x14ac:dyDescent="0.3">
      <c r="B49" s="57" t="s">
        <v>56</v>
      </c>
      <c r="C49" s="57">
        <v>1754989117693</v>
      </c>
      <c r="D49" s="57" t="s">
        <v>569</v>
      </c>
      <c r="E49" s="57" t="s">
        <v>424</v>
      </c>
      <c r="F49" s="57" t="s">
        <v>570</v>
      </c>
    </row>
    <row r="50" spans="2:6" x14ac:dyDescent="0.3">
      <c r="B50" s="57" t="s">
        <v>56</v>
      </c>
      <c r="C50" s="57">
        <v>1754989118969</v>
      </c>
      <c r="D50" s="57" t="s">
        <v>571</v>
      </c>
      <c r="E50" s="57" t="s">
        <v>463</v>
      </c>
      <c r="F50" s="57" t="s">
        <v>464</v>
      </c>
    </row>
    <row r="51" spans="2:6" x14ac:dyDescent="0.3">
      <c r="B51" s="60" t="s">
        <v>57</v>
      </c>
      <c r="C51" s="60">
        <v>1754989130075</v>
      </c>
      <c r="D51" s="60" t="s">
        <v>572</v>
      </c>
      <c r="E51" s="60" t="s">
        <v>416</v>
      </c>
      <c r="F51" s="60" t="s">
        <v>573</v>
      </c>
    </row>
    <row r="52" spans="2:6" x14ac:dyDescent="0.3">
      <c r="B52" s="60" t="s">
        <v>57</v>
      </c>
      <c r="C52" s="60">
        <v>1754989130130</v>
      </c>
      <c r="D52" s="60" t="s">
        <v>574</v>
      </c>
      <c r="E52" s="60" t="s">
        <v>468</v>
      </c>
      <c r="F52" s="60" t="s">
        <v>575</v>
      </c>
    </row>
    <row r="53" spans="2:6" x14ac:dyDescent="0.3">
      <c r="B53" s="60" t="s">
        <v>57</v>
      </c>
      <c r="C53" s="60">
        <v>1754989144370</v>
      </c>
      <c r="D53" s="60" t="s">
        <v>576</v>
      </c>
      <c r="E53" s="60" t="s">
        <v>419</v>
      </c>
      <c r="F53" s="60" t="s">
        <v>420</v>
      </c>
    </row>
    <row r="54" spans="2:6" x14ac:dyDescent="0.3">
      <c r="B54" s="60" t="s">
        <v>57</v>
      </c>
      <c r="C54" s="60">
        <v>1754989144446</v>
      </c>
      <c r="D54" s="60" t="s">
        <v>577</v>
      </c>
      <c r="E54" s="60" t="s">
        <v>389</v>
      </c>
      <c r="F54" s="60" t="s">
        <v>396</v>
      </c>
    </row>
    <row r="55" spans="2:6" x14ac:dyDescent="0.3">
      <c r="B55" s="60" t="s">
        <v>57</v>
      </c>
      <c r="C55" s="60">
        <v>1754989144508</v>
      </c>
      <c r="D55" s="60" t="s">
        <v>578</v>
      </c>
      <c r="E55" s="60" t="s">
        <v>389</v>
      </c>
      <c r="F55" s="60" t="s">
        <v>406</v>
      </c>
    </row>
    <row r="56" spans="2:6" x14ac:dyDescent="0.3">
      <c r="B56" s="60" t="s">
        <v>57</v>
      </c>
      <c r="C56" s="60">
        <v>1754989144581</v>
      </c>
      <c r="D56" s="60" t="s">
        <v>579</v>
      </c>
      <c r="E56" s="60" t="s">
        <v>389</v>
      </c>
      <c r="F56" s="60" t="s">
        <v>511</v>
      </c>
    </row>
    <row r="57" spans="2:6" x14ac:dyDescent="0.3">
      <c r="B57" s="60" t="s">
        <v>57</v>
      </c>
      <c r="C57" s="60">
        <v>1754989144635</v>
      </c>
      <c r="D57" s="60" t="s">
        <v>580</v>
      </c>
      <c r="E57" s="60" t="s">
        <v>389</v>
      </c>
      <c r="F57" s="60" t="s">
        <v>581</v>
      </c>
    </row>
    <row r="58" spans="2:6" x14ac:dyDescent="0.3">
      <c r="B58" s="60" t="s">
        <v>57</v>
      </c>
      <c r="C58" s="60">
        <v>1754989145484</v>
      </c>
      <c r="D58" s="60" t="s">
        <v>582</v>
      </c>
      <c r="E58" s="60" t="s">
        <v>389</v>
      </c>
      <c r="F58" s="60" t="s">
        <v>414</v>
      </c>
    </row>
    <row r="59" spans="2:6" x14ac:dyDescent="0.3">
      <c r="B59" s="60" t="s">
        <v>57</v>
      </c>
      <c r="C59" s="60">
        <v>1754989153585</v>
      </c>
      <c r="D59" s="60" t="s">
        <v>583</v>
      </c>
      <c r="E59" s="60" t="s">
        <v>422</v>
      </c>
      <c r="F59" s="60" t="s">
        <v>420</v>
      </c>
    </row>
    <row r="60" spans="2:6" x14ac:dyDescent="0.3">
      <c r="B60" s="60" t="s">
        <v>57</v>
      </c>
      <c r="C60" s="60">
        <v>1754989168605</v>
      </c>
      <c r="D60" s="82" t="s">
        <v>584</v>
      </c>
      <c r="E60" s="60" t="s">
        <v>520</v>
      </c>
      <c r="F60" s="60" t="s">
        <v>536</v>
      </c>
    </row>
    <row r="61" spans="2:6" x14ac:dyDescent="0.3">
      <c r="B61" s="60" t="s">
        <v>426</v>
      </c>
      <c r="C61" s="60">
        <v>1754989173356</v>
      </c>
      <c r="D61" s="82" t="s">
        <v>585</v>
      </c>
      <c r="E61" s="60" t="s">
        <v>428</v>
      </c>
      <c r="F61" s="60" t="s">
        <v>435</v>
      </c>
    </row>
    <row r="62" spans="2:6" x14ac:dyDescent="0.3">
      <c r="B62" s="60" t="s">
        <v>57</v>
      </c>
      <c r="C62" s="60">
        <v>1754989175256</v>
      </c>
      <c r="D62" s="82" t="s">
        <v>586</v>
      </c>
      <c r="E62" s="60" t="s">
        <v>525</v>
      </c>
      <c r="F62" s="60" t="s">
        <v>540</v>
      </c>
    </row>
    <row r="63" spans="2:6" x14ac:dyDescent="0.3">
      <c r="B63" s="60" t="s">
        <v>426</v>
      </c>
      <c r="C63" s="60">
        <v>1754989188892</v>
      </c>
      <c r="D63" s="60" t="s">
        <v>587</v>
      </c>
      <c r="E63" s="60" t="s">
        <v>428</v>
      </c>
      <c r="F63" s="60" t="s">
        <v>429</v>
      </c>
    </row>
    <row r="64" spans="2:6" x14ac:dyDescent="0.3">
      <c r="B64" s="60" t="s">
        <v>57</v>
      </c>
      <c r="C64" s="60">
        <v>1754989190263</v>
      </c>
      <c r="D64" s="82" t="s">
        <v>588</v>
      </c>
      <c r="E64" s="60" t="s">
        <v>520</v>
      </c>
      <c r="F64" s="60" t="s">
        <v>589</v>
      </c>
    </row>
    <row r="65" spans="2:6" x14ac:dyDescent="0.3">
      <c r="B65" s="60" t="s">
        <v>426</v>
      </c>
      <c r="C65" s="60">
        <v>1754989204340</v>
      </c>
      <c r="D65" s="82" t="s">
        <v>590</v>
      </c>
      <c r="E65" s="60" t="s">
        <v>428</v>
      </c>
      <c r="F65" s="60" t="s">
        <v>431</v>
      </c>
    </row>
    <row r="66" spans="2:6" x14ac:dyDescent="0.3">
      <c r="B66" s="60" t="s">
        <v>57</v>
      </c>
      <c r="C66" s="60">
        <v>1754989206163</v>
      </c>
      <c r="D66" s="82" t="s">
        <v>591</v>
      </c>
      <c r="E66" s="60" t="s">
        <v>525</v>
      </c>
      <c r="F66" s="60" t="s">
        <v>592</v>
      </c>
    </row>
    <row r="67" spans="2:6" x14ac:dyDescent="0.3">
      <c r="B67" s="60" t="s">
        <v>57</v>
      </c>
      <c r="C67" s="60">
        <v>1754989208842</v>
      </c>
      <c r="D67" s="60" t="s">
        <v>593</v>
      </c>
      <c r="E67" s="60" t="s">
        <v>424</v>
      </c>
      <c r="F67" s="60" t="s">
        <v>551</v>
      </c>
    </row>
    <row r="68" spans="2:6" x14ac:dyDescent="0.3">
      <c r="B68" s="60" t="s">
        <v>57</v>
      </c>
      <c r="C68" s="60">
        <v>1754989209795</v>
      </c>
      <c r="D68" s="60" t="s">
        <v>594</v>
      </c>
      <c r="E68" s="60" t="s">
        <v>424</v>
      </c>
      <c r="F68" s="60" t="s">
        <v>553</v>
      </c>
    </row>
    <row r="69" spans="2:6" x14ac:dyDescent="0.3">
      <c r="B69" s="60" t="s">
        <v>57</v>
      </c>
      <c r="C69" s="60">
        <v>1754989211550</v>
      </c>
      <c r="D69" s="60" t="s">
        <v>595</v>
      </c>
      <c r="E69" s="60" t="s">
        <v>424</v>
      </c>
      <c r="F69" s="60" t="s">
        <v>441</v>
      </c>
    </row>
    <row r="70" spans="2:6" x14ac:dyDescent="0.3">
      <c r="B70" s="60" t="s">
        <v>426</v>
      </c>
      <c r="C70" s="60">
        <v>1754989220564</v>
      </c>
      <c r="D70" s="60" t="s">
        <v>596</v>
      </c>
      <c r="E70" s="60" t="s">
        <v>428</v>
      </c>
      <c r="F70" s="60" t="s">
        <v>538</v>
      </c>
    </row>
    <row r="71" spans="2:6" x14ac:dyDescent="0.3">
      <c r="B71" s="60" t="s">
        <v>57</v>
      </c>
      <c r="C71" s="60">
        <v>1754989221164</v>
      </c>
      <c r="D71" s="82" t="s">
        <v>597</v>
      </c>
      <c r="E71" s="60" t="s">
        <v>520</v>
      </c>
      <c r="F71" s="60" t="s">
        <v>521</v>
      </c>
    </row>
    <row r="72" spans="2:6" x14ac:dyDescent="0.3">
      <c r="B72" s="60" t="s">
        <v>57</v>
      </c>
      <c r="C72" s="60">
        <v>1754989223900</v>
      </c>
      <c r="D72" s="82" t="s">
        <v>598</v>
      </c>
      <c r="E72" s="60" t="s">
        <v>525</v>
      </c>
      <c r="F72" s="60" t="s">
        <v>526</v>
      </c>
    </row>
    <row r="73" spans="2:6" x14ac:dyDescent="0.3">
      <c r="B73" s="60" t="s">
        <v>57</v>
      </c>
      <c r="C73" s="60">
        <v>1754989225407</v>
      </c>
      <c r="D73" s="60" t="s">
        <v>599</v>
      </c>
      <c r="E73" s="60" t="s">
        <v>424</v>
      </c>
      <c r="F73" s="60" t="s">
        <v>433</v>
      </c>
    </row>
    <row r="74" spans="2:6" x14ac:dyDescent="0.3">
      <c r="B74" s="60" t="s">
        <v>57</v>
      </c>
      <c r="C74" s="60">
        <v>1754989233750</v>
      </c>
      <c r="D74" s="60" t="s">
        <v>600</v>
      </c>
      <c r="E74" s="60" t="s">
        <v>424</v>
      </c>
      <c r="F74" s="60" t="s">
        <v>445</v>
      </c>
    </row>
    <row r="75" spans="2:6" x14ac:dyDescent="0.3">
      <c r="B75" s="60" t="s">
        <v>57</v>
      </c>
      <c r="C75" s="60">
        <v>1754989238910</v>
      </c>
      <c r="D75" s="82" t="s">
        <v>601</v>
      </c>
      <c r="E75" s="60" t="s">
        <v>520</v>
      </c>
      <c r="F75" s="60" t="s">
        <v>555</v>
      </c>
    </row>
    <row r="76" spans="2:6" x14ac:dyDescent="0.3">
      <c r="B76" s="60" t="s">
        <v>57</v>
      </c>
      <c r="C76" s="60">
        <v>1754989243093</v>
      </c>
      <c r="D76" s="82" t="s">
        <v>602</v>
      </c>
      <c r="E76" s="60" t="s">
        <v>525</v>
      </c>
      <c r="F76" s="60" t="s">
        <v>557</v>
      </c>
    </row>
    <row r="77" spans="2:6" x14ac:dyDescent="0.3">
      <c r="B77" s="60" t="s">
        <v>57</v>
      </c>
      <c r="C77" s="60">
        <v>1754989245072</v>
      </c>
      <c r="D77" s="60" t="s">
        <v>603</v>
      </c>
      <c r="E77" s="60" t="s">
        <v>424</v>
      </c>
      <c r="F77" s="60" t="s">
        <v>518</v>
      </c>
    </row>
    <row r="78" spans="2:6" x14ac:dyDescent="0.3">
      <c r="B78" s="60" t="s">
        <v>57</v>
      </c>
      <c r="C78" s="60">
        <v>1754989258109</v>
      </c>
      <c r="D78" s="82" t="s">
        <v>604</v>
      </c>
      <c r="E78" s="60" t="s">
        <v>520</v>
      </c>
      <c r="F78" s="60" t="s">
        <v>536</v>
      </c>
    </row>
    <row r="79" spans="2:6" x14ac:dyDescent="0.3">
      <c r="B79" s="60" t="s">
        <v>57</v>
      </c>
      <c r="C79" s="60">
        <v>1754989270266</v>
      </c>
      <c r="D79" s="82" t="s">
        <v>605</v>
      </c>
      <c r="E79" s="60" t="s">
        <v>525</v>
      </c>
      <c r="F79" s="60" t="s">
        <v>540</v>
      </c>
    </row>
    <row r="80" spans="2:6" x14ac:dyDescent="0.3">
      <c r="B80" s="60" t="s">
        <v>57</v>
      </c>
      <c r="C80" s="60">
        <v>1754989272001</v>
      </c>
      <c r="D80" s="60" t="s">
        <v>606</v>
      </c>
      <c r="E80" s="60" t="s">
        <v>424</v>
      </c>
      <c r="F80" s="60" t="s">
        <v>457</v>
      </c>
    </row>
    <row r="81" spans="1:6" x14ac:dyDescent="0.3">
      <c r="B81" s="60" t="s">
        <v>57</v>
      </c>
      <c r="C81" s="60">
        <v>1754989285278</v>
      </c>
      <c r="D81" s="82" t="s">
        <v>607</v>
      </c>
      <c r="E81" s="60" t="s">
        <v>520</v>
      </c>
      <c r="F81" s="60" t="s">
        <v>608</v>
      </c>
    </row>
    <row r="82" spans="1:6" x14ac:dyDescent="0.3">
      <c r="B82" s="60" t="s">
        <v>426</v>
      </c>
      <c r="C82" s="60">
        <v>1754989290510</v>
      </c>
      <c r="D82" s="82" t="s">
        <v>609</v>
      </c>
      <c r="E82" s="60" t="s">
        <v>428</v>
      </c>
      <c r="F82" s="60" t="s">
        <v>610</v>
      </c>
    </row>
    <row r="83" spans="1:6" x14ac:dyDescent="0.3">
      <c r="B83" s="60" t="s">
        <v>57</v>
      </c>
      <c r="C83" s="60">
        <v>1754989299504</v>
      </c>
      <c r="D83" s="82" t="s">
        <v>611</v>
      </c>
      <c r="E83" s="60" t="s">
        <v>525</v>
      </c>
      <c r="F83" s="60" t="s">
        <v>612</v>
      </c>
    </row>
    <row r="84" spans="1:6" x14ac:dyDescent="0.3">
      <c r="B84" s="60" t="s">
        <v>426</v>
      </c>
      <c r="C84" s="60">
        <v>1754989307383</v>
      </c>
      <c r="D84" s="60" t="s">
        <v>613</v>
      </c>
      <c r="E84" s="60" t="s">
        <v>428</v>
      </c>
      <c r="F84" s="60" t="s">
        <v>523</v>
      </c>
    </row>
    <row r="85" spans="1:6" x14ac:dyDescent="0.3">
      <c r="B85" s="60" t="s">
        <v>57</v>
      </c>
      <c r="C85" s="60">
        <v>1754989314517</v>
      </c>
      <c r="D85" s="82" t="s">
        <v>614</v>
      </c>
      <c r="E85" s="60" t="s">
        <v>520</v>
      </c>
      <c r="F85" s="60" t="s">
        <v>615</v>
      </c>
    </row>
    <row r="86" spans="1:6" x14ac:dyDescent="0.3">
      <c r="B86" s="60" t="s">
        <v>57</v>
      </c>
      <c r="C86" s="60">
        <v>1754989320483</v>
      </c>
      <c r="D86" s="82" t="s">
        <v>616</v>
      </c>
      <c r="E86" s="60" t="s">
        <v>525</v>
      </c>
      <c r="F86" s="60" t="s">
        <v>617</v>
      </c>
    </row>
    <row r="87" spans="1:6" x14ac:dyDescent="0.3">
      <c r="B87" s="60" t="s">
        <v>57</v>
      </c>
      <c r="C87" s="60">
        <v>1754989321797</v>
      </c>
      <c r="D87" s="60" t="s">
        <v>618</v>
      </c>
      <c r="E87" s="60" t="s">
        <v>424</v>
      </c>
      <c r="F87" s="60" t="s">
        <v>461</v>
      </c>
    </row>
    <row r="88" spans="1:6" x14ac:dyDescent="0.3">
      <c r="B88" s="60" t="s">
        <v>426</v>
      </c>
      <c r="C88" s="60">
        <v>1754989322142</v>
      </c>
      <c r="D88" s="60" t="s">
        <v>619</v>
      </c>
      <c r="E88" s="60" t="s">
        <v>428</v>
      </c>
      <c r="F88" s="60" t="s">
        <v>447</v>
      </c>
    </row>
    <row r="89" spans="1:6" x14ac:dyDescent="0.3">
      <c r="B89" s="60" t="s">
        <v>57</v>
      </c>
      <c r="C89" s="60">
        <v>1754989331969</v>
      </c>
      <c r="D89" s="60" t="s">
        <v>620</v>
      </c>
      <c r="E89" s="60" t="s">
        <v>424</v>
      </c>
      <c r="F89" s="60" t="s">
        <v>449</v>
      </c>
    </row>
    <row r="90" spans="1:6" x14ac:dyDescent="0.3">
      <c r="B90" s="60" t="s">
        <v>57</v>
      </c>
      <c r="C90" s="60">
        <v>1754989332628</v>
      </c>
      <c r="D90" s="60" t="s">
        <v>621</v>
      </c>
      <c r="E90" s="60" t="s">
        <v>424</v>
      </c>
      <c r="F90" s="60" t="s">
        <v>451</v>
      </c>
    </row>
    <row r="91" spans="1:6" x14ac:dyDescent="0.3">
      <c r="B91" s="60" t="s">
        <v>57</v>
      </c>
      <c r="C91" s="60">
        <v>1754989335494</v>
      </c>
      <c r="D91" s="82" t="s">
        <v>622</v>
      </c>
      <c r="E91" s="60" t="s">
        <v>520</v>
      </c>
      <c r="F91" s="60" t="s">
        <v>615</v>
      </c>
    </row>
    <row r="92" spans="1:6" x14ac:dyDescent="0.3">
      <c r="B92" s="60" t="s">
        <v>57</v>
      </c>
      <c r="C92" s="60">
        <v>1754989341562</v>
      </c>
      <c r="D92" s="82" t="s">
        <v>623</v>
      </c>
      <c r="E92" s="60" t="s">
        <v>525</v>
      </c>
      <c r="F92" s="60" t="s">
        <v>617</v>
      </c>
    </row>
    <row r="93" spans="1:6" x14ac:dyDescent="0.3">
      <c r="B93" s="60" t="s">
        <v>57</v>
      </c>
      <c r="C93" s="60">
        <v>1754989342543</v>
      </c>
      <c r="D93" s="60" t="s">
        <v>624</v>
      </c>
      <c r="E93" s="60" t="s">
        <v>463</v>
      </c>
      <c r="F93" s="60" t="s">
        <v>464</v>
      </c>
    </row>
    <row r="94" spans="1:6" x14ac:dyDescent="0.3">
      <c r="B94" s="60" t="s">
        <v>426</v>
      </c>
      <c r="C94" s="60">
        <v>1754989343403</v>
      </c>
      <c r="D94" s="60" t="s">
        <v>625</v>
      </c>
      <c r="E94" s="60" t="s">
        <v>428</v>
      </c>
      <c r="F94" s="60" t="s">
        <v>455</v>
      </c>
    </row>
    <row r="95" spans="1:6" ht="18" x14ac:dyDescent="0.35">
      <c r="A95" s="61" t="s">
        <v>775</v>
      </c>
      <c r="B95" s="62" t="s">
        <v>657</v>
      </c>
      <c r="C95" s="62">
        <v>1755003005508</v>
      </c>
      <c r="D95" s="62" t="s">
        <v>627</v>
      </c>
      <c r="E95" s="62" t="s">
        <v>416</v>
      </c>
      <c r="F95" s="62" t="s">
        <v>492</v>
      </c>
    </row>
    <row r="96" spans="1:6" x14ac:dyDescent="0.3">
      <c r="B96" s="62" t="s">
        <v>657</v>
      </c>
      <c r="C96" s="62">
        <v>1755003012800</v>
      </c>
      <c r="D96" s="62" t="s">
        <v>628</v>
      </c>
      <c r="E96" s="62" t="s">
        <v>419</v>
      </c>
      <c r="F96" s="62" t="s">
        <v>420</v>
      </c>
    </row>
    <row r="97" spans="2:6" x14ac:dyDescent="0.3">
      <c r="B97" s="62" t="s">
        <v>658</v>
      </c>
      <c r="C97" s="62">
        <v>1755003022788</v>
      </c>
      <c r="D97" s="62" t="s">
        <v>629</v>
      </c>
      <c r="E97" s="62" t="s">
        <v>416</v>
      </c>
      <c r="F97" s="62" t="s">
        <v>492</v>
      </c>
    </row>
    <row r="98" spans="2:6" x14ac:dyDescent="0.3">
      <c r="B98" s="62" t="s">
        <v>658</v>
      </c>
      <c r="C98" s="62">
        <v>1755003032742</v>
      </c>
      <c r="D98" s="62" t="s">
        <v>630</v>
      </c>
      <c r="E98" s="62" t="s">
        <v>419</v>
      </c>
      <c r="F98" s="62" t="s">
        <v>420</v>
      </c>
    </row>
    <row r="99" spans="2:6" x14ac:dyDescent="0.3">
      <c r="B99" s="62" t="s">
        <v>658</v>
      </c>
      <c r="C99" s="62">
        <v>1755003058963</v>
      </c>
      <c r="D99" s="62" t="s">
        <v>631</v>
      </c>
      <c r="E99" s="62" t="s">
        <v>389</v>
      </c>
      <c r="F99" s="62" t="s">
        <v>502</v>
      </c>
    </row>
    <row r="100" spans="2:6" x14ac:dyDescent="0.3">
      <c r="B100" s="62" t="s">
        <v>658</v>
      </c>
      <c r="C100" s="62">
        <v>1755003060874</v>
      </c>
      <c r="D100" s="62" t="s">
        <v>632</v>
      </c>
      <c r="E100" s="62" t="s">
        <v>389</v>
      </c>
      <c r="F100" s="62" t="s">
        <v>398</v>
      </c>
    </row>
    <row r="101" spans="2:6" x14ac:dyDescent="0.3">
      <c r="B101" s="62" t="s">
        <v>658</v>
      </c>
      <c r="C101" s="62">
        <v>1755003061684</v>
      </c>
      <c r="D101" s="62" t="s">
        <v>633</v>
      </c>
      <c r="E101" s="62" t="s">
        <v>389</v>
      </c>
      <c r="F101" s="62" t="s">
        <v>400</v>
      </c>
    </row>
    <row r="102" spans="2:6" x14ac:dyDescent="0.3">
      <c r="B102" s="62" t="s">
        <v>658</v>
      </c>
      <c r="C102" s="62">
        <v>1755003062936</v>
      </c>
      <c r="D102" s="62" t="s">
        <v>634</v>
      </c>
      <c r="E102" s="62" t="s">
        <v>389</v>
      </c>
      <c r="F102" s="62" t="s">
        <v>390</v>
      </c>
    </row>
    <row r="103" spans="2:6" x14ac:dyDescent="0.3">
      <c r="B103" s="62" t="s">
        <v>658</v>
      </c>
      <c r="C103" s="62">
        <v>1755003068224</v>
      </c>
      <c r="D103" s="62" t="s">
        <v>635</v>
      </c>
      <c r="E103" s="62" t="s">
        <v>389</v>
      </c>
      <c r="F103" s="62" t="s">
        <v>659</v>
      </c>
    </row>
    <row r="104" spans="2:6" x14ac:dyDescent="0.3">
      <c r="B104" s="62" t="s">
        <v>658</v>
      </c>
      <c r="C104" s="62">
        <v>1755003070691</v>
      </c>
      <c r="D104" s="62" t="s">
        <v>636</v>
      </c>
      <c r="E104" s="62" t="s">
        <v>389</v>
      </c>
      <c r="F104" s="62" t="s">
        <v>508</v>
      </c>
    </row>
    <row r="105" spans="2:6" x14ac:dyDescent="0.3">
      <c r="B105" s="62" t="s">
        <v>658</v>
      </c>
      <c r="C105" s="62">
        <v>1755003071636</v>
      </c>
      <c r="D105" s="62" t="s">
        <v>637</v>
      </c>
      <c r="E105" s="62" t="s">
        <v>389</v>
      </c>
      <c r="F105" s="62" t="s">
        <v>660</v>
      </c>
    </row>
    <row r="106" spans="2:6" x14ac:dyDescent="0.3">
      <c r="B106" s="62" t="s">
        <v>658</v>
      </c>
      <c r="C106" s="62">
        <v>1755003072944</v>
      </c>
      <c r="D106" s="62" t="s">
        <v>638</v>
      </c>
      <c r="E106" s="62" t="s">
        <v>389</v>
      </c>
      <c r="F106" s="62" t="s">
        <v>511</v>
      </c>
    </row>
    <row r="107" spans="2:6" x14ac:dyDescent="0.3">
      <c r="B107" s="62" t="s">
        <v>658</v>
      </c>
      <c r="C107" s="62">
        <v>1755003075408</v>
      </c>
      <c r="D107" s="62" t="s">
        <v>639</v>
      </c>
      <c r="E107" s="62" t="s">
        <v>389</v>
      </c>
      <c r="F107" s="62" t="s">
        <v>408</v>
      </c>
    </row>
    <row r="108" spans="2:6" x14ac:dyDescent="0.3">
      <c r="B108" s="62" t="s">
        <v>658</v>
      </c>
      <c r="C108" s="62">
        <v>1755003079451</v>
      </c>
      <c r="D108" s="62" t="s">
        <v>640</v>
      </c>
      <c r="E108" s="62" t="s">
        <v>389</v>
      </c>
      <c r="F108" s="62" t="s">
        <v>495</v>
      </c>
    </row>
    <row r="109" spans="2:6" x14ac:dyDescent="0.3">
      <c r="B109" s="62" t="s">
        <v>658</v>
      </c>
      <c r="C109" s="62">
        <v>1755003080748</v>
      </c>
      <c r="D109" s="62" t="s">
        <v>641</v>
      </c>
      <c r="E109" s="62" t="s">
        <v>389</v>
      </c>
      <c r="F109" s="62" t="s">
        <v>410</v>
      </c>
    </row>
    <row r="110" spans="2:6" x14ac:dyDescent="0.3">
      <c r="B110" s="62" t="s">
        <v>658</v>
      </c>
      <c r="C110" s="62">
        <v>1755003084746</v>
      </c>
      <c r="D110" s="62" t="s">
        <v>642</v>
      </c>
      <c r="E110" s="62" t="s">
        <v>389</v>
      </c>
      <c r="F110" s="62" t="s">
        <v>661</v>
      </c>
    </row>
    <row r="111" spans="2:6" x14ac:dyDescent="0.3">
      <c r="B111" s="62" t="s">
        <v>658</v>
      </c>
      <c r="C111" s="62">
        <v>1755003086523</v>
      </c>
      <c r="D111" s="62" t="s">
        <v>643</v>
      </c>
      <c r="E111" s="62" t="s">
        <v>389</v>
      </c>
      <c r="F111" s="62" t="s">
        <v>414</v>
      </c>
    </row>
    <row r="112" spans="2:6" x14ac:dyDescent="0.3">
      <c r="B112" s="62" t="s">
        <v>658</v>
      </c>
      <c r="C112" s="62">
        <v>1755003093169</v>
      </c>
      <c r="D112" s="62" t="s">
        <v>644</v>
      </c>
      <c r="E112" s="62" t="s">
        <v>422</v>
      </c>
      <c r="F112" s="62" t="s">
        <v>420</v>
      </c>
    </row>
    <row r="113" spans="2:6" x14ac:dyDescent="0.3">
      <c r="B113" s="62" t="s">
        <v>658</v>
      </c>
      <c r="C113" s="62">
        <v>1755003103564</v>
      </c>
      <c r="D113" s="62" t="s">
        <v>645</v>
      </c>
      <c r="E113" s="62" t="s">
        <v>424</v>
      </c>
      <c r="F113" s="62" t="s">
        <v>549</v>
      </c>
    </row>
    <row r="114" spans="2:6" x14ac:dyDescent="0.3">
      <c r="B114" s="62" t="s">
        <v>658</v>
      </c>
      <c r="C114" s="62">
        <v>1755003108188</v>
      </c>
      <c r="D114" s="62" t="s">
        <v>646</v>
      </c>
      <c r="E114" s="62" t="s">
        <v>520</v>
      </c>
      <c r="F114" s="62" t="s">
        <v>662</v>
      </c>
    </row>
    <row r="115" spans="2:6" x14ac:dyDescent="0.3">
      <c r="B115" s="62" t="s">
        <v>658</v>
      </c>
      <c r="C115" s="62">
        <v>1755003115819</v>
      </c>
      <c r="D115" s="62" t="s">
        <v>647</v>
      </c>
      <c r="E115" s="62" t="s">
        <v>525</v>
      </c>
      <c r="F115" s="62" t="s">
        <v>663</v>
      </c>
    </row>
    <row r="116" spans="2:6" x14ac:dyDescent="0.3">
      <c r="B116" s="62" t="s">
        <v>426</v>
      </c>
      <c r="C116" s="62">
        <v>1755003119968</v>
      </c>
      <c r="D116" s="62" t="s">
        <v>648</v>
      </c>
      <c r="E116" s="62" t="s">
        <v>428</v>
      </c>
      <c r="F116" s="62" t="s">
        <v>437</v>
      </c>
    </row>
    <row r="117" spans="2:6" x14ac:dyDescent="0.3">
      <c r="B117" s="62" t="s">
        <v>658</v>
      </c>
      <c r="C117" s="62">
        <v>1755003130829</v>
      </c>
      <c r="D117" s="62" t="s">
        <v>649</v>
      </c>
      <c r="E117" s="62" t="s">
        <v>520</v>
      </c>
      <c r="F117" s="62" t="s">
        <v>521</v>
      </c>
    </row>
    <row r="118" spans="2:6" x14ac:dyDescent="0.3">
      <c r="B118" s="62" t="s">
        <v>658</v>
      </c>
      <c r="C118" s="62">
        <v>1755003135916</v>
      </c>
      <c r="D118" s="62" t="s">
        <v>650</v>
      </c>
      <c r="E118" s="62" t="s">
        <v>525</v>
      </c>
      <c r="F118" s="62" t="s">
        <v>526</v>
      </c>
    </row>
    <row r="119" spans="2:6" x14ac:dyDescent="0.3">
      <c r="B119" s="62" t="s">
        <v>426</v>
      </c>
      <c r="C119" s="62">
        <v>1755003136200</v>
      </c>
      <c r="D119" s="62" t="s">
        <v>651</v>
      </c>
      <c r="E119" s="62" t="s">
        <v>428</v>
      </c>
      <c r="F119" s="62" t="s">
        <v>439</v>
      </c>
    </row>
    <row r="120" spans="2:6" x14ac:dyDescent="0.3">
      <c r="B120" s="62" t="s">
        <v>658</v>
      </c>
      <c r="C120" s="62">
        <v>1755003147205</v>
      </c>
      <c r="D120" s="62" t="s">
        <v>652</v>
      </c>
      <c r="E120" s="62" t="s">
        <v>424</v>
      </c>
      <c r="F120" s="62" t="s">
        <v>441</v>
      </c>
    </row>
    <row r="121" spans="2:6" x14ac:dyDescent="0.3">
      <c r="B121" s="62" t="s">
        <v>658</v>
      </c>
      <c r="C121" s="62">
        <v>1755003150918</v>
      </c>
      <c r="D121" s="62" t="s">
        <v>653</v>
      </c>
      <c r="E121" s="62" t="s">
        <v>520</v>
      </c>
      <c r="F121" s="62" t="s">
        <v>664</v>
      </c>
    </row>
    <row r="122" spans="2:6" x14ac:dyDescent="0.3">
      <c r="B122" s="62" t="s">
        <v>426</v>
      </c>
      <c r="C122" s="62">
        <v>1755003153848</v>
      </c>
      <c r="D122" s="62" t="s">
        <v>654</v>
      </c>
      <c r="E122" s="62" t="s">
        <v>428</v>
      </c>
      <c r="F122" s="62" t="s">
        <v>429</v>
      </c>
    </row>
    <row r="123" spans="2:6" x14ac:dyDescent="0.3">
      <c r="B123" s="62" t="s">
        <v>658</v>
      </c>
      <c r="C123" s="62">
        <v>1755003158077</v>
      </c>
      <c r="D123" s="62" t="s">
        <v>655</v>
      </c>
      <c r="E123" s="62" t="s">
        <v>525</v>
      </c>
      <c r="F123" s="62" t="s">
        <v>665</v>
      </c>
    </row>
    <row r="124" spans="2:6" x14ac:dyDescent="0.3">
      <c r="B124" s="62" t="s">
        <v>426</v>
      </c>
      <c r="C124" s="62">
        <v>1755003169307</v>
      </c>
      <c r="D124" s="62" t="s">
        <v>656</v>
      </c>
      <c r="E124" s="62" t="s">
        <v>428</v>
      </c>
      <c r="F124" s="62" t="s">
        <v>538</v>
      </c>
    </row>
    <row r="125" spans="2:6" x14ac:dyDescent="0.3">
      <c r="B125" s="62" t="s">
        <v>658</v>
      </c>
      <c r="C125" s="62">
        <v>1755003172844</v>
      </c>
      <c r="D125" s="62" t="s">
        <v>666</v>
      </c>
      <c r="E125" s="62" t="s">
        <v>424</v>
      </c>
      <c r="F125" s="62" t="s">
        <v>667</v>
      </c>
    </row>
    <row r="126" spans="2:6" x14ac:dyDescent="0.3">
      <c r="B126" s="62" t="s">
        <v>658</v>
      </c>
      <c r="C126" s="62">
        <v>1755003173077</v>
      </c>
      <c r="D126" s="62" t="s">
        <v>668</v>
      </c>
      <c r="E126" s="62" t="s">
        <v>520</v>
      </c>
      <c r="F126" s="62" t="s">
        <v>589</v>
      </c>
    </row>
    <row r="127" spans="2:6" x14ac:dyDescent="0.3">
      <c r="B127" s="62" t="s">
        <v>658</v>
      </c>
      <c r="C127" s="62">
        <v>1755003178824</v>
      </c>
      <c r="D127" s="62" t="s">
        <v>669</v>
      </c>
      <c r="E127" s="62" t="s">
        <v>525</v>
      </c>
      <c r="F127" s="62" t="s">
        <v>592</v>
      </c>
    </row>
    <row r="128" spans="2:6" x14ac:dyDescent="0.3">
      <c r="B128" s="62" t="s">
        <v>658</v>
      </c>
      <c r="C128" s="62">
        <v>1755003179610</v>
      </c>
      <c r="D128" s="62" t="s">
        <v>670</v>
      </c>
      <c r="E128" s="62" t="s">
        <v>424</v>
      </c>
      <c r="F128" s="62" t="s">
        <v>433</v>
      </c>
    </row>
    <row r="129" spans="2:6" x14ac:dyDescent="0.3">
      <c r="B129" s="62" t="s">
        <v>426</v>
      </c>
      <c r="C129" s="62">
        <v>1755003186354</v>
      </c>
      <c r="D129" s="62" t="s">
        <v>671</v>
      </c>
      <c r="E129" s="62" t="s">
        <v>428</v>
      </c>
      <c r="F129" s="62" t="s">
        <v>672</v>
      </c>
    </row>
    <row r="130" spans="2:6" x14ac:dyDescent="0.3">
      <c r="B130" s="62" t="s">
        <v>658</v>
      </c>
      <c r="C130" s="62">
        <v>1755003186821</v>
      </c>
      <c r="D130" s="62" t="s">
        <v>673</v>
      </c>
      <c r="E130" s="62" t="s">
        <v>424</v>
      </c>
      <c r="F130" s="62" t="s">
        <v>518</v>
      </c>
    </row>
    <row r="131" spans="2:6" x14ac:dyDescent="0.3">
      <c r="B131" s="62" t="s">
        <v>658</v>
      </c>
      <c r="C131" s="62">
        <v>1755003193829</v>
      </c>
      <c r="D131" s="62" t="s">
        <v>674</v>
      </c>
      <c r="E131" s="62" t="s">
        <v>520</v>
      </c>
      <c r="F131" s="62" t="s">
        <v>675</v>
      </c>
    </row>
    <row r="132" spans="2:6" x14ac:dyDescent="0.3">
      <c r="B132" s="62" t="s">
        <v>658</v>
      </c>
      <c r="C132" s="62">
        <v>1755003200028</v>
      </c>
      <c r="D132" s="62" t="s">
        <v>676</v>
      </c>
      <c r="E132" s="62" t="s">
        <v>525</v>
      </c>
      <c r="F132" s="62" t="s">
        <v>677</v>
      </c>
    </row>
    <row r="133" spans="2:6" x14ac:dyDescent="0.3">
      <c r="B133" s="62" t="s">
        <v>426</v>
      </c>
      <c r="C133" s="62">
        <v>1755003203263</v>
      </c>
      <c r="D133" s="62" t="s">
        <v>678</v>
      </c>
      <c r="E133" s="62" t="s">
        <v>428</v>
      </c>
      <c r="F133" s="62" t="s">
        <v>523</v>
      </c>
    </row>
    <row r="134" spans="2:6" x14ac:dyDescent="0.3">
      <c r="B134" s="62" t="s">
        <v>658</v>
      </c>
      <c r="C134" s="62">
        <v>1755003211170</v>
      </c>
      <c r="D134" s="62" t="s">
        <v>679</v>
      </c>
      <c r="E134" s="62" t="s">
        <v>424</v>
      </c>
      <c r="F134" s="62" t="s">
        <v>457</v>
      </c>
    </row>
    <row r="135" spans="2:6" x14ac:dyDescent="0.3">
      <c r="B135" s="62" t="s">
        <v>658</v>
      </c>
      <c r="C135" s="62">
        <v>1755003215042</v>
      </c>
      <c r="D135" s="62" t="s">
        <v>680</v>
      </c>
      <c r="E135" s="62" t="s">
        <v>520</v>
      </c>
      <c r="F135" s="62" t="s">
        <v>664</v>
      </c>
    </row>
    <row r="136" spans="2:6" x14ac:dyDescent="0.3">
      <c r="B136" s="62" t="s">
        <v>426</v>
      </c>
      <c r="C136" s="62">
        <v>1755003218729</v>
      </c>
      <c r="D136" s="62" t="s">
        <v>681</v>
      </c>
      <c r="E136" s="62" t="s">
        <v>428</v>
      </c>
      <c r="F136" s="62" t="s">
        <v>447</v>
      </c>
    </row>
    <row r="137" spans="2:6" x14ac:dyDescent="0.3">
      <c r="B137" s="62" t="s">
        <v>658</v>
      </c>
      <c r="C137" s="62">
        <v>1755003220095</v>
      </c>
      <c r="D137" s="62" t="s">
        <v>682</v>
      </c>
      <c r="E137" s="62" t="s">
        <v>525</v>
      </c>
      <c r="F137" s="62" t="s">
        <v>665</v>
      </c>
    </row>
    <row r="138" spans="2:6" x14ac:dyDescent="0.3">
      <c r="B138" s="62" t="s">
        <v>658</v>
      </c>
      <c r="C138" s="62">
        <v>1755003221296</v>
      </c>
      <c r="D138" s="62" t="s">
        <v>683</v>
      </c>
      <c r="E138" s="62" t="s">
        <v>424</v>
      </c>
      <c r="F138" s="62" t="s">
        <v>459</v>
      </c>
    </row>
    <row r="139" spans="2:6" x14ac:dyDescent="0.3">
      <c r="B139" s="62" t="s">
        <v>658</v>
      </c>
      <c r="C139" s="62">
        <v>1755003235102</v>
      </c>
      <c r="D139" s="62" t="s">
        <v>684</v>
      </c>
      <c r="E139" s="62" t="s">
        <v>520</v>
      </c>
      <c r="F139" s="62" t="s">
        <v>536</v>
      </c>
    </row>
    <row r="140" spans="2:6" x14ac:dyDescent="0.3">
      <c r="B140" s="62" t="s">
        <v>426</v>
      </c>
      <c r="C140" s="62">
        <v>1755003240046</v>
      </c>
      <c r="D140" s="62" t="s">
        <v>685</v>
      </c>
      <c r="E140" s="62" t="s">
        <v>428</v>
      </c>
      <c r="F140" s="62" t="s">
        <v>455</v>
      </c>
    </row>
    <row r="141" spans="2:6" x14ac:dyDescent="0.3">
      <c r="B141" s="62" t="s">
        <v>658</v>
      </c>
      <c r="C141" s="62">
        <v>1755003244742</v>
      </c>
      <c r="D141" s="62" t="s">
        <v>686</v>
      </c>
      <c r="E141" s="62" t="s">
        <v>525</v>
      </c>
      <c r="F141" s="62" t="s">
        <v>540</v>
      </c>
    </row>
    <row r="142" spans="2:6" x14ac:dyDescent="0.3">
      <c r="B142" s="62" t="s">
        <v>658</v>
      </c>
      <c r="C142" s="62">
        <v>1755003251153</v>
      </c>
      <c r="D142" s="62" t="s">
        <v>687</v>
      </c>
      <c r="E142" s="62" t="s">
        <v>424</v>
      </c>
      <c r="F142" s="62" t="s">
        <v>461</v>
      </c>
    </row>
    <row r="143" spans="2:6" x14ac:dyDescent="0.3">
      <c r="B143" s="62" t="s">
        <v>658</v>
      </c>
      <c r="C143" s="62">
        <v>1755003259745</v>
      </c>
      <c r="D143" s="62" t="s">
        <v>688</v>
      </c>
      <c r="E143" s="62" t="s">
        <v>520</v>
      </c>
      <c r="F143" s="62" t="s">
        <v>559</v>
      </c>
    </row>
    <row r="144" spans="2:6" x14ac:dyDescent="0.3">
      <c r="B144" s="62" t="s">
        <v>658</v>
      </c>
      <c r="C144" s="62">
        <v>1755003264050</v>
      </c>
      <c r="D144" s="62" t="s">
        <v>689</v>
      </c>
      <c r="E144" s="62" t="s">
        <v>525</v>
      </c>
      <c r="F144" s="62" t="s">
        <v>561</v>
      </c>
    </row>
    <row r="145" spans="2:6" x14ac:dyDescent="0.3">
      <c r="B145" s="62" t="s">
        <v>658</v>
      </c>
      <c r="C145" s="62">
        <v>1755003265012</v>
      </c>
      <c r="D145" s="62" t="s">
        <v>690</v>
      </c>
      <c r="E145" s="62" t="s">
        <v>424</v>
      </c>
      <c r="F145" s="62" t="s">
        <v>449</v>
      </c>
    </row>
    <row r="146" spans="2:6" x14ac:dyDescent="0.3">
      <c r="B146" s="62" t="s">
        <v>658</v>
      </c>
      <c r="C146" s="62">
        <v>1755003265918</v>
      </c>
      <c r="D146" s="62" t="s">
        <v>691</v>
      </c>
      <c r="E146" s="62" t="s">
        <v>424</v>
      </c>
      <c r="F146" s="62" t="s">
        <v>451</v>
      </c>
    </row>
    <row r="147" spans="2:6" x14ac:dyDescent="0.3">
      <c r="B147" s="62" t="s">
        <v>658</v>
      </c>
      <c r="C147" s="62">
        <v>1755003267854</v>
      </c>
      <c r="D147" s="62" t="s">
        <v>692</v>
      </c>
      <c r="E147" s="62" t="s">
        <v>463</v>
      </c>
      <c r="F147" s="62" t="s">
        <v>464</v>
      </c>
    </row>
    <row r="148" spans="2:6" x14ac:dyDescent="0.3">
      <c r="B148" s="56" t="s">
        <v>693</v>
      </c>
      <c r="C148" s="56">
        <v>1755003279665</v>
      </c>
      <c r="D148" s="56" t="s">
        <v>694</v>
      </c>
      <c r="E148" s="56" t="s">
        <v>416</v>
      </c>
      <c r="F148" s="56" t="s">
        <v>573</v>
      </c>
    </row>
    <row r="149" spans="2:6" x14ac:dyDescent="0.3">
      <c r="B149" s="56" t="s">
        <v>693</v>
      </c>
      <c r="C149" s="56">
        <v>1755003279744</v>
      </c>
      <c r="D149" s="56" t="s">
        <v>695</v>
      </c>
      <c r="E149" s="56" t="s">
        <v>468</v>
      </c>
      <c r="F149" s="56" t="s">
        <v>696</v>
      </c>
    </row>
    <row r="150" spans="2:6" x14ac:dyDescent="0.3">
      <c r="B150" s="56" t="s">
        <v>693</v>
      </c>
      <c r="C150" s="56">
        <v>1755003280249</v>
      </c>
      <c r="D150" s="56" t="s">
        <v>697</v>
      </c>
      <c r="E150" s="56" t="s">
        <v>419</v>
      </c>
      <c r="F150" s="56" t="s">
        <v>420</v>
      </c>
    </row>
    <row r="151" spans="2:6" x14ac:dyDescent="0.3">
      <c r="B151" s="56" t="s">
        <v>693</v>
      </c>
      <c r="C151" s="56">
        <v>1755003299531</v>
      </c>
      <c r="D151" s="56" t="s">
        <v>698</v>
      </c>
      <c r="E151" s="56" t="s">
        <v>389</v>
      </c>
      <c r="F151" s="56" t="s">
        <v>515</v>
      </c>
    </row>
    <row r="152" spans="2:6" x14ac:dyDescent="0.3">
      <c r="B152" s="56" t="s">
        <v>693</v>
      </c>
      <c r="C152" s="56">
        <v>1755003321693</v>
      </c>
      <c r="D152" s="56" t="s">
        <v>699</v>
      </c>
      <c r="E152" s="56" t="s">
        <v>389</v>
      </c>
      <c r="F152" s="56" t="s">
        <v>394</v>
      </c>
    </row>
    <row r="153" spans="2:6" x14ac:dyDescent="0.3">
      <c r="B153" s="56" t="s">
        <v>693</v>
      </c>
      <c r="C153" s="56">
        <v>1755003327493</v>
      </c>
      <c r="D153" s="56" t="s">
        <v>700</v>
      </c>
      <c r="E153" s="56" t="s">
        <v>422</v>
      </c>
      <c r="F153" s="56" t="s">
        <v>420</v>
      </c>
    </row>
    <row r="154" spans="2:6" x14ac:dyDescent="0.3">
      <c r="B154" s="56" t="s">
        <v>693</v>
      </c>
      <c r="C154" s="56">
        <v>1755003337535</v>
      </c>
      <c r="D154" s="56" t="s">
        <v>701</v>
      </c>
      <c r="E154" s="56" t="s">
        <v>424</v>
      </c>
      <c r="F154" s="56" t="s">
        <v>549</v>
      </c>
    </row>
    <row r="155" spans="2:6" x14ac:dyDescent="0.3">
      <c r="B155" s="56" t="s">
        <v>693</v>
      </c>
      <c r="C155" s="56">
        <v>1755003342514</v>
      </c>
      <c r="D155" s="56" t="s">
        <v>702</v>
      </c>
      <c r="E155" s="56" t="s">
        <v>520</v>
      </c>
      <c r="F155" s="56" t="s">
        <v>662</v>
      </c>
    </row>
    <row r="156" spans="2:6" x14ac:dyDescent="0.3">
      <c r="B156" s="56" t="s">
        <v>693</v>
      </c>
      <c r="C156" s="56">
        <v>1755003351472</v>
      </c>
      <c r="D156" s="56" t="s">
        <v>703</v>
      </c>
      <c r="E156" s="56" t="s">
        <v>525</v>
      </c>
      <c r="F156" s="56" t="s">
        <v>663</v>
      </c>
    </row>
    <row r="157" spans="2:6" x14ac:dyDescent="0.3">
      <c r="B157" s="56" t="s">
        <v>426</v>
      </c>
      <c r="C157" s="56">
        <v>1755003356637</v>
      </c>
      <c r="D157" s="56" t="s">
        <v>704</v>
      </c>
      <c r="E157" s="56" t="s">
        <v>428</v>
      </c>
      <c r="F157" s="56" t="s">
        <v>437</v>
      </c>
    </row>
    <row r="158" spans="2:6" x14ac:dyDescent="0.3">
      <c r="B158" s="56" t="s">
        <v>693</v>
      </c>
      <c r="C158" s="56">
        <v>1755003366478</v>
      </c>
      <c r="D158" s="56" t="s">
        <v>705</v>
      </c>
      <c r="E158" s="56" t="s">
        <v>520</v>
      </c>
      <c r="F158" s="56" t="s">
        <v>664</v>
      </c>
    </row>
    <row r="159" spans="2:6" x14ac:dyDescent="0.3">
      <c r="B159" s="56" t="s">
        <v>693</v>
      </c>
      <c r="C159" s="56">
        <v>1755003371630</v>
      </c>
      <c r="D159" s="56" t="s">
        <v>706</v>
      </c>
      <c r="E159" s="56" t="s">
        <v>525</v>
      </c>
      <c r="F159" s="56" t="s">
        <v>665</v>
      </c>
    </row>
    <row r="160" spans="2:6" x14ac:dyDescent="0.3">
      <c r="B160" s="56" t="s">
        <v>426</v>
      </c>
      <c r="C160" s="56">
        <v>1755003375009</v>
      </c>
      <c r="D160" s="56" t="s">
        <v>707</v>
      </c>
      <c r="E160" s="56" t="s">
        <v>428</v>
      </c>
      <c r="F160" s="56" t="s">
        <v>439</v>
      </c>
    </row>
    <row r="161" spans="2:6" x14ac:dyDescent="0.3">
      <c r="B161" s="56" t="s">
        <v>693</v>
      </c>
      <c r="C161" s="56">
        <v>1755003382674</v>
      </c>
      <c r="D161" s="56" t="s">
        <v>708</v>
      </c>
      <c r="E161" s="56" t="s">
        <v>424</v>
      </c>
      <c r="F161" s="56" t="s">
        <v>441</v>
      </c>
    </row>
    <row r="162" spans="2:6" x14ac:dyDescent="0.3">
      <c r="B162" s="56" t="s">
        <v>693</v>
      </c>
      <c r="C162" s="56">
        <v>1755003386636</v>
      </c>
      <c r="D162" s="56" t="s">
        <v>709</v>
      </c>
      <c r="E162" s="56" t="s">
        <v>520</v>
      </c>
      <c r="F162" s="56" t="s">
        <v>521</v>
      </c>
    </row>
    <row r="163" spans="2:6" x14ac:dyDescent="0.3">
      <c r="B163" s="56" t="s">
        <v>426</v>
      </c>
      <c r="C163" s="56">
        <v>1755003390400</v>
      </c>
      <c r="D163" s="56" t="s">
        <v>710</v>
      </c>
      <c r="E163" s="56" t="s">
        <v>428</v>
      </c>
      <c r="F163" s="56" t="s">
        <v>429</v>
      </c>
    </row>
    <row r="164" spans="2:6" x14ac:dyDescent="0.3">
      <c r="B164" s="56" t="s">
        <v>693</v>
      </c>
      <c r="C164" s="56">
        <v>1755003397283</v>
      </c>
      <c r="D164" s="56" t="s">
        <v>711</v>
      </c>
      <c r="E164" s="56" t="s">
        <v>525</v>
      </c>
      <c r="F164" s="56" t="s">
        <v>526</v>
      </c>
    </row>
    <row r="165" spans="2:6" x14ac:dyDescent="0.3">
      <c r="B165" s="56" t="s">
        <v>426</v>
      </c>
      <c r="C165" s="56">
        <v>1755003406604</v>
      </c>
      <c r="D165" s="56" t="s">
        <v>712</v>
      </c>
      <c r="E165" s="56" t="s">
        <v>428</v>
      </c>
      <c r="F165" s="56" t="s">
        <v>538</v>
      </c>
    </row>
    <row r="166" spans="2:6" x14ac:dyDescent="0.3">
      <c r="B166" s="56" t="s">
        <v>693</v>
      </c>
      <c r="C166" s="56">
        <v>1755003412295</v>
      </c>
      <c r="D166" s="56" t="s">
        <v>713</v>
      </c>
      <c r="E166" s="56" t="s">
        <v>520</v>
      </c>
      <c r="F166" s="56" t="s">
        <v>662</v>
      </c>
    </row>
    <row r="167" spans="2:6" x14ac:dyDescent="0.3">
      <c r="B167" s="56" t="s">
        <v>693</v>
      </c>
      <c r="C167" s="56">
        <v>1755003415528</v>
      </c>
      <c r="D167" s="56" t="s">
        <v>714</v>
      </c>
      <c r="E167" s="56" t="s">
        <v>525</v>
      </c>
      <c r="F167" s="56" t="s">
        <v>663</v>
      </c>
    </row>
    <row r="168" spans="2:6" x14ac:dyDescent="0.3">
      <c r="B168" s="56" t="s">
        <v>693</v>
      </c>
      <c r="C168" s="56">
        <v>1755003416698</v>
      </c>
      <c r="D168" s="56" t="s">
        <v>715</v>
      </c>
      <c r="E168" s="56" t="s">
        <v>424</v>
      </c>
      <c r="F168" s="56" t="s">
        <v>667</v>
      </c>
    </row>
    <row r="169" spans="2:6" x14ac:dyDescent="0.3">
      <c r="B169" s="56" t="s">
        <v>693</v>
      </c>
      <c r="C169" s="56">
        <v>1755003417738</v>
      </c>
      <c r="D169" s="56" t="s">
        <v>716</v>
      </c>
      <c r="E169" s="56" t="s">
        <v>424</v>
      </c>
      <c r="F169" s="56" t="s">
        <v>433</v>
      </c>
    </row>
    <row r="170" spans="2:6" x14ac:dyDescent="0.3">
      <c r="B170" s="56" t="s">
        <v>693</v>
      </c>
      <c r="C170" s="56">
        <v>1755003419696</v>
      </c>
      <c r="D170" s="56" t="s">
        <v>717</v>
      </c>
      <c r="E170" s="56" t="s">
        <v>424</v>
      </c>
      <c r="F170" s="56" t="s">
        <v>518</v>
      </c>
    </row>
    <row r="171" spans="2:6" x14ac:dyDescent="0.3">
      <c r="B171" s="56" t="s">
        <v>426</v>
      </c>
      <c r="C171" s="56">
        <v>1755003424281</v>
      </c>
      <c r="D171" s="56" t="s">
        <v>718</v>
      </c>
      <c r="E171" s="56" t="s">
        <v>428</v>
      </c>
      <c r="F171" s="56" t="s">
        <v>672</v>
      </c>
    </row>
    <row r="172" spans="2:6" x14ac:dyDescent="0.3">
      <c r="B172" s="56" t="s">
        <v>693</v>
      </c>
      <c r="C172" s="56">
        <v>1755003430533</v>
      </c>
      <c r="D172" s="56" t="s">
        <v>719</v>
      </c>
      <c r="E172" s="56" t="s">
        <v>520</v>
      </c>
      <c r="F172" s="56" t="s">
        <v>559</v>
      </c>
    </row>
    <row r="173" spans="2:6" x14ac:dyDescent="0.3">
      <c r="B173" s="56" t="s">
        <v>693</v>
      </c>
      <c r="C173" s="56">
        <v>1755003434310</v>
      </c>
      <c r="D173" s="56" t="s">
        <v>720</v>
      </c>
      <c r="E173" s="56" t="s">
        <v>525</v>
      </c>
      <c r="F173" s="56" t="s">
        <v>561</v>
      </c>
    </row>
    <row r="174" spans="2:6" x14ac:dyDescent="0.3">
      <c r="B174" s="56" t="s">
        <v>693</v>
      </c>
      <c r="C174" s="56">
        <v>1755003435281</v>
      </c>
      <c r="D174" s="56" t="s">
        <v>721</v>
      </c>
      <c r="E174" s="56" t="s">
        <v>424</v>
      </c>
      <c r="F174" s="56" t="s">
        <v>457</v>
      </c>
    </row>
    <row r="175" spans="2:6" x14ac:dyDescent="0.3">
      <c r="B175" s="56" t="s">
        <v>426</v>
      </c>
      <c r="C175" s="56">
        <v>1755003438989</v>
      </c>
      <c r="D175" s="56" t="s">
        <v>722</v>
      </c>
      <c r="E175" s="56" t="s">
        <v>428</v>
      </c>
      <c r="F175" s="56" t="s">
        <v>447</v>
      </c>
    </row>
    <row r="176" spans="2:6" x14ac:dyDescent="0.3">
      <c r="B176" s="56" t="s">
        <v>693</v>
      </c>
      <c r="C176" s="56">
        <v>1755003440541</v>
      </c>
      <c r="D176" s="56" t="s">
        <v>723</v>
      </c>
      <c r="E176" s="56" t="s">
        <v>424</v>
      </c>
      <c r="F176" s="56" t="s">
        <v>459</v>
      </c>
    </row>
    <row r="177" spans="1:6" x14ac:dyDescent="0.3">
      <c r="B177" s="56" t="s">
        <v>693</v>
      </c>
      <c r="C177" s="56">
        <v>1755003449319</v>
      </c>
      <c r="D177" s="56" t="s">
        <v>724</v>
      </c>
      <c r="E177" s="56" t="s">
        <v>520</v>
      </c>
      <c r="F177" s="56" t="s">
        <v>555</v>
      </c>
    </row>
    <row r="178" spans="1:6" x14ac:dyDescent="0.3">
      <c r="B178" s="56" t="s">
        <v>693</v>
      </c>
      <c r="C178" s="56">
        <v>1755003459902</v>
      </c>
      <c r="D178" s="56" t="s">
        <v>725</v>
      </c>
      <c r="E178" s="56" t="s">
        <v>525</v>
      </c>
      <c r="F178" s="56" t="s">
        <v>557</v>
      </c>
    </row>
    <row r="179" spans="1:6" x14ac:dyDescent="0.3">
      <c r="B179" s="56" t="s">
        <v>693</v>
      </c>
      <c r="C179" s="56">
        <v>1755003474905</v>
      </c>
      <c r="D179" s="56" t="s">
        <v>726</v>
      </c>
      <c r="E179" s="56" t="s">
        <v>520</v>
      </c>
      <c r="F179" s="56" t="s">
        <v>664</v>
      </c>
    </row>
    <row r="180" spans="1:6" x14ac:dyDescent="0.3">
      <c r="B180" s="56" t="s">
        <v>693</v>
      </c>
      <c r="C180" s="56">
        <v>1755003479636</v>
      </c>
      <c r="D180" s="56" t="s">
        <v>727</v>
      </c>
      <c r="E180" s="56" t="s">
        <v>525</v>
      </c>
      <c r="F180" s="56" t="s">
        <v>665</v>
      </c>
    </row>
    <row r="181" spans="1:6" x14ac:dyDescent="0.3">
      <c r="B181" s="56" t="s">
        <v>693</v>
      </c>
      <c r="C181" s="56">
        <v>1755003480543</v>
      </c>
      <c r="D181" s="56" t="s">
        <v>728</v>
      </c>
      <c r="E181" s="56" t="s">
        <v>424</v>
      </c>
      <c r="F181" s="56" t="s">
        <v>461</v>
      </c>
    </row>
    <row r="182" spans="1:6" x14ac:dyDescent="0.3">
      <c r="B182" s="56" t="s">
        <v>693</v>
      </c>
      <c r="C182" s="56">
        <v>1755003487611</v>
      </c>
      <c r="D182" s="56" t="s">
        <v>729</v>
      </c>
      <c r="E182" s="56" t="s">
        <v>424</v>
      </c>
      <c r="F182" s="56" t="s">
        <v>425</v>
      </c>
    </row>
    <row r="183" spans="1:6" x14ac:dyDescent="0.3">
      <c r="B183" s="56" t="s">
        <v>693</v>
      </c>
      <c r="C183" s="56">
        <v>1755003494652</v>
      </c>
      <c r="D183" s="56" t="s">
        <v>730</v>
      </c>
      <c r="E183" s="56" t="s">
        <v>520</v>
      </c>
      <c r="F183" s="56" t="s">
        <v>559</v>
      </c>
    </row>
    <row r="184" spans="1:6" x14ac:dyDescent="0.3">
      <c r="B184" s="56" t="s">
        <v>693</v>
      </c>
      <c r="C184" s="56">
        <v>1755003503742</v>
      </c>
      <c r="D184" s="56" t="s">
        <v>731</v>
      </c>
      <c r="E184" s="56" t="s">
        <v>525</v>
      </c>
      <c r="F184" s="56" t="s">
        <v>561</v>
      </c>
    </row>
    <row r="185" spans="1:6" x14ac:dyDescent="0.3">
      <c r="B185" s="56" t="s">
        <v>693</v>
      </c>
      <c r="C185" s="56">
        <v>1755003504908</v>
      </c>
      <c r="D185" s="56" t="s">
        <v>732</v>
      </c>
      <c r="E185" s="56" t="s">
        <v>424</v>
      </c>
      <c r="F185" s="56" t="s">
        <v>449</v>
      </c>
    </row>
    <row r="186" spans="1:6" x14ac:dyDescent="0.3">
      <c r="B186" s="56" t="s">
        <v>693</v>
      </c>
      <c r="C186" s="56">
        <v>1755003517329</v>
      </c>
      <c r="D186" s="56" t="s">
        <v>733</v>
      </c>
      <c r="E186" s="56" t="s">
        <v>424</v>
      </c>
      <c r="F186" s="56" t="s">
        <v>451</v>
      </c>
    </row>
    <row r="187" spans="1:6" x14ac:dyDescent="0.3">
      <c r="B187" s="56" t="s">
        <v>693</v>
      </c>
      <c r="C187" s="56">
        <v>1755003518759</v>
      </c>
      <c r="D187" s="56" t="s">
        <v>734</v>
      </c>
      <c r="E187" s="56" t="s">
        <v>520</v>
      </c>
      <c r="F187" s="56" t="s">
        <v>675</v>
      </c>
    </row>
    <row r="188" spans="1:6" x14ac:dyDescent="0.3">
      <c r="B188" s="56" t="s">
        <v>693</v>
      </c>
      <c r="C188" s="56">
        <v>1755003523211</v>
      </c>
      <c r="D188" s="56" t="s">
        <v>735</v>
      </c>
      <c r="E188" s="56" t="s">
        <v>525</v>
      </c>
      <c r="F188" s="56" t="s">
        <v>677</v>
      </c>
    </row>
    <row r="189" spans="1:6" x14ac:dyDescent="0.3">
      <c r="B189" s="56" t="s">
        <v>693</v>
      </c>
      <c r="C189" s="56">
        <v>1755003524003</v>
      </c>
      <c r="D189" s="56" t="s">
        <v>736</v>
      </c>
      <c r="E189" s="56" t="s">
        <v>424</v>
      </c>
      <c r="F189" s="56" t="s">
        <v>570</v>
      </c>
    </row>
    <row r="190" spans="1:6" x14ac:dyDescent="0.3">
      <c r="B190" s="56" t="s">
        <v>693</v>
      </c>
      <c r="C190" s="56">
        <v>1755003525107</v>
      </c>
      <c r="D190" s="56" t="s">
        <v>737</v>
      </c>
      <c r="E190" s="56" t="s">
        <v>463</v>
      </c>
      <c r="F190" s="56" t="s">
        <v>464</v>
      </c>
    </row>
    <row r="191" spans="1:6" ht="18" x14ac:dyDescent="0.35">
      <c r="A191" s="61" t="s">
        <v>776</v>
      </c>
      <c r="B191" s="63" t="s">
        <v>873</v>
      </c>
      <c r="C191" s="63">
        <v>1755521359030</v>
      </c>
      <c r="D191" s="63" t="s">
        <v>874</v>
      </c>
      <c r="E191" s="63" t="s">
        <v>416</v>
      </c>
      <c r="F191" s="63" t="s">
        <v>492</v>
      </c>
    </row>
    <row r="192" spans="1:6" x14ac:dyDescent="0.3">
      <c r="B192" s="63" t="s">
        <v>873</v>
      </c>
      <c r="C192" s="63">
        <v>1755521373451</v>
      </c>
      <c r="D192" s="63" t="s">
        <v>875</v>
      </c>
      <c r="E192" s="63" t="s">
        <v>419</v>
      </c>
      <c r="F192" s="63" t="s">
        <v>420</v>
      </c>
    </row>
    <row r="193" spans="2:6" x14ac:dyDescent="0.3">
      <c r="B193" s="63" t="s">
        <v>873</v>
      </c>
      <c r="C193" s="63">
        <v>1755521377497</v>
      </c>
      <c r="D193" s="63" t="s">
        <v>876</v>
      </c>
      <c r="E193" s="63" t="s">
        <v>416</v>
      </c>
      <c r="F193" s="63" t="s">
        <v>492</v>
      </c>
    </row>
    <row r="194" spans="2:6" x14ac:dyDescent="0.3">
      <c r="B194" s="63" t="s">
        <v>873</v>
      </c>
      <c r="C194" s="63">
        <v>1755521383342</v>
      </c>
      <c r="D194" s="63" t="s">
        <v>877</v>
      </c>
      <c r="E194" s="63" t="s">
        <v>419</v>
      </c>
      <c r="F194" s="63" t="s">
        <v>420</v>
      </c>
    </row>
    <row r="195" spans="2:6" x14ac:dyDescent="0.3">
      <c r="B195" s="63" t="s">
        <v>873</v>
      </c>
      <c r="C195" s="63">
        <v>1755521416139</v>
      </c>
      <c r="D195" s="63" t="s">
        <v>878</v>
      </c>
      <c r="E195" s="63" t="s">
        <v>389</v>
      </c>
      <c r="F195" s="63" t="s">
        <v>818</v>
      </c>
    </row>
    <row r="196" spans="2:6" x14ac:dyDescent="0.3">
      <c r="B196" s="63" t="s">
        <v>873</v>
      </c>
      <c r="C196" s="63">
        <v>1755521416789</v>
      </c>
      <c r="D196" s="63" t="s">
        <v>879</v>
      </c>
      <c r="E196" s="63" t="s">
        <v>389</v>
      </c>
      <c r="F196" s="63" t="s">
        <v>659</v>
      </c>
    </row>
    <row r="197" spans="2:6" x14ac:dyDescent="0.3">
      <c r="B197" s="63" t="s">
        <v>873</v>
      </c>
      <c r="C197" s="63">
        <v>1755521424506</v>
      </c>
      <c r="D197" s="63" t="s">
        <v>880</v>
      </c>
      <c r="E197" s="63" t="s">
        <v>389</v>
      </c>
      <c r="F197" s="63" t="s">
        <v>502</v>
      </c>
    </row>
    <row r="198" spans="2:6" x14ac:dyDescent="0.3">
      <c r="B198" s="63" t="s">
        <v>873</v>
      </c>
      <c r="C198" s="63">
        <v>1755521425149</v>
      </c>
      <c r="D198" s="63" t="s">
        <v>881</v>
      </c>
      <c r="E198" s="63" t="s">
        <v>389</v>
      </c>
      <c r="F198" s="63" t="s">
        <v>504</v>
      </c>
    </row>
    <row r="199" spans="2:6" x14ac:dyDescent="0.3">
      <c r="B199" s="63" t="s">
        <v>873</v>
      </c>
      <c r="C199" s="63">
        <v>1755521425697</v>
      </c>
      <c r="D199" s="63" t="s">
        <v>882</v>
      </c>
      <c r="E199" s="63" t="s">
        <v>389</v>
      </c>
      <c r="F199" s="63" t="s">
        <v>506</v>
      </c>
    </row>
    <row r="200" spans="2:6" x14ac:dyDescent="0.3">
      <c r="B200" s="63" t="s">
        <v>873</v>
      </c>
      <c r="C200" s="63">
        <v>1755521427167</v>
      </c>
      <c r="D200" s="63" t="s">
        <v>883</v>
      </c>
      <c r="E200" s="63" t="s">
        <v>389</v>
      </c>
      <c r="F200" s="63" t="s">
        <v>390</v>
      </c>
    </row>
    <row r="201" spans="2:6" x14ac:dyDescent="0.3">
      <c r="B201" s="63" t="s">
        <v>873</v>
      </c>
      <c r="C201" s="63">
        <v>1755521427841</v>
      </c>
      <c r="D201" s="63" t="s">
        <v>884</v>
      </c>
      <c r="E201" s="63" t="s">
        <v>389</v>
      </c>
      <c r="F201" s="63" t="s">
        <v>392</v>
      </c>
    </row>
    <row r="202" spans="2:6" x14ac:dyDescent="0.3">
      <c r="B202" s="63" t="s">
        <v>873</v>
      </c>
      <c r="C202" s="63">
        <v>1755521434112</v>
      </c>
      <c r="D202" s="63" t="s">
        <v>885</v>
      </c>
      <c r="E202" s="63" t="s">
        <v>389</v>
      </c>
      <c r="F202" s="63" t="s">
        <v>508</v>
      </c>
    </row>
    <row r="203" spans="2:6" x14ac:dyDescent="0.3">
      <c r="B203" s="63" t="s">
        <v>873</v>
      </c>
      <c r="C203" s="63">
        <v>1755521434974</v>
      </c>
      <c r="D203" s="63" t="s">
        <v>886</v>
      </c>
      <c r="E203" s="63" t="s">
        <v>389</v>
      </c>
      <c r="F203" s="63" t="s">
        <v>660</v>
      </c>
    </row>
    <row r="204" spans="2:6" x14ac:dyDescent="0.3">
      <c r="B204" s="63" t="s">
        <v>873</v>
      </c>
      <c r="C204" s="63">
        <v>1755521446460</v>
      </c>
      <c r="D204" s="63" t="s">
        <v>887</v>
      </c>
      <c r="E204" s="63" t="s">
        <v>389</v>
      </c>
      <c r="F204" s="63" t="s">
        <v>511</v>
      </c>
    </row>
    <row r="205" spans="2:6" x14ac:dyDescent="0.3">
      <c r="B205" s="63" t="s">
        <v>873</v>
      </c>
      <c r="C205" s="63">
        <v>1755521448984</v>
      </c>
      <c r="D205" s="63" t="s">
        <v>888</v>
      </c>
      <c r="E205" s="63" t="s">
        <v>389</v>
      </c>
      <c r="F205" s="63" t="s">
        <v>408</v>
      </c>
    </row>
    <row r="206" spans="2:6" x14ac:dyDescent="0.3">
      <c r="B206" s="63" t="s">
        <v>873</v>
      </c>
      <c r="C206" s="63">
        <v>1755521450510</v>
      </c>
      <c r="D206" s="63" t="s">
        <v>889</v>
      </c>
      <c r="E206" s="63" t="s">
        <v>389</v>
      </c>
      <c r="F206" s="63" t="s">
        <v>495</v>
      </c>
    </row>
    <row r="207" spans="2:6" x14ac:dyDescent="0.3">
      <c r="B207" s="63" t="s">
        <v>873</v>
      </c>
      <c r="C207" s="63">
        <v>1755521451942</v>
      </c>
      <c r="D207" s="63" t="s">
        <v>890</v>
      </c>
      <c r="E207" s="63" t="s">
        <v>389</v>
      </c>
      <c r="F207" s="63" t="s">
        <v>410</v>
      </c>
    </row>
    <row r="208" spans="2:6" x14ac:dyDescent="0.3">
      <c r="B208" s="63" t="s">
        <v>873</v>
      </c>
      <c r="C208" s="63">
        <v>1755521455074</v>
      </c>
      <c r="D208" s="63" t="s">
        <v>891</v>
      </c>
      <c r="E208" s="63" t="s">
        <v>389</v>
      </c>
      <c r="F208" s="63" t="s">
        <v>414</v>
      </c>
    </row>
    <row r="209" spans="2:6" x14ac:dyDescent="0.3">
      <c r="B209" s="63" t="s">
        <v>873</v>
      </c>
      <c r="C209" s="63">
        <v>1755521462877</v>
      </c>
      <c r="D209" s="63" t="s">
        <v>892</v>
      </c>
      <c r="E209" s="63" t="s">
        <v>422</v>
      </c>
      <c r="F209" s="63" t="s">
        <v>420</v>
      </c>
    </row>
    <row r="210" spans="2:6" x14ac:dyDescent="0.3">
      <c r="B210" s="63" t="s">
        <v>873</v>
      </c>
      <c r="C210" s="63">
        <v>1755521477905</v>
      </c>
      <c r="D210" s="63" t="s">
        <v>893</v>
      </c>
      <c r="E210" s="63" t="s">
        <v>520</v>
      </c>
      <c r="F210" s="63" t="s">
        <v>662</v>
      </c>
    </row>
    <row r="211" spans="2:6" x14ac:dyDescent="0.3">
      <c r="B211" s="63" t="s">
        <v>426</v>
      </c>
      <c r="C211" s="63">
        <v>1755521481225</v>
      </c>
      <c r="D211" s="63" t="s">
        <v>894</v>
      </c>
      <c r="E211" s="63" t="s">
        <v>428</v>
      </c>
      <c r="F211" s="63" t="s">
        <v>429</v>
      </c>
    </row>
    <row r="212" spans="2:6" x14ac:dyDescent="0.3">
      <c r="B212" s="63" t="s">
        <v>873</v>
      </c>
      <c r="C212" s="63">
        <v>1755521490274</v>
      </c>
      <c r="D212" s="63" t="s">
        <v>895</v>
      </c>
      <c r="E212" s="63" t="s">
        <v>525</v>
      </c>
      <c r="F212" s="63" t="s">
        <v>663</v>
      </c>
    </row>
    <row r="213" spans="2:6" x14ac:dyDescent="0.3">
      <c r="B213" s="63" t="s">
        <v>873</v>
      </c>
      <c r="C213" s="63">
        <v>1755521494391</v>
      </c>
      <c r="D213" s="63" t="s">
        <v>896</v>
      </c>
      <c r="E213" s="63" t="s">
        <v>424</v>
      </c>
      <c r="F213" s="63" t="s">
        <v>549</v>
      </c>
    </row>
    <row r="214" spans="2:6" x14ac:dyDescent="0.3">
      <c r="B214" s="63" t="s">
        <v>873</v>
      </c>
      <c r="C214" s="63">
        <v>1755521495020</v>
      </c>
      <c r="D214" s="63" t="s">
        <v>897</v>
      </c>
      <c r="E214" s="63" t="s">
        <v>424</v>
      </c>
      <c r="F214" s="63" t="s">
        <v>551</v>
      </c>
    </row>
    <row r="215" spans="2:6" x14ac:dyDescent="0.3">
      <c r="B215" s="63" t="s">
        <v>873</v>
      </c>
      <c r="C215" s="63">
        <v>1755521495566</v>
      </c>
      <c r="D215" s="63" t="s">
        <v>898</v>
      </c>
      <c r="E215" s="63" t="s">
        <v>424</v>
      </c>
      <c r="F215" s="63" t="s">
        <v>553</v>
      </c>
    </row>
    <row r="216" spans="2:6" x14ac:dyDescent="0.3">
      <c r="B216" s="63" t="s">
        <v>873</v>
      </c>
      <c r="C216" s="63">
        <v>1755521496517</v>
      </c>
      <c r="D216" s="63" t="s">
        <v>899</v>
      </c>
      <c r="E216" s="63" t="s">
        <v>424</v>
      </c>
      <c r="F216" s="63" t="s">
        <v>441</v>
      </c>
    </row>
    <row r="217" spans="2:6" x14ac:dyDescent="0.3">
      <c r="B217" s="63" t="s">
        <v>426</v>
      </c>
      <c r="C217" s="63">
        <v>1755521498182</v>
      </c>
      <c r="D217" s="63" t="s">
        <v>900</v>
      </c>
      <c r="E217" s="63" t="s">
        <v>428</v>
      </c>
      <c r="F217" s="63" t="s">
        <v>431</v>
      </c>
    </row>
    <row r="218" spans="2:6" x14ac:dyDescent="0.3">
      <c r="B218" s="63" t="s">
        <v>873</v>
      </c>
      <c r="C218" s="63">
        <v>1755521505281</v>
      </c>
      <c r="D218" s="63" t="s">
        <v>901</v>
      </c>
      <c r="E218" s="63" t="s">
        <v>520</v>
      </c>
      <c r="F218" s="63" t="s">
        <v>608</v>
      </c>
    </row>
    <row r="219" spans="2:6" x14ac:dyDescent="0.3">
      <c r="B219" s="63" t="s">
        <v>873</v>
      </c>
      <c r="C219" s="63">
        <v>1755521513128</v>
      </c>
      <c r="D219" s="63" t="s">
        <v>902</v>
      </c>
      <c r="E219" s="63" t="s">
        <v>525</v>
      </c>
      <c r="F219" s="63" t="s">
        <v>612</v>
      </c>
    </row>
    <row r="220" spans="2:6" x14ac:dyDescent="0.3">
      <c r="B220" s="63" t="s">
        <v>426</v>
      </c>
      <c r="C220" s="63">
        <v>1755521513721</v>
      </c>
      <c r="D220" s="63" t="s">
        <v>903</v>
      </c>
      <c r="E220" s="63" t="s">
        <v>428</v>
      </c>
      <c r="F220" s="63" t="s">
        <v>538</v>
      </c>
    </row>
    <row r="221" spans="2:6" x14ac:dyDescent="0.3">
      <c r="B221" s="63" t="s">
        <v>873</v>
      </c>
      <c r="C221" s="63">
        <v>1755521514423</v>
      </c>
      <c r="D221" s="63" t="s">
        <v>904</v>
      </c>
      <c r="E221" s="63" t="s">
        <v>424</v>
      </c>
      <c r="F221" s="63" t="s">
        <v>433</v>
      </c>
    </row>
    <row r="222" spans="2:6" x14ac:dyDescent="0.3">
      <c r="B222" s="63" t="s">
        <v>873</v>
      </c>
      <c r="C222" s="63">
        <v>1755521517094</v>
      </c>
      <c r="D222" s="63" t="s">
        <v>905</v>
      </c>
      <c r="E222" s="63" t="s">
        <v>424</v>
      </c>
      <c r="F222" s="63" t="s">
        <v>518</v>
      </c>
    </row>
    <row r="223" spans="2:6" x14ac:dyDescent="0.3">
      <c r="B223" s="63" t="s">
        <v>873</v>
      </c>
      <c r="C223" s="63">
        <v>1755521518676</v>
      </c>
      <c r="D223" s="63" t="s">
        <v>906</v>
      </c>
      <c r="E223" s="63" t="s">
        <v>424</v>
      </c>
      <c r="F223" s="63" t="s">
        <v>457</v>
      </c>
    </row>
    <row r="224" spans="2:6" x14ac:dyDescent="0.3">
      <c r="B224" s="63" t="s">
        <v>873</v>
      </c>
      <c r="C224" s="63">
        <v>1755521528146</v>
      </c>
      <c r="D224" s="63" t="s">
        <v>907</v>
      </c>
      <c r="E224" s="63" t="s">
        <v>520</v>
      </c>
      <c r="F224" s="63" t="s">
        <v>662</v>
      </c>
    </row>
    <row r="225" spans="2:6" x14ac:dyDescent="0.3">
      <c r="B225" s="63" t="s">
        <v>426</v>
      </c>
      <c r="C225" s="63">
        <v>1755521530664</v>
      </c>
      <c r="D225" s="63" t="s">
        <v>908</v>
      </c>
      <c r="E225" s="63" t="s">
        <v>428</v>
      </c>
      <c r="F225" s="63" t="s">
        <v>672</v>
      </c>
    </row>
    <row r="226" spans="2:6" x14ac:dyDescent="0.3">
      <c r="B226" s="63" t="s">
        <v>873</v>
      </c>
      <c r="C226" s="63">
        <v>1755521537323</v>
      </c>
      <c r="D226" s="63" t="s">
        <v>909</v>
      </c>
      <c r="E226" s="63" t="s">
        <v>525</v>
      </c>
      <c r="F226" s="63" t="s">
        <v>663</v>
      </c>
    </row>
    <row r="227" spans="2:6" x14ac:dyDescent="0.3">
      <c r="B227" s="63" t="s">
        <v>426</v>
      </c>
      <c r="C227" s="63">
        <v>1755521547590</v>
      </c>
      <c r="D227" s="63" t="s">
        <v>910</v>
      </c>
      <c r="E227" s="63" t="s">
        <v>428</v>
      </c>
      <c r="F227" s="63" t="s">
        <v>523</v>
      </c>
    </row>
    <row r="228" spans="2:6" x14ac:dyDescent="0.3">
      <c r="B228" s="63" t="s">
        <v>873</v>
      </c>
      <c r="C228" s="63">
        <v>1755521552326</v>
      </c>
      <c r="D228" s="63" t="s">
        <v>911</v>
      </c>
      <c r="E228" s="63" t="s">
        <v>520</v>
      </c>
      <c r="F228" s="63" t="s">
        <v>615</v>
      </c>
    </row>
    <row r="229" spans="2:6" x14ac:dyDescent="0.3">
      <c r="B229" s="63" t="s">
        <v>873</v>
      </c>
      <c r="C229" s="63">
        <v>1755521557317</v>
      </c>
      <c r="D229" s="63" t="s">
        <v>912</v>
      </c>
      <c r="E229" s="63" t="s">
        <v>525</v>
      </c>
      <c r="F229" s="63" t="s">
        <v>617</v>
      </c>
    </row>
    <row r="230" spans="2:6" x14ac:dyDescent="0.3">
      <c r="B230" s="63" t="s">
        <v>873</v>
      </c>
      <c r="C230" s="63">
        <v>1755521558203</v>
      </c>
      <c r="D230" s="63" t="s">
        <v>913</v>
      </c>
      <c r="E230" s="63" t="s">
        <v>424</v>
      </c>
      <c r="F230" s="63" t="s">
        <v>459</v>
      </c>
    </row>
    <row r="231" spans="2:6" x14ac:dyDescent="0.3">
      <c r="B231" s="63" t="s">
        <v>873</v>
      </c>
      <c r="C231" s="63">
        <v>1755521559297</v>
      </c>
      <c r="D231" s="63" t="s">
        <v>914</v>
      </c>
      <c r="E231" s="63" t="s">
        <v>424</v>
      </c>
      <c r="F231" s="63" t="s">
        <v>461</v>
      </c>
    </row>
    <row r="232" spans="2:6" x14ac:dyDescent="0.3">
      <c r="B232" s="63" t="s">
        <v>426</v>
      </c>
      <c r="C232" s="63">
        <v>1755521563133</v>
      </c>
      <c r="D232" s="63" t="s">
        <v>915</v>
      </c>
      <c r="E232" s="63" t="s">
        <v>428</v>
      </c>
      <c r="F232" s="63" t="s">
        <v>447</v>
      </c>
    </row>
    <row r="233" spans="2:6" x14ac:dyDescent="0.3">
      <c r="B233" s="63" t="s">
        <v>873</v>
      </c>
      <c r="C233" s="63">
        <v>1755521564096</v>
      </c>
      <c r="D233" s="63" t="s">
        <v>916</v>
      </c>
      <c r="E233" s="63" t="s">
        <v>424</v>
      </c>
      <c r="F233" s="63" t="s">
        <v>449</v>
      </c>
    </row>
    <row r="234" spans="2:6" x14ac:dyDescent="0.3">
      <c r="B234" s="63" t="s">
        <v>873</v>
      </c>
      <c r="C234" s="63">
        <v>1755521565671</v>
      </c>
      <c r="D234" s="63" t="s">
        <v>917</v>
      </c>
      <c r="E234" s="63" t="s">
        <v>424</v>
      </c>
      <c r="F234" s="63" t="s">
        <v>451</v>
      </c>
    </row>
    <row r="235" spans="2:6" x14ac:dyDescent="0.3">
      <c r="B235" s="63" t="s">
        <v>873</v>
      </c>
      <c r="C235" s="63">
        <v>1755521572334</v>
      </c>
      <c r="D235" s="63" t="s">
        <v>918</v>
      </c>
      <c r="E235" s="63" t="s">
        <v>520</v>
      </c>
      <c r="F235" s="63" t="s">
        <v>664</v>
      </c>
    </row>
    <row r="236" spans="2:6" x14ac:dyDescent="0.3">
      <c r="B236" s="63" t="s">
        <v>873</v>
      </c>
      <c r="C236" s="63">
        <v>1755521583616</v>
      </c>
      <c r="D236" s="63" t="s">
        <v>919</v>
      </c>
      <c r="E236" s="63" t="s">
        <v>525</v>
      </c>
      <c r="F236" s="63" t="s">
        <v>665</v>
      </c>
    </row>
    <row r="237" spans="2:6" x14ac:dyDescent="0.3">
      <c r="B237" s="63" t="s">
        <v>426</v>
      </c>
      <c r="C237" s="63">
        <v>1755521584450</v>
      </c>
      <c r="D237" s="63" t="s">
        <v>920</v>
      </c>
      <c r="E237" s="63" t="s">
        <v>428</v>
      </c>
      <c r="F237" s="63" t="s">
        <v>455</v>
      </c>
    </row>
    <row r="238" spans="2:6" x14ac:dyDescent="0.3">
      <c r="B238" s="63" t="s">
        <v>873</v>
      </c>
      <c r="C238" s="63">
        <v>1755521590181</v>
      </c>
      <c r="D238" s="63" t="s">
        <v>921</v>
      </c>
      <c r="E238" s="63" t="s">
        <v>463</v>
      </c>
      <c r="F238" s="63" t="s">
        <v>464</v>
      </c>
    </row>
    <row r="239" spans="2:6" x14ac:dyDescent="0.3">
      <c r="B239" s="56" t="s">
        <v>922</v>
      </c>
      <c r="C239" s="56">
        <v>1755521601376</v>
      </c>
      <c r="D239" s="56" t="s">
        <v>923</v>
      </c>
      <c r="E239" s="56" t="s">
        <v>416</v>
      </c>
      <c r="F239" s="56" t="s">
        <v>573</v>
      </c>
    </row>
    <row r="240" spans="2:6" x14ac:dyDescent="0.3">
      <c r="B240" s="56" t="s">
        <v>922</v>
      </c>
      <c r="C240" s="56">
        <v>1755521601471</v>
      </c>
      <c r="D240" s="56" t="s">
        <v>924</v>
      </c>
      <c r="E240" s="56" t="s">
        <v>468</v>
      </c>
      <c r="F240" s="56" t="s">
        <v>925</v>
      </c>
    </row>
    <row r="241" spans="2:6" x14ac:dyDescent="0.3">
      <c r="B241" s="56" t="s">
        <v>922</v>
      </c>
      <c r="C241" s="56">
        <v>1755521615844</v>
      </c>
      <c r="D241" s="56" t="s">
        <v>926</v>
      </c>
      <c r="E241" s="56" t="s">
        <v>419</v>
      </c>
      <c r="F241" s="56" t="s">
        <v>420</v>
      </c>
    </row>
    <row r="242" spans="2:6" x14ac:dyDescent="0.3">
      <c r="B242" s="56" t="s">
        <v>922</v>
      </c>
      <c r="C242" s="56">
        <v>1755521620755</v>
      </c>
      <c r="D242" s="56" t="s">
        <v>927</v>
      </c>
      <c r="E242" s="56" t="s">
        <v>422</v>
      </c>
      <c r="F242" s="56" t="s">
        <v>420</v>
      </c>
    </row>
    <row r="243" spans="2:6" x14ac:dyDescent="0.3">
      <c r="B243" s="56" t="s">
        <v>922</v>
      </c>
      <c r="C243" s="56">
        <v>1755521635777</v>
      </c>
      <c r="D243" s="56" t="s">
        <v>928</v>
      </c>
      <c r="E243" s="56" t="s">
        <v>520</v>
      </c>
      <c r="F243" s="56" t="s">
        <v>555</v>
      </c>
    </row>
    <row r="244" spans="2:6" x14ac:dyDescent="0.3">
      <c r="B244" s="56" t="s">
        <v>426</v>
      </c>
      <c r="C244" s="56">
        <v>1755521636187</v>
      </c>
      <c r="D244" s="56" t="s">
        <v>929</v>
      </c>
      <c r="E244" s="56" t="s">
        <v>428</v>
      </c>
      <c r="F244" s="56" t="s">
        <v>429</v>
      </c>
    </row>
    <row r="245" spans="2:6" x14ac:dyDescent="0.3">
      <c r="B245" s="56" t="s">
        <v>922</v>
      </c>
      <c r="C245" s="56">
        <v>1755521648515</v>
      </c>
      <c r="D245" s="56" t="s">
        <v>930</v>
      </c>
      <c r="E245" s="56" t="s">
        <v>525</v>
      </c>
      <c r="F245" s="56" t="s">
        <v>557</v>
      </c>
    </row>
    <row r="246" spans="2:6" x14ac:dyDescent="0.3">
      <c r="B246" s="56" t="s">
        <v>426</v>
      </c>
      <c r="C246" s="56">
        <v>1755521651662</v>
      </c>
      <c r="D246" s="56" t="s">
        <v>931</v>
      </c>
      <c r="E246" s="56" t="s">
        <v>428</v>
      </c>
      <c r="F246" s="56" t="s">
        <v>431</v>
      </c>
    </row>
    <row r="247" spans="2:6" x14ac:dyDescent="0.3">
      <c r="B247" s="56" t="s">
        <v>922</v>
      </c>
      <c r="C247" s="56">
        <v>1755521653285</v>
      </c>
      <c r="D247" s="56" t="s">
        <v>932</v>
      </c>
      <c r="E247" s="56" t="s">
        <v>424</v>
      </c>
      <c r="F247" s="56" t="s">
        <v>549</v>
      </c>
    </row>
    <row r="248" spans="2:6" x14ac:dyDescent="0.3">
      <c r="B248" s="56" t="s">
        <v>922</v>
      </c>
      <c r="C248" s="56">
        <v>1755521653725</v>
      </c>
      <c r="D248" s="56" t="s">
        <v>933</v>
      </c>
      <c r="E248" s="56" t="s">
        <v>424</v>
      </c>
      <c r="F248" s="56" t="s">
        <v>551</v>
      </c>
    </row>
    <row r="249" spans="2:6" x14ac:dyDescent="0.3">
      <c r="B249" s="56" t="s">
        <v>922</v>
      </c>
      <c r="C249" s="56">
        <v>1755521654575</v>
      </c>
      <c r="D249" s="56" t="s">
        <v>934</v>
      </c>
      <c r="E249" s="56" t="s">
        <v>424</v>
      </c>
      <c r="F249" s="56" t="s">
        <v>553</v>
      </c>
    </row>
    <row r="250" spans="2:6" x14ac:dyDescent="0.3">
      <c r="B250" s="56" t="s">
        <v>922</v>
      </c>
      <c r="C250" s="56">
        <v>1755521655096</v>
      </c>
      <c r="D250" s="56" t="s">
        <v>935</v>
      </c>
      <c r="E250" s="56" t="s">
        <v>424</v>
      </c>
      <c r="F250" s="56" t="s">
        <v>441</v>
      </c>
    </row>
    <row r="251" spans="2:6" x14ac:dyDescent="0.3">
      <c r="B251" s="56" t="s">
        <v>922</v>
      </c>
      <c r="C251" s="56">
        <v>1755521656341</v>
      </c>
      <c r="D251" s="56" t="s">
        <v>936</v>
      </c>
      <c r="E251" s="56" t="s">
        <v>424</v>
      </c>
      <c r="F251" s="56" t="s">
        <v>433</v>
      </c>
    </row>
    <row r="252" spans="2:6" x14ac:dyDescent="0.3">
      <c r="B252" s="56" t="s">
        <v>922</v>
      </c>
      <c r="C252" s="56">
        <v>1755521663519</v>
      </c>
      <c r="D252" s="56" t="s">
        <v>937</v>
      </c>
      <c r="E252" s="56" t="s">
        <v>520</v>
      </c>
      <c r="F252" s="56" t="s">
        <v>559</v>
      </c>
    </row>
    <row r="253" spans="2:6" x14ac:dyDescent="0.3">
      <c r="B253" s="56" t="s">
        <v>426</v>
      </c>
      <c r="C253" s="56">
        <v>1755521667890</v>
      </c>
      <c r="D253" s="56" t="s">
        <v>938</v>
      </c>
      <c r="E253" s="56" t="s">
        <v>428</v>
      </c>
      <c r="F253" s="56" t="s">
        <v>538</v>
      </c>
    </row>
    <row r="254" spans="2:6" x14ac:dyDescent="0.3">
      <c r="B254" s="56" t="s">
        <v>922</v>
      </c>
      <c r="C254" s="56">
        <v>1755521670962</v>
      </c>
      <c r="D254" s="56" t="s">
        <v>939</v>
      </c>
      <c r="E254" s="56" t="s">
        <v>525</v>
      </c>
      <c r="F254" s="56" t="s">
        <v>561</v>
      </c>
    </row>
    <row r="255" spans="2:6" x14ac:dyDescent="0.3">
      <c r="B255" s="56" t="s">
        <v>922</v>
      </c>
      <c r="C255" s="56">
        <v>1755521676105</v>
      </c>
      <c r="D255" s="56" t="s">
        <v>940</v>
      </c>
      <c r="E255" s="56" t="s">
        <v>424</v>
      </c>
      <c r="F255" s="56" t="s">
        <v>518</v>
      </c>
    </row>
    <row r="256" spans="2:6" x14ac:dyDescent="0.3">
      <c r="B256" s="56" t="s">
        <v>426</v>
      </c>
      <c r="C256" s="56">
        <v>1755521685653</v>
      </c>
      <c r="D256" s="56" t="s">
        <v>941</v>
      </c>
      <c r="E256" s="56" t="s">
        <v>428</v>
      </c>
      <c r="F256" s="56" t="s">
        <v>672</v>
      </c>
    </row>
    <row r="257" spans="1:6" x14ac:dyDescent="0.3">
      <c r="B257" s="56" t="s">
        <v>922</v>
      </c>
      <c r="C257" s="56">
        <v>1755521685978</v>
      </c>
      <c r="D257" s="56" t="s">
        <v>942</v>
      </c>
      <c r="E257" s="56" t="s">
        <v>520</v>
      </c>
      <c r="F257" s="56" t="s">
        <v>555</v>
      </c>
    </row>
    <row r="258" spans="1:6" x14ac:dyDescent="0.3">
      <c r="B258" s="56" t="s">
        <v>922</v>
      </c>
      <c r="C258" s="56">
        <v>1755521693893</v>
      </c>
      <c r="D258" s="56" t="s">
        <v>943</v>
      </c>
      <c r="E258" s="56" t="s">
        <v>525</v>
      </c>
      <c r="F258" s="56" t="s">
        <v>557</v>
      </c>
    </row>
    <row r="259" spans="1:6" x14ac:dyDescent="0.3">
      <c r="B259" s="56" t="s">
        <v>922</v>
      </c>
      <c r="C259" s="56">
        <v>1755521694984</v>
      </c>
      <c r="D259" s="56" t="s">
        <v>944</v>
      </c>
      <c r="E259" s="56" t="s">
        <v>424</v>
      </c>
      <c r="F259" s="56" t="s">
        <v>457</v>
      </c>
    </row>
    <row r="260" spans="1:6" x14ac:dyDescent="0.3">
      <c r="B260" s="56" t="s">
        <v>922</v>
      </c>
      <c r="C260" s="56">
        <v>1755521695519</v>
      </c>
      <c r="D260" s="56" t="s">
        <v>945</v>
      </c>
      <c r="E260" s="56" t="s">
        <v>424</v>
      </c>
      <c r="F260" s="56" t="s">
        <v>459</v>
      </c>
    </row>
    <row r="261" spans="1:6" x14ac:dyDescent="0.3">
      <c r="B261" s="56" t="s">
        <v>922</v>
      </c>
      <c r="C261" s="56">
        <v>1755521698056</v>
      </c>
      <c r="D261" s="56" t="s">
        <v>946</v>
      </c>
      <c r="E261" s="56" t="s">
        <v>424</v>
      </c>
      <c r="F261" s="56" t="s">
        <v>461</v>
      </c>
    </row>
    <row r="262" spans="1:6" x14ac:dyDescent="0.3">
      <c r="B262" s="56" t="s">
        <v>426</v>
      </c>
      <c r="C262" s="56">
        <v>1755521702572</v>
      </c>
      <c r="D262" s="56" t="s">
        <v>947</v>
      </c>
      <c r="E262" s="56" t="s">
        <v>428</v>
      </c>
      <c r="F262" s="56" t="s">
        <v>523</v>
      </c>
    </row>
    <row r="263" spans="1:6" x14ac:dyDescent="0.3">
      <c r="B263" s="56" t="s">
        <v>922</v>
      </c>
      <c r="C263" s="56">
        <v>1755521708895</v>
      </c>
      <c r="D263" s="56" t="s">
        <v>948</v>
      </c>
      <c r="E263" s="56" t="s">
        <v>520</v>
      </c>
      <c r="F263" s="56" t="s">
        <v>949</v>
      </c>
    </row>
    <row r="264" spans="1:6" x14ac:dyDescent="0.3">
      <c r="B264" s="56" t="s">
        <v>922</v>
      </c>
      <c r="C264" s="56">
        <v>1755521716738</v>
      </c>
      <c r="D264" s="56" t="s">
        <v>950</v>
      </c>
      <c r="E264" s="56" t="s">
        <v>525</v>
      </c>
      <c r="F264" s="56" t="s">
        <v>951</v>
      </c>
    </row>
    <row r="265" spans="1:6" x14ac:dyDescent="0.3">
      <c r="B265" s="56" t="s">
        <v>426</v>
      </c>
      <c r="C265" s="56">
        <v>1755521717329</v>
      </c>
      <c r="D265" s="56" t="s">
        <v>952</v>
      </c>
      <c r="E265" s="56" t="s">
        <v>428</v>
      </c>
      <c r="F265" s="56" t="s">
        <v>447</v>
      </c>
    </row>
    <row r="266" spans="1:6" x14ac:dyDescent="0.3">
      <c r="B266" s="56" t="s">
        <v>922</v>
      </c>
      <c r="C266" s="56">
        <v>1755521722365</v>
      </c>
      <c r="D266" s="56" t="s">
        <v>953</v>
      </c>
      <c r="E266" s="56" t="s">
        <v>424</v>
      </c>
      <c r="F266" s="56" t="s">
        <v>449</v>
      </c>
    </row>
    <row r="267" spans="1:6" x14ac:dyDescent="0.3">
      <c r="B267" s="56" t="s">
        <v>922</v>
      </c>
      <c r="C267" s="56">
        <v>1755521726361</v>
      </c>
      <c r="D267" s="56" t="s">
        <v>954</v>
      </c>
      <c r="E267" s="56" t="s">
        <v>424</v>
      </c>
      <c r="F267" s="56" t="s">
        <v>451</v>
      </c>
    </row>
    <row r="268" spans="1:6" x14ac:dyDescent="0.3">
      <c r="B268" s="56" t="s">
        <v>922</v>
      </c>
      <c r="C268" s="56">
        <v>1755521731750</v>
      </c>
      <c r="D268" s="56" t="s">
        <v>955</v>
      </c>
      <c r="E268" s="56" t="s">
        <v>520</v>
      </c>
      <c r="F268" s="56" t="s">
        <v>615</v>
      </c>
    </row>
    <row r="269" spans="1:6" x14ac:dyDescent="0.3">
      <c r="B269" s="56" t="s">
        <v>922</v>
      </c>
      <c r="C269" s="56">
        <v>1755521737731</v>
      </c>
      <c r="D269" s="56" t="s">
        <v>956</v>
      </c>
      <c r="E269" s="56" t="s">
        <v>525</v>
      </c>
      <c r="F269" s="56" t="s">
        <v>617</v>
      </c>
    </row>
    <row r="270" spans="1:6" x14ac:dyDescent="0.3">
      <c r="B270" s="56" t="s">
        <v>426</v>
      </c>
      <c r="C270" s="56">
        <v>1755521738706</v>
      </c>
      <c r="D270" s="56" t="s">
        <v>957</v>
      </c>
      <c r="E270" s="56" t="s">
        <v>428</v>
      </c>
      <c r="F270" s="56" t="s">
        <v>455</v>
      </c>
    </row>
    <row r="271" spans="1:6" x14ac:dyDescent="0.3">
      <c r="B271" s="56" t="s">
        <v>922</v>
      </c>
      <c r="C271" s="56">
        <v>1755521750030</v>
      </c>
      <c r="D271" s="56" t="s">
        <v>958</v>
      </c>
      <c r="E271" s="56" t="s">
        <v>463</v>
      </c>
      <c r="F271" s="56" t="s">
        <v>464</v>
      </c>
    </row>
    <row r="272" spans="1:6" ht="18" x14ac:dyDescent="0.35">
      <c r="A272" s="61" t="s">
        <v>959</v>
      </c>
      <c r="B272" s="63" t="s">
        <v>960</v>
      </c>
      <c r="C272" s="63">
        <v>1755523963642</v>
      </c>
      <c r="D272" s="63" t="s">
        <v>961</v>
      </c>
      <c r="E272" s="63" t="s">
        <v>416</v>
      </c>
      <c r="F272" t="s">
        <v>492</v>
      </c>
    </row>
    <row r="273" spans="2:6" x14ac:dyDescent="0.3">
      <c r="B273" s="63" t="s">
        <v>960</v>
      </c>
      <c r="C273" s="63">
        <v>1755523964156</v>
      </c>
      <c r="D273" s="63" t="s">
        <v>962</v>
      </c>
      <c r="E273" s="63" t="s">
        <v>419</v>
      </c>
      <c r="F273" t="s">
        <v>420</v>
      </c>
    </row>
    <row r="274" spans="2:6" x14ac:dyDescent="0.3">
      <c r="B274" s="63" t="s">
        <v>960</v>
      </c>
      <c r="C274" s="63">
        <v>1755524163718</v>
      </c>
      <c r="D274" s="63" t="s">
        <v>963</v>
      </c>
      <c r="E274" s="63" t="s">
        <v>389</v>
      </c>
      <c r="F274" t="s">
        <v>964</v>
      </c>
    </row>
    <row r="275" spans="2:6" x14ac:dyDescent="0.3">
      <c r="B275" s="63" t="s">
        <v>960</v>
      </c>
      <c r="C275" s="63">
        <v>1755524163792</v>
      </c>
      <c r="D275" s="63" t="s">
        <v>965</v>
      </c>
      <c r="E275" s="63" t="s">
        <v>389</v>
      </c>
      <c r="F275" t="s">
        <v>966</v>
      </c>
    </row>
    <row r="276" spans="2:6" x14ac:dyDescent="0.3">
      <c r="B276" s="63" t="s">
        <v>960</v>
      </c>
      <c r="C276" s="63">
        <v>1755524163863</v>
      </c>
      <c r="D276" s="63" t="s">
        <v>967</v>
      </c>
      <c r="E276" s="63" t="s">
        <v>389</v>
      </c>
      <c r="F276" t="s">
        <v>968</v>
      </c>
    </row>
    <row r="277" spans="2:6" x14ac:dyDescent="0.3">
      <c r="B277" s="63" t="s">
        <v>960</v>
      </c>
      <c r="C277" s="63">
        <v>1755524163949</v>
      </c>
      <c r="D277" s="63" t="s">
        <v>969</v>
      </c>
      <c r="E277" s="63" t="s">
        <v>389</v>
      </c>
      <c r="F277" t="s">
        <v>966</v>
      </c>
    </row>
    <row r="278" spans="2:6" x14ac:dyDescent="0.3">
      <c r="B278" s="63" t="s">
        <v>960</v>
      </c>
      <c r="C278" s="63">
        <v>1755524164032</v>
      </c>
      <c r="D278" s="63" t="s">
        <v>970</v>
      </c>
      <c r="E278" s="63" t="s">
        <v>389</v>
      </c>
      <c r="F278" t="s">
        <v>964</v>
      </c>
    </row>
    <row r="279" spans="2:6" x14ac:dyDescent="0.3">
      <c r="B279" s="63" t="s">
        <v>960</v>
      </c>
      <c r="C279" s="63">
        <v>1755524164114</v>
      </c>
      <c r="D279" s="63" t="s">
        <v>971</v>
      </c>
      <c r="E279" s="63" t="s">
        <v>389</v>
      </c>
      <c r="F279" t="s">
        <v>966</v>
      </c>
    </row>
    <row r="280" spans="2:6" x14ac:dyDescent="0.3">
      <c r="B280" s="63" t="s">
        <v>960</v>
      </c>
      <c r="C280" s="63">
        <v>1755524164180</v>
      </c>
      <c r="D280" s="63" t="s">
        <v>972</v>
      </c>
      <c r="E280" s="63" t="s">
        <v>389</v>
      </c>
      <c r="F280" t="s">
        <v>968</v>
      </c>
    </row>
    <row r="281" spans="2:6" x14ac:dyDescent="0.3">
      <c r="B281" s="63" t="s">
        <v>960</v>
      </c>
      <c r="C281" s="63">
        <v>1755524164240</v>
      </c>
      <c r="D281" s="63" t="s">
        <v>973</v>
      </c>
      <c r="E281" s="63" t="s">
        <v>389</v>
      </c>
      <c r="F281" t="s">
        <v>966</v>
      </c>
    </row>
    <row r="282" spans="2:6" x14ac:dyDescent="0.3">
      <c r="B282" s="63" t="s">
        <v>960</v>
      </c>
      <c r="C282" s="63">
        <v>1755524164309</v>
      </c>
      <c r="D282" s="63" t="s">
        <v>974</v>
      </c>
      <c r="E282" s="63" t="s">
        <v>389</v>
      </c>
      <c r="F282" t="s">
        <v>964</v>
      </c>
    </row>
    <row r="283" spans="2:6" x14ac:dyDescent="0.3">
      <c r="B283" s="63" t="s">
        <v>960</v>
      </c>
      <c r="C283" s="63">
        <v>1755524164381</v>
      </c>
      <c r="D283" s="63" t="s">
        <v>975</v>
      </c>
      <c r="E283" s="63" t="s">
        <v>389</v>
      </c>
      <c r="F283" t="s">
        <v>966</v>
      </c>
    </row>
    <row r="284" spans="2:6" x14ac:dyDescent="0.3">
      <c r="B284" s="63" t="s">
        <v>960</v>
      </c>
      <c r="C284" s="63">
        <v>1755524164455</v>
      </c>
      <c r="D284" s="63" t="s">
        <v>976</v>
      </c>
      <c r="E284" s="63" t="s">
        <v>389</v>
      </c>
      <c r="F284" t="s">
        <v>968</v>
      </c>
    </row>
    <row r="285" spans="2:6" x14ac:dyDescent="0.3">
      <c r="B285" s="63" t="s">
        <v>960</v>
      </c>
      <c r="C285" s="63">
        <v>1755524164503</v>
      </c>
      <c r="D285" s="63" t="s">
        <v>977</v>
      </c>
      <c r="E285" s="63" t="s">
        <v>389</v>
      </c>
      <c r="F285" t="s">
        <v>966</v>
      </c>
    </row>
    <row r="286" spans="2:6" x14ac:dyDescent="0.3">
      <c r="B286" s="63" t="s">
        <v>960</v>
      </c>
      <c r="C286" s="63">
        <v>1755524165085</v>
      </c>
      <c r="D286" s="63" t="s">
        <v>978</v>
      </c>
      <c r="E286" s="63" t="s">
        <v>389</v>
      </c>
      <c r="F286" t="s">
        <v>979</v>
      </c>
    </row>
    <row r="287" spans="2:6" x14ac:dyDescent="0.3">
      <c r="B287" s="63" t="s">
        <v>960</v>
      </c>
      <c r="C287" s="63">
        <v>1755524165498</v>
      </c>
      <c r="D287" s="63" t="s">
        <v>980</v>
      </c>
      <c r="E287" s="63" t="s">
        <v>389</v>
      </c>
      <c r="F287" t="s">
        <v>390</v>
      </c>
    </row>
    <row r="288" spans="2:6" x14ac:dyDescent="0.3">
      <c r="B288" s="63" t="s">
        <v>960</v>
      </c>
      <c r="C288" s="63">
        <v>1755524166728</v>
      </c>
      <c r="D288" s="63" t="s">
        <v>981</v>
      </c>
      <c r="E288" s="63" t="s">
        <v>389</v>
      </c>
      <c r="F288" t="s">
        <v>392</v>
      </c>
    </row>
    <row r="289" spans="2:6" x14ac:dyDescent="0.3">
      <c r="B289" s="63" t="s">
        <v>960</v>
      </c>
      <c r="C289" s="63">
        <v>1755524168024</v>
      </c>
      <c r="D289" s="63" t="s">
        <v>982</v>
      </c>
      <c r="E289" s="63" t="s">
        <v>389</v>
      </c>
      <c r="F289" t="s">
        <v>410</v>
      </c>
    </row>
    <row r="290" spans="2:6" x14ac:dyDescent="0.3">
      <c r="B290" s="63" t="s">
        <v>960</v>
      </c>
      <c r="C290" s="63">
        <v>1755524190300</v>
      </c>
      <c r="D290" s="63" t="s">
        <v>983</v>
      </c>
      <c r="E290" s="63" t="s">
        <v>389</v>
      </c>
      <c r="F290" t="s">
        <v>394</v>
      </c>
    </row>
    <row r="291" spans="2:6" x14ac:dyDescent="0.3">
      <c r="B291" s="63" t="s">
        <v>960</v>
      </c>
      <c r="C291" s="63">
        <v>1755524194074</v>
      </c>
      <c r="D291" s="63" t="s">
        <v>984</v>
      </c>
      <c r="E291" s="63" t="s">
        <v>389</v>
      </c>
      <c r="F291" t="s">
        <v>515</v>
      </c>
    </row>
    <row r="292" spans="2:6" x14ac:dyDescent="0.3">
      <c r="B292" s="63" t="s">
        <v>960</v>
      </c>
      <c r="C292" s="63">
        <v>1755524203538</v>
      </c>
      <c r="D292" s="63" t="s">
        <v>985</v>
      </c>
      <c r="E292" s="63" t="s">
        <v>389</v>
      </c>
      <c r="F292" t="s">
        <v>502</v>
      </c>
    </row>
    <row r="293" spans="2:6" x14ac:dyDescent="0.3">
      <c r="B293" s="63" t="s">
        <v>960</v>
      </c>
      <c r="C293" s="63">
        <v>1755524204100</v>
      </c>
      <c r="D293" s="63" t="s">
        <v>986</v>
      </c>
      <c r="E293" s="63" t="s">
        <v>389</v>
      </c>
      <c r="F293" t="s">
        <v>504</v>
      </c>
    </row>
    <row r="294" spans="2:6" x14ac:dyDescent="0.3">
      <c r="B294" s="63" t="s">
        <v>960</v>
      </c>
      <c r="C294" s="63">
        <v>1755524204572</v>
      </c>
      <c r="D294" s="63" t="s">
        <v>987</v>
      </c>
      <c r="E294" s="63" t="s">
        <v>389</v>
      </c>
      <c r="F294" t="s">
        <v>506</v>
      </c>
    </row>
    <row r="295" spans="2:6" x14ac:dyDescent="0.3">
      <c r="B295" s="63" t="s">
        <v>960</v>
      </c>
      <c r="C295" s="63">
        <v>1755524232737</v>
      </c>
      <c r="D295" s="63" t="s">
        <v>988</v>
      </c>
      <c r="E295" s="63" t="s">
        <v>389</v>
      </c>
      <c r="F295" t="s">
        <v>508</v>
      </c>
    </row>
    <row r="296" spans="2:6" x14ac:dyDescent="0.3">
      <c r="B296" s="63" t="s">
        <v>960</v>
      </c>
      <c r="C296" s="63">
        <v>1755524233458</v>
      </c>
      <c r="D296" s="63" t="s">
        <v>989</v>
      </c>
      <c r="E296" s="63" t="s">
        <v>389</v>
      </c>
      <c r="F296" t="s">
        <v>660</v>
      </c>
    </row>
    <row r="297" spans="2:6" x14ac:dyDescent="0.3">
      <c r="B297" s="63" t="s">
        <v>960</v>
      </c>
      <c r="C297" s="63">
        <v>1755524245260</v>
      </c>
      <c r="D297" s="63" t="s">
        <v>990</v>
      </c>
      <c r="E297" s="63" t="s">
        <v>389</v>
      </c>
      <c r="F297" t="s">
        <v>511</v>
      </c>
    </row>
    <row r="298" spans="2:6" x14ac:dyDescent="0.3">
      <c r="B298" s="63" t="s">
        <v>960</v>
      </c>
      <c r="C298" s="63">
        <v>1755524246506</v>
      </c>
      <c r="D298" s="63" t="s">
        <v>991</v>
      </c>
      <c r="E298" s="63" t="s">
        <v>389</v>
      </c>
      <c r="F298" t="s">
        <v>408</v>
      </c>
    </row>
    <row r="299" spans="2:6" x14ac:dyDescent="0.3">
      <c r="B299" s="63" t="s">
        <v>960</v>
      </c>
      <c r="C299" s="63">
        <v>1755524286692</v>
      </c>
      <c r="D299" s="63" t="s">
        <v>992</v>
      </c>
      <c r="E299" s="63" t="s">
        <v>422</v>
      </c>
      <c r="F299" t="s">
        <v>420</v>
      </c>
    </row>
    <row r="300" spans="2:6" x14ac:dyDescent="0.3">
      <c r="B300" s="63" t="s">
        <v>960</v>
      </c>
      <c r="C300" s="63">
        <v>1755524301725</v>
      </c>
      <c r="D300" s="63" t="s">
        <v>993</v>
      </c>
      <c r="E300" s="63" t="s">
        <v>520</v>
      </c>
      <c r="F300" t="s">
        <v>994</v>
      </c>
    </row>
    <row r="301" spans="2:6" x14ac:dyDescent="0.3">
      <c r="B301" s="63" t="s">
        <v>426</v>
      </c>
      <c r="C301" s="63">
        <v>1755524302167</v>
      </c>
      <c r="D301" s="63" t="s">
        <v>995</v>
      </c>
      <c r="E301" s="63" t="s">
        <v>428</v>
      </c>
      <c r="F301" t="s">
        <v>538</v>
      </c>
    </row>
    <row r="302" spans="2:6" x14ac:dyDescent="0.3">
      <c r="B302" s="63" t="s">
        <v>960</v>
      </c>
      <c r="C302" s="63">
        <v>1755524312570</v>
      </c>
      <c r="D302" s="63" t="s">
        <v>996</v>
      </c>
      <c r="E302" s="63" t="s">
        <v>525</v>
      </c>
      <c r="F302" t="s">
        <v>997</v>
      </c>
    </row>
    <row r="303" spans="2:6" x14ac:dyDescent="0.3">
      <c r="B303" s="63" t="s">
        <v>426</v>
      </c>
      <c r="C303" s="63">
        <v>1755524319148</v>
      </c>
      <c r="D303" s="63" t="s">
        <v>998</v>
      </c>
      <c r="E303" s="63" t="s">
        <v>428</v>
      </c>
      <c r="F303" t="s">
        <v>672</v>
      </c>
    </row>
    <row r="304" spans="2:6" x14ac:dyDescent="0.3">
      <c r="B304" s="63" t="s">
        <v>960</v>
      </c>
      <c r="C304" s="63">
        <v>1755524327575</v>
      </c>
      <c r="D304" s="63" t="s">
        <v>999</v>
      </c>
      <c r="E304" s="63" t="s">
        <v>520</v>
      </c>
      <c r="F304" t="s">
        <v>608</v>
      </c>
    </row>
    <row r="305" spans="2:6" x14ac:dyDescent="0.3">
      <c r="B305" s="63" t="s">
        <v>426</v>
      </c>
      <c r="C305" s="63">
        <v>1755524336841</v>
      </c>
      <c r="D305" s="63" t="s">
        <v>1000</v>
      </c>
      <c r="E305" s="63" t="s">
        <v>428</v>
      </c>
      <c r="F305" t="s">
        <v>429</v>
      </c>
    </row>
    <row r="306" spans="2:6" x14ac:dyDescent="0.3">
      <c r="B306" s="63" t="s">
        <v>960</v>
      </c>
      <c r="C306" s="63">
        <v>1755524344093</v>
      </c>
      <c r="D306" s="63" t="s">
        <v>1001</v>
      </c>
      <c r="E306" s="63" t="s">
        <v>525</v>
      </c>
      <c r="F306" t="s">
        <v>612</v>
      </c>
    </row>
    <row r="307" spans="2:6" x14ac:dyDescent="0.3">
      <c r="B307" s="63" t="s">
        <v>960</v>
      </c>
      <c r="C307" s="63">
        <v>1755524348013</v>
      </c>
      <c r="D307" s="63" t="s">
        <v>1002</v>
      </c>
      <c r="E307" s="63" t="s">
        <v>424</v>
      </c>
      <c r="F307" t="s">
        <v>549</v>
      </c>
    </row>
    <row r="308" spans="2:6" x14ac:dyDescent="0.3">
      <c r="B308" s="63" t="s">
        <v>960</v>
      </c>
      <c r="C308" s="63">
        <v>1755524348371</v>
      </c>
      <c r="D308" s="63" t="s">
        <v>1003</v>
      </c>
      <c r="E308" s="63" t="s">
        <v>424</v>
      </c>
      <c r="F308" t="s">
        <v>551</v>
      </c>
    </row>
    <row r="309" spans="2:6" x14ac:dyDescent="0.3">
      <c r="B309" s="63" t="s">
        <v>960</v>
      </c>
      <c r="C309" s="63">
        <v>1755524348824</v>
      </c>
      <c r="D309" s="63" t="s">
        <v>1004</v>
      </c>
      <c r="E309" s="63" t="s">
        <v>424</v>
      </c>
      <c r="F309" t="s">
        <v>553</v>
      </c>
    </row>
    <row r="310" spans="2:6" x14ac:dyDescent="0.3">
      <c r="B310" s="63" t="s">
        <v>960</v>
      </c>
      <c r="C310" s="63">
        <v>1755524349324</v>
      </c>
      <c r="D310" s="63" t="s">
        <v>1005</v>
      </c>
      <c r="E310" s="63" t="s">
        <v>424</v>
      </c>
      <c r="F310" t="s">
        <v>441</v>
      </c>
    </row>
    <row r="311" spans="2:6" x14ac:dyDescent="0.3">
      <c r="B311" s="63" t="s">
        <v>426</v>
      </c>
      <c r="C311" s="63">
        <v>1755524353866</v>
      </c>
      <c r="D311" s="63" t="s">
        <v>1006</v>
      </c>
      <c r="E311" s="63" t="s">
        <v>428</v>
      </c>
      <c r="F311" t="s">
        <v>431</v>
      </c>
    </row>
    <row r="312" spans="2:6" x14ac:dyDescent="0.3">
      <c r="B312" s="63" t="s">
        <v>960</v>
      </c>
      <c r="C312" s="63">
        <v>1755524358955</v>
      </c>
      <c r="D312" s="63" t="s">
        <v>1007</v>
      </c>
      <c r="E312" s="63" t="s">
        <v>424</v>
      </c>
      <c r="F312" t="s">
        <v>433</v>
      </c>
    </row>
    <row r="313" spans="2:6" x14ac:dyDescent="0.3">
      <c r="B313" s="63" t="s">
        <v>960</v>
      </c>
      <c r="C313" s="63">
        <v>1755524359105</v>
      </c>
      <c r="D313" s="63" t="s">
        <v>1008</v>
      </c>
      <c r="E313" s="63" t="s">
        <v>520</v>
      </c>
      <c r="F313" t="s">
        <v>559</v>
      </c>
    </row>
    <row r="314" spans="2:6" x14ac:dyDescent="0.3">
      <c r="B314" s="63" t="s">
        <v>960</v>
      </c>
      <c r="C314" s="63">
        <v>1755524363210</v>
      </c>
      <c r="D314" s="63" t="s">
        <v>1009</v>
      </c>
      <c r="E314" s="63" t="s">
        <v>525</v>
      </c>
      <c r="F314" t="s">
        <v>561</v>
      </c>
    </row>
    <row r="315" spans="2:6" x14ac:dyDescent="0.3">
      <c r="B315" s="63" t="s">
        <v>426</v>
      </c>
      <c r="C315" s="63">
        <v>1755524369362</v>
      </c>
      <c r="D315" s="63" t="s">
        <v>1010</v>
      </c>
      <c r="E315" s="63" t="s">
        <v>428</v>
      </c>
      <c r="F315" t="s">
        <v>447</v>
      </c>
    </row>
    <row r="316" spans="2:6" x14ac:dyDescent="0.3">
      <c r="B316" s="63" t="s">
        <v>960</v>
      </c>
      <c r="C316" s="63">
        <v>1755524375568</v>
      </c>
      <c r="D316" s="63" t="s">
        <v>1011</v>
      </c>
      <c r="E316" s="63" t="s">
        <v>424</v>
      </c>
      <c r="F316" t="s">
        <v>449</v>
      </c>
    </row>
    <row r="317" spans="2:6" x14ac:dyDescent="0.3">
      <c r="B317" s="63" t="s">
        <v>960</v>
      </c>
      <c r="C317" s="63">
        <v>1755524378020</v>
      </c>
      <c r="D317" s="63" t="s">
        <v>1012</v>
      </c>
      <c r="E317" s="63" t="s">
        <v>424</v>
      </c>
      <c r="F317" t="s">
        <v>451</v>
      </c>
    </row>
    <row r="318" spans="2:6" x14ac:dyDescent="0.3">
      <c r="B318" s="63" t="s">
        <v>960</v>
      </c>
      <c r="C318" s="63">
        <v>1755524378219</v>
      </c>
      <c r="D318" s="63" t="s">
        <v>1013</v>
      </c>
      <c r="E318" s="63" t="s">
        <v>520</v>
      </c>
      <c r="F318" t="s">
        <v>536</v>
      </c>
    </row>
    <row r="319" spans="2:6" x14ac:dyDescent="0.3">
      <c r="B319" s="63" t="s">
        <v>960</v>
      </c>
      <c r="C319" s="63">
        <v>1755524383207</v>
      </c>
      <c r="D319" s="63" t="s">
        <v>1014</v>
      </c>
      <c r="E319" s="63" t="s">
        <v>525</v>
      </c>
      <c r="F319" t="s">
        <v>540</v>
      </c>
    </row>
    <row r="320" spans="2:6" x14ac:dyDescent="0.3">
      <c r="B320" s="63" t="s">
        <v>960</v>
      </c>
      <c r="C320" s="63">
        <v>1755524398215</v>
      </c>
      <c r="D320" s="63" t="s">
        <v>1015</v>
      </c>
      <c r="E320" s="63" t="s">
        <v>520</v>
      </c>
      <c r="F320" t="s">
        <v>589</v>
      </c>
    </row>
    <row r="321" spans="2:6" x14ac:dyDescent="0.3">
      <c r="B321" s="63" t="s">
        <v>960</v>
      </c>
      <c r="C321" s="63">
        <v>1755524441050</v>
      </c>
      <c r="D321" s="63" t="s">
        <v>1016</v>
      </c>
      <c r="E321" s="63" t="s">
        <v>525</v>
      </c>
      <c r="F321" t="s">
        <v>592</v>
      </c>
    </row>
    <row r="322" spans="2:6" x14ac:dyDescent="0.3">
      <c r="B322" s="63" t="s">
        <v>960</v>
      </c>
      <c r="C322" s="63">
        <v>1755524443680</v>
      </c>
      <c r="D322" s="63" t="s">
        <v>1017</v>
      </c>
      <c r="E322" s="63" t="s">
        <v>424</v>
      </c>
      <c r="F322" t="s">
        <v>425</v>
      </c>
    </row>
    <row r="323" spans="2:6" x14ac:dyDescent="0.3">
      <c r="B323" s="63" t="s">
        <v>960</v>
      </c>
      <c r="C323" s="63">
        <v>1755524443911</v>
      </c>
      <c r="D323" s="63" t="s">
        <v>1018</v>
      </c>
      <c r="E323" s="63" t="s">
        <v>424</v>
      </c>
      <c r="F323" t="s">
        <v>570</v>
      </c>
    </row>
    <row r="324" spans="2:6" x14ac:dyDescent="0.3">
      <c r="B324" s="63" t="s">
        <v>960</v>
      </c>
      <c r="C324" s="63">
        <v>1755524444488</v>
      </c>
      <c r="D324" s="63" t="s">
        <v>1019</v>
      </c>
      <c r="E324" s="63" t="s">
        <v>424</v>
      </c>
      <c r="F324" t="s">
        <v>518</v>
      </c>
    </row>
    <row r="325" spans="2:6" x14ac:dyDescent="0.3">
      <c r="B325" s="63" t="s">
        <v>960</v>
      </c>
      <c r="C325" s="63">
        <v>1755524444900</v>
      </c>
      <c r="D325" s="63" t="s">
        <v>1020</v>
      </c>
      <c r="E325" s="63" t="s">
        <v>424</v>
      </c>
      <c r="F325" t="s">
        <v>457</v>
      </c>
    </row>
    <row r="326" spans="2:6" x14ac:dyDescent="0.3">
      <c r="B326" s="63" t="s">
        <v>960</v>
      </c>
      <c r="C326" s="63">
        <v>1755524445194</v>
      </c>
      <c r="D326" s="63" t="s">
        <v>1021</v>
      </c>
      <c r="E326" s="63" t="s">
        <v>424</v>
      </c>
      <c r="F326" t="s">
        <v>459</v>
      </c>
    </row>
    <row r="327" spans="2:6" x14ac:dyDescent="0.3">
      <c r="B327" s="63" t="s">
        <v>960</v>
      </c>
      <c r="C327" s="63">
        <v>1755524445622</v>
      </c>
      <c r="D327" s="63" t="s">
        <v>1022</v>
      </c>
      <c r="E327" s="63" t="s">
        <v>424</v>
      </c>
      <c r="F327" t="s">
        <v>461</v>
      </c>
    </row>
    <row r="328" spans="2:6" x14ac:dyDescent="0.3">
      <c r="B328" s="63" t="s">
        <v>960</v>
      </c>
      <c r="C328" s="63">
        <v>1755524446365</v>
      </c>
      <c r="D328" s="63" t="s">
        <v>1023</v>
      </c>
      <c r="E328" s="63" t="s">
        <v>463</v>
      </c>
      <c r="F328" t="s">
        <v>464</v>
      </c>
    </row>
    <row r="329" spans="2:6" x14ac:dyDescent="0.3">
      <c r="B329" s="65" t="s">
        <v>1024</v>
      </c>
      <c r="C329" s="65">
        <v>1755524459298</v>
      </c>
      <c r="D329" s="65" t="s">
        <v>1025</v>
      </c>
      <c r="E329" s="65" t="s">
        <v>416</v>
      </c>
      <c r="F329" s="65" t="s">
        <v>573</v>
      </c>
    </row>
    <row r="330" spans="2:6" x14ac:dyDescent="0.3">
      <c r="B330" s="65" t="s">
        <v>1024</v>
      </c>
      <c r="C330" s="65">
        <v>1755524459389</v>
      </c>
      <c r="D330" s="65" t="s">
        <v>1026</v>
      </c>
      <c r="E330" s="65" t="s">
        <v>468</v>
      </c>
      <c r="F330" s="65" t="s">
        <v>1027</v>
      </c>
    </row>
    <row r="331" spans="2:6" x14ac:dyDescent="0.3">
      <c r="B331" s="65" t="s">
        <v>1024</v>
      </c>
      <c r="C331" s="65">
        <v>1755524473555</v>
      </c>
      <c r="D331" s="65" t="s">
        <v>1028</v>
      </c>
      <c r="E331" s="65" t="s">
        <v>419</v>
      </c>
      <c r="F331" s="65" t="s">
        <v>420</v>
      </c>
    </row>
    <row r="332" spans="2:6" x14ac:dyDescent="0.3">
      <c r="B332" s="65" t="s">
        <v>1024</v>
      </c>
      <c r="C332" s="65">
        <v>1755524507706</v>
      </c>
      <c r="D332" s="65" t="s">
        <v>1029</v>
      </c>
      <c r="E332" s="65" t="s">
        <v>389</v>
      </c>
      <c r="F332" s="65" t="s">
        <v>406</v>
      </c>
    </row>
    <row r="333" spans="2:6" x14ac:dyDescent="0.3">
      <c r="B333" s="65" t="s">
        <v>1024</v>
      </c>
      <c r="C333" s="65">
        <v>1755524517881</v>
      </c>
      <c r="D333" s="65" t="s">
        <v>1030</v>
      </c>
      <c r="E333" s="65" t="s">
        <v>389</v>
      </c>
      <c r="F333" s="65" t="s">
        <v>581</v>
      </c>
    </row>
    <row r="334" spans="2:6" x14ac:dyDescent="0.3">
      <c r="B334" s="65" t="s">
        <v>1024</v>
      </c>
      <c r="C334" s="65">
        <v>1755524529522</v>
      </c>
      <c r="D334" s="65" t="s">
        <v>1031</v>
      </c>
      <c r="E334" s="65" t="s">
        <v>422</v>
      </c>
      <c r="F334" s="65" t="s">
        <v>420</v>
      </c>
    </row>
    <row r="335" spans="2:6" x14ac:dyDescent="0.3">
      <c r="B335" s="65" t="s">
        <v>1024</v>
      </c>
      <c r="C335" s="65">
        <v>1755524544541</v>
      </c>
      <c r="D335" s="65" t="s">
        <v>1032</v>
      </c>
      <c r="E335" s="65" t="s">
        <v>520</v>
      </c>
      <c r="F335" s="65" t="s">
        <v>521</v>
      </c>
    </row>
    <row r="336" spans="2:6" x14ac:dyDescent="0.3">
      <c r="B336" s="65" t="s">
        <v>426</v>
      </c>
      <c r="C336" s="65">
        <v>1755524545022</v>
      </c>
      <c r="D336" s="65" t="s">
        <v>1033</v>
      </c>
      <c r="E336" s="65" t="s">
        <v>428</v>
      </c>
      <c r="F336" s="65" t="s">
        <v>429</v>
      </c>
    </row>
    <row r="337" spans="2:6" x14ac:dyDescent="0.3">
      <c r="B337" s="65" t="s">
        <v>426</v>
      </c>
      <c r="C337" s="65">
        <v>1755524560540</v>
      </c>
      <c r="D337" s="65" t="s">
        <v>1034</v>
      </c>
      <c r="E337" s="65" t="s">
        <v>428</v>
      </c>
      <c r="F337" s="65" t="s">
        <v>431</v>
      </c>
    </row>
    <row r="338" spans="2:6" x14ac:dyDescent="0.3">
      <c r="B338" s="65" t="s">
        <v>426</v>
      </c>
      <c r="C338" s="65">
        <v>1755524576786</v>
      </c>
      <c r="D338" s="65" t="s">
        <v>1035</v>
      </c>
      <c r="E338" s="65" t="s">
        <v>428</v>
      </c>
      <c r="F338" s="65" t="s">
        <v>538</v>
      </c>
    </row>
    <row r="339" spans="2:6" x14ac:dyDescent="0.3">
      <c r="B339" s="65" t="s">
        <v>1024</v>
      </c>
      <c r="C339" s="65">
        <v>1755524586675</v>
      </c>
      <c r="D339" s="65" t="s">
        <v>1036</v>
      </c>
      <c r="E339" s="65" t="s">
        <v>525</v>
      </c>
      <c r="F339" s="65" t="s">
        <v>526</v>
      </c>
    </row>
    <row r="340" spans="2:6" x14ac:dyDescent="0.3">
      <c r="B340" s="65" t="s">
        <v>426</v>
      </c>
      <c r="C340" s="65">
        <v>1755524594471</v>
      </c>
      <c r="D340" s="65" t="s">
        <v>1037</v>
      </c>
      <c r="E340" s="65" t="s">
        <v>428</v>
      </c>
      <c r="F340" s="65" t="s">
        <v>672</v>
      </c>
    </row>
    <row r="341" spans="2:6" x14ac:dyDescent="0.3">
      <c r="B341" s="65" t="s">
        <v>1024</v>
      </c>
      <c r="C341" s="65">
        <v>1755524601683</v>
      </c>
      <c r="D341" s="65" t="s">
        <v>1038</v>
      </c>
      <c r="E341" s="65" t="s">
        <v>520</v>
      </c>
      <c r="F341" s="65" t="s">
        <v>615</v>
      </c>
    </row>
    <row r="342" spans="2:6" x14ac:dyDescent="0.3">
      <c r="B342" s="65" t="s">
        <v>426</v>
      </c>
      <c r="C342" s="65">
        <v>1755524609268</v>
      </c>
      <c r="D342" s="65" t="s">
        <v>1039</v>
      </c>
      <c r="E342" s="65" t="s">
        <v>428</v>
      </c>
      <c r="F342" s="65" t="s">
        <v>453</v>
      </c>
    </row>
    <row r="343" spans="2:6" x14ac:dyDescent="0.3">
      <c r="B343" s="65" t="s">
        <v>1024</v>
      </c>
      <c r="C343" s="65">
        <v>1755524617989</v>
      </c>
      <c r="D343" s="65" t="s">
        <v>1040</v>
      </c>
      <c r="E343" s="65" t="s">
        <v>525</v>
      </c>
      <c r="F343" s="65" t="s">
        <v>617</v>
      </c>
    </row>
    <row r="344" spans="2:6" x14ac:dyDescent="0.3">
      <c r="B344" s="65" t="s">
        <v>1024</v>
      </c>
      <c r="C344" s="65">
        <v>1755524620203</v>
      </c>
      <c r="D344" s="65" t="s">
        <v>1041</v>
      </c>
      <c r="E344" s="65" t="s">
        <v>424</v>
      </c>
      <c r="F344" s="65" t="s">
        <v>549</v>
      </c>
    </row>
    <row r="345" spans="2:6" x14ac:dyDescent="0.3">
      <c r="B345" s="65" t="s">
        <v>1024</v>
      </c>
      <c r="C345" s="65">
        <v>1755524620791</v>
      </c>
      <c r="D345" s="65" t="s">
        <v>1042</v>
      </c>
      <c r="E345" s="65" t="s">
        <v>424</v>
      </c>
      <c r="F345" s="65" t="s">
        <v>551</v>
      </c>
    </row>
    <row r="346" spans="2:6" x14ac:dyDescent="0.3">
      <c r="B346" s="65" t="s">
        <v>1024</v>
      </c>
      <c r="C346" s="65">
        <v>1755524621360</v>
      </c>
      <c r="D346" s="65" t="s">
        <v>1043</v>
      </c>
      <c r="E346" s="65" t="s">
        <v>424</v>
      </c>
      <c r="F346" s="65" t="s">
        <v>553</v>
      </c>
    </row>
    <row r="347" spans="2:6" x14ac:dyDescent="0.3">
      <c r="B347" s="65" t="s">
        <v>1024</v>
      </c>
      <c r="C347" s="65">
        <v>1755524621976</v>
      </c>
      <c r="D347" s="65" t="s">
        <v>1044</v>
      </c>
      <c r="E347" s="65" t="s">
        <v>424</v>
      </c>
      <c r="F347" s="65" t="s">
        <v>441</v>
      </c>
    </row>
    <row r="348" spans="2:6" x14ac:dyDescent="0.3">
      <c r="B348" s="65" t="s">
        <v>1024</v>
      </c>
      <c r="C348" s="65">
        <v>1755524623632</v>
      </c>
      <c r="D348" s="65" t="s">
        <v>1045</v>
      </c>
      <c r="E348" s="65" t="s">
        <v>424</v>
      </c>
      <c r="F348" s="65" t="s">
        <v>433</v>
      </c>
    </row>
    <row r="349" spans="2:6" x14ac:dyDescent="0.3">
      <c r="B349" s="65" t="s">
        <v>1024</v>
      </c>
      <c r="C349" s="65">
        <v>1755524627138</v>
      </c>
      <c r="D349" s="65" t="s">
        <v>1046</v>
      </c>
      <c r="E349" s="65" t="s">
        <v>424</v>
      </c>
      <c r="F349" s="65" t="s">
        <v>457</v>
      </c>
    </row>
    <row r="350" spans="2:6" x14ac:dyDescent="0.3">
      <c r="B350" s="65" t="s">
        <v>1024</v>
      </c>
      <c r="C350" s="65">
        <v>1755524633000</v>
      </c>
      <c r="D350" s="65" t="s">
        <v>1047</v>
      </c>
      <c r="E350" s="65" t="s">
        <v>520</v>
      </c>
      <c r="F350" s="65" t="s">
        <v>994</v>
      </c>
    </row>
    <row r="351" spans="2:6" x14ac:dyDescent="0.3">
      <c r="B351" s="65" t="s">
        <v>426</v>
      </c>
      <c r="C351" s="65">
        <v>1755524645179</v>
      </c>
      <c r="D351" s="65" t="s">
        <v>1048</v>
      </c>
      <c r="E351" s="65" t="s">
        <v>428</v>
      </c>
      <c r="F351" s="65" t="s">
        <v>610</v>
      </c>
    </row>
    <row r="352" spans="2:6" x14ac:dyDescent="0.3">
      <c r="B352" s="65" t="s">
        <v>426</v>
      </c>
      <c r="C352" s="65">
        <v>1755524659975</v>
      </c>
      <c r="D352" s="65" t="s">
        <v>1049</v>
      </c>
      <c r="E352" s="65" t="s">
        <v>428</v>
      </c>
      <c r="F352" s="65" t="s">
        <v>447</v>
      </c>
    </row>
    <row r="353" spans="1:6" x14ac:dyDescent="0.3">
      <c r="B353" s="65" t="s">
        <v>1024</v>
      </c>
      <c r="C353" s="65">
        <v>1755524696554</v>
      </c>
      <c r="D353" s="65" t="s">
        <v>1050</v>
      </c>
      <c r="E353" s="65" t="s">
        <v>525</v>
      </c>
      <c r="F353" s="65" t="s">
        <v>997</v>
      </c>
    </row>
    <row r="354" spans="1:6" x14ac:dyDescent="0.3">
      <c r="B354" s="65" t="s">
        <v>1024</v>
      </c>
      <c r="C354" s="65">
        <v>1755524698439</v>
      </c>
      <c r="D354" s="65" t="s">
        <v>1051</v>
      </c>
      <c r="E354" s="65" t="s">
        <v>424</v>
      </c>
      <c r="F354" s="65" t="s">
        <v>461</v>
      </c>
    </row>
    <row r="355" spans="1:6" x14ac:dyDescent="0.3">
      <c r="B355" s="65" t="s">
        <v>1024</v>
      </c>
      <c r="C355" s="65">
        <v>1755524698702</v>
      </c>
      <c r="D355" s="65" t="s">
        <v>1052</v>
      </c>
      <c r="E355" s="65" t="s">
        <v>424</v>
      </c>
      <c r="F355" s="65" t="s">
        <v>425</v>
      </c>
    </row>
    <row r="356" spans="1:6" x14ac:dyDescent="0.3">
      <c r="B356" s="65" t="s">
        <v>1024</v>
      </c>
      <c r="C356" s="65">
        <v>1755524699032</v>
      </c>
      <c r="D356" s="65" t="s">
        <v>1053</v>
      </c>
      <c r="E356" s="65" t="s">
        <v>424</v>
      </c>
      <c r="F356" s="65" t="s">
        <v>449</v>
      </c>
    </row>
    <row r="357" spans="1:6" x14ac:dyDescent="0.3">
      <c r="B357" s="65" t="s">
        <v>1024</v>
      </c>
      <c r="C357" s="65">
        <v>1755524699393</v>
      </c>
      <c r="D357" s="65" t="s">
        <v>1054</v>
      </c>
      <c r="E357" s="65" t="s">
        <v>424</v>
      </c>
      <c r="F357" s="65" t="s">
        <v>451</v>
      </c>
    </row>
    <row r="358" spans="1:6" x14ac:dyDescent="0.3">
      <c r="B358" s="65" t="s">
        <v>1024</v>
      </c>
      <c r="C358" s="65">
        <v>1755524700007</v>
      </c>
      <c r="D358" s="65" t="s">
        <v>1055</v>
      </c>
      <c r="E358" s="65" t="s">
        <v>424</v>
      </c>
      <c r="F358" s="65" t="s">
        <v>570</v>
      </c>
    </row>
    <row r="359" spans="1:6" x14ac:dyDescent="0.3">
      <c r="B359" s="65" t="s">
        <v>1024</v>
      </c>
      <c r="C359" s="65">
        <v>1755524700588</v>
      </c>
      <c r="D359" s="65" t="s">
        <v>1056</v>
      </c>
      <c r="E359" s="65" t="s">
        <v>463</v>
      </c>
      <c r="F359" s="65" t="s">
        <v>464</v>
      </c>
    </row>
    <row r="360" spans="1:6" ht="18" x14ac:dyDescent="0.35">
      <c r="A360" s="61" t="s">
        <v>1164</v>
      </c>
      <c r="B360" s="63" t="s">
        <v>1210</v>
      </c>
      <c r="C360" s="63">
        <v>1755684586272</v>
      </c>
      <c r="D360" s="63" t="s">
        <v>1211</v>
      </c>
      <c r="E360" s="63" t="s">
        <v>416</v>
      </c>
      <c r="F360" s="63" t="s">
        <v>492</v>
      </c>
    </row>
    <row r="361" spans="1:6" x14ac:dyDescent="0.3">
      <c r="B361" s="63" t="s">
        <v>1210</v>
      </c>
      <c r="C361" s="63">
        <v>1755684586787</v>
      </c>
      <c r="D361" s="63" t="s">
        <v>1212</v>
      </c>
      <c r="E361" s="63" t="s">
        <v>419</v>
      </c>
      <c r="F361" s="63" t="s">
        <v>420</v>
      </c>
    </row>
    <row r="362" spans="1:6" x14ac:dyDescent="0.3">
      <c r="B362" s="63" t="s">
        <v>1210</v>
      </c>
      <c r="C362" s="63">
        <v>1755684600791</v>
      </c>
      <c r="D362" s="63" t="s">
        <v>1213</v>
      </c>
      <c r="E362" s="63" t="s">
        <v>389</v>
      </c>
      <c r="F362" s="63" t="s">
        <v>1214</v>
      </c>
    </row>
    <row r="363" spans="1:6" x14ac:dyDescent="0.3">
      <c r="B363" s="63" t="s">
        <v>1210</v>
      </c>
      <c r="C363" s="63">
        <v>1755684600898</v>
      </c>
      <c r="D363" s="63" t="s">
        <v>1215</v>
      </c>
      <c r="E363" s="63" t="s">
        <v>389</v>
      </c>
      <c r="F363" s="63" t="s">
        <v>1216</v>
      </c>
    </row>
    <row r="364" spans="1:6" x14ac:dyDescent="0.3">
      <c r="B364" s="63" t="s">
        <v>1210</v>
      </c>
      <c r="C364" s="63">
        <v>1755684600976</v>
      </c>
      <c r="D364" s="63" t="s">
        <v>1217</v>
      </c>
      <c r="E364" s="63" t="s">
        <v>389</v>
      </c>
      <c r="F364" s="63" t="s">
        <v>1218</v>
      </c>
    </row>
    <row r="365" spans="1:6" x14ac:dyDescent="0.3">
      <c r="B365" s="63" t="s">
        <v>1210</v>
      </c>
      <c r="C365" s="63">
        <v>1755684601044</v>
      </c>
      <c r="D365" s="63" t="s">
        <v>1219</v>
      </c>
      <c r="E365" s="63" t="s">
        <v>389</v>
      </c>
      <c r="F365" s="63" t="s">
        <v>1216</v>
      </c>
    </row>
    <row r="366" spans="1:6" x14ac:dyDescent="0.3">
      <c r="B366" s="63" t="s">
        <v>1210</v>
      </c>
      <c r="C366" s="63">
        <v>1755684601119</v>
      </c>
      <c r="D366" s="63" t="s">
        <v>1220</v>
      </c>
      <c r="E366" s="63" t="s">
        <v>389</v>
      </c>
      <c r="F366" s="63" t="s">
        <v>1221</v>
      </c>
    </row>
    <row r="367" spans="1:6" x14ac:dyDescent="0.3">
      <c r="B367" s="63" t="s">
        <v>1210</v>
      </c>
      <c r="C367" s="63">
        <v>1755684601195</v>
      </c>
      <c r="D367" s="63" t="s">
        <v>1222</v>
      </c>
      <c r="E367" s="63" t="s">
        <v>389</v>
      </c>
      <c r="F367" s="63" t="s">
        <v>1218</v>
      </c>
    </row>
    <row r="368" spans="1:6" x14ac:dyDescent="0.3">
      <c r="B368" s="63" t="s">
        <v>1210</v>
      </c>
      <c r="C368" s="63">
        <v>1755684601263</v>
      </c>
      <c r="D368" s="63" t="s">
        <v>1223</v>
      </c>
      <c r="E368" s="63" t="s">
        <v>389</v>
      </c>
      <c r="F368" s="63" t="s">
        <v>1216</v>
      </c>
    </row>
    <row r="369" spans="2:6" x14ac:dyDescent="0.3">
      <c r="B369" s="63" t="s">
        <v>1210</v>
      </c>
      <c r="C369" s="63">
        <v>1755684601336</v>
      </c>
      <c r="D369" s="63" t="s">
        <v>1224</v>
      </c>
      <c r="E369" s="63" t="s">
        <v>389</v>
      </c>
      <c r="F369" s="63" t="s">
        <v>1218</v>
      </c>
    </row>
    <row r="370" spans="2:6" x14ac:dyDescent="0.3">
      <c r="B370" s="63" t="s">
        <v>1210</v>
      </c>
      <c r="C370" s="63">
        <v>1755684601405</v>
      </c>
      <c r="D370" s="63" t="s">
        <v>1225</v>
      </c>
      <c r="E370" s="63" t="s">
        <v>389</v>
      </c>
      <c r="F370" s="63" t="s">
        <v>1216</v>
      </c>
    </row>
    <row r="371" spans="2:6" x14ac:dyDescent="0.3">
      <c r="B371" s="63" t="s">
        <v>1210</v>
      </c>
      <c r="C371" s="63">
        <v>1755684601474</v>
      </c>
      <c r="D371" s="63" t="s">
        <v>1226</v>
      </c>
      <c r="E371" s="63" t="s">
        <v>389</v>
      </c>
      <c r="F371" s="63" t="s">
        <v>1218</v>
      </c>
    </row>
    <row r="372" spans="2:6" x14ac:dyDescent="0.3">
      <c r="B372" s="63" t="s">
        <v>1210</v>
      </c>
      <c r="C372" s="63">
        <v>1755684601541</v>
      </c>
      <c r="D372" s="63" t="s">
        <v>1227</v>
      </c>
      <c r="E372" s="63" t="s">
        <v>389</v>
      </c>
      <c r="F372" s="63" t="s">
        <v>1216</v>
      </c>
    </row>
    <row r="373" spans="2:6" x14ac:dyDescent="0.3">
      <c r="B373" s="63" t="s">
        <v>1210</v>
      </c>
      <c r="C373" s="63">
        <v>1755684601611</v>
      </c>
      <c r="D373" s="63" t="s">
        <v>1228</v>
      </c>
      <c r="E373" s="63" t="s">
        <v>389</v>
      </c>
      <c r="F373" s="63" t="s">
        <v>1218</v>
      </c>
    </row>
    <row r="374" spans="2:6" x14ac:dyDescent="0.3">
      <c r="B374" s="63" t="s">
        <v>1210</v>
      </c>
      <c r="C374" s="63">
        <v>1755684601683</v>
      </c>
      <c r="D374" s="63" t="s">
        <v>1229</v>
      </c>
      <c r="E374" s="63" t="s">
        <v>389</v>
      </c>
      <c r="F374" s="63" t="s">
        <v>1230</v>
      </c>
    </row>
    <row r="375" spans="2:6" x14ac:dyDescent="0.3">
      <c r="B375" s="63" t="s">
        <v>1210</v>
      </c>
      <c r="C375" s="63">
        <v>1755684601757</v>
      </c>
      <c r="D375" s="63" t="s">
        <v>1231</v>
      </c>
      <c r="E375" s="63" t="s">
        <v>389</v>
      </c>
      <c r="F375" s="63" t="s">
        <v>1218</v>
      </c>
    </row>
    <row r="376" spans="2:6" x14ac:dyDescent="0.3">
      <c r="B376" s="63" t="s">
        <v>1210</v>
      </c>
      <c r="C376" s="63">
        <v>1755684601883</v>
      </c>
      <c r="D376" s="63" t="s">
        <v>1232</v>
      </c>
      <c r="E376" s="63" t="s">
        <v>389</v>
      </c>
      <c r="F376" s="63" t="s">
        <v>1230</v>
      </c>
    </row>
    <row r="377" spans="2:6" x14ac:dyDescent="0.3">
      <c r="B377" s="63" t="s">
        <v>1210</v>
      </c>
      <c r="C377" s="63">
        <v>1755684601955</v>
      </c>
      <c r="D377" s="63" t="s">
        <v>1233</v>
      </c>
      <c r="E377" s="63" t="s">
        <v>389</v>
      </c>
      <c r="F377" s="63" t="s">
        <v>1234</v>
      </c>
    </row>
    <row r="378" spans="2:6" x14ac:dyDescent="0.3">
      <c r="B378" s="63" t="s">
        <v>1210</v>
      </c>
      <c r="C378" s="63">
        <v>1755684602027</v>
      </c>
      <c r="D378" s="63" t="s">
        <v>1235</v>
      </c>
      <c r="E378" s="63" t="s">
        <v>389</v>
      </c>
      <c r="F378" s="63" t="s">
        <v>1218</v>
      </c>
    </row>
    <row r="379" spans="2:6" x14ac:dyDescent="0.3">
      <c r="B379" s="63" t="s">
        <v>1210</v>
      </c>
      <c r="C379" s="63">
        <v>1755684602161</v>
      </c>
      <c r="D379" s="63" t="s">
        <v>1236</v>
      </c>
      <c r="E379" s="63" t="s">
        <v>389</v>
      </c>
      <c r="F379" s="63" t="s">
        <v>1230</v>
      </c>
    </row>
    <row r="380" spans="2:6" x14ac:dyDescent="0.3">
      <c r="B380" s="63" t="s">
        <v>1210</v>
      </c>
      <c r="C380" s="63">
        <v>1755684602309</v>
      </c>
      <c r="D380" s="63" t="s">
        <v>1237</v>
      </c>
      <c r="E380" s="63" t="s">
        <v>389</v>
      </c>
      <c r="F380" s="63" t="s">
        <v>502</v>
      </c>
    </row>
    <row r="381" spans="2:6" x14ac:dyDescent="0.3">
      <c r="B381" s="63" t="s">
        <v>1210</v>
      </c>
      <c r="C381" s="63">
        <v>1755684602460</v>
      </c>
      <c r="D381" s="63" t="s">
        <v>1238</v>
      </c>
      <c r="E381" s="63" t="s">
        <v>389</v>
      </c>
      <c r="F381" s="63" t="s">
        <v>398</v>
      </c>
    </row>
    <row r="382" spans="2:6" x14ac:dyDescent="0.3">
      <c r="B382" s="63" t="s">
        <v>1210</v>
      </c>
      <c r="C382" s="63">
        <v>1755684602613</v>
      </c>
      <c r="D382" s="63" t="s">
        <v>1239</v>
      </c>
      <c r="E382" s="63" t="s">
        <v>389</v>
      </c>
      <c r="F382" s="63" t="s">
        <v>506</v>
      </c>
    </row>
    <row r="383" spans="2:6" x14ac:dyDescent="0.3">
      <c r="B383" s="63" t="s">
        <v>1210</v>
      </c>
      <c r="C383" s="63">
        <v>1755684602752</v>
      </c>
      <c r="D383" s="63" t="s">
        <v>1240</v>
      </c>
      <c r="E383" s="63" t="s">
        <v>389</v>
      </c>
      <c r="F383" s="63" t="s">
        <v>390</v>
      </c>
    </row>
    <row r="384" spans="2:6" x14ac:dyDescent="0.3">
      <c r="B384" s="63" t="s">
        <v>1210</v>
      </c>
      <c r="C384" s="63">
        <v>1755684603660</v>
      </c>
      <c r="D384" s="63" t="s">
        <v>1241</v>
      </c>
      <c r="E384" s="63" t="s">
        <v>389</v>
      </c>
      <c r="F384" s="63" t="s">
        <v>659</v>
      </c>
    </row>
    <row r="385" spans="2:6" x14ac:dyDescent="0.3">
      <c r="B385" s="63" t="s">
        <v>1210</v>
      </c>
      <c r="C385" s="63">
        <v>1755684614266</v>
      </c>
      <c r="D385" s="63" t="s">
        <v>1242</v>
      </c>
      <c r="E385" s="63" t="s">
        <v>389</v>
      </c>
      <c r="F385" s="63" t="s">
        <v>508</v>
      </c>
    </row>
    <row r="386" spans="2:6" x14ac:dyDescent="0.3">
      <c r="B386" s="63" t="s">
        <v>1210</v>
      </c>
      <c r="C386" s="63">
        <v>1755684615201</v>
      </c>
      <c r="D386" s="63" t="s">
        <v>1243</v>
      </c>
      <c r="E386" s="63" t="s">
        <v>389</v>
      </c>
      <c r="F386" s="63" t="s">
        <v>404</v>
      </c>
    </row>
    <row r="387" spans="2:6" x14ac:dyDescent="0.3">
      <c r="B387" s="63" t="s">
        <v>1210</v>
      </c>
      <c r="C387" s="63">
        <v>1755684624729</v>
      </c>
      <c r="D387" s="63" t="s">
        <v>1244</v>
      </c>
      <c r="E387" s="63" t="s">
        <v>389</v>
      </c>
      <c r="F387" s="63" t="s">
        <v>511</v>
      </c>
    </row>
    <row r="388" spans="2:6" x14ac:dyDescent="0.3">
      <c r="B388" s="63" t="s">
        <v>1210</v>
      </c>
      <c r="C388" s="63">
        <v>1755684629752</v>
      </c>
      <c r="D388" s="63" t="s">
        <v>1245</v>
      </c>
      <c r="E388" s="63" t="s">
        <v>389</v>
      </c>
      <c r="F388" s="63" t="s">
        <v>581</v>
      </c>
    </row>
    <row r="389" spans="2:6" x14ac:dyDescent="0.3">
      <c r="B389" s="63" t="s">
        <v>1210</v>
      </c>
      <c r="C389" s="63">
        <v>1755684634221</v>
      </c>
      <c r="D389" s="63" t="s">
        <v>1246</v>
      </c>
      <c r="E389" s="63" t="s">
        <v>389</v>
      </c>
      <c r="F389" s="63" t="s">
        <v>495</v>
      </c>
    </row>
    <row r="390" spans="2:6" x14ac:dyDescent="0.3">
      <c r="B390" s="63" t="s">
        <v>1210</v>
      </c>
      <c r="C390" s="63">
        <v>1755684635745</v>
      </c>
      <c r="D390" s="63" t="s">
        <v>1247</v>
      </c>
      <c r="E390" s="63" t="s">
        <v>389</v>
      </c>
      <c r="F390" s="63" t="s">
        <v>410</v>
      </c>
    </row>
    <row r="391" spans="2:6" x14ac:dyDescent="0.3">
      <c r="B391" s="63" t="s">
        <v>1210</v>
      </c>
      <c r="C391" s="63">
        <v>1755684637153</v>
      </c>
      <c r="D391" s="63" t="s">
        <v>1248</v>
      </c>
      <c r="E391" s="63" t="s">
        <v>389</v>
      </c>
      <c r="F391" s="63" t="s">
        <v>414</v>
      </c>
    </row>
    <row r="392" spans="2:6" x14ac:dyDescent="0.3">
      <c r="B392" s="63" t="s">
        <v>1210</v>
      </c>
      <c r="C392" s="63">
        <v>1755684645364</v>
      </c>
      <c r="D392" s="63" t="s">
        <v>1249</v>
      </c>
      <c r="E392" s="63" t="s">
        <v>422</v>
      </c>
      <c r="F392" s="63" t="s">
        <v>420</v>
      </c>
    </row>
    <row r="393" spans="2:6" x14ac:dyDescent="0.3">
      <c r="B393" s="63" t="s">
        <v>1210</v>
      </c>
      <c r="C393" s="63">
        <v>1755684652740</v>
      </c>
      <c r="D393" s="63" t="s">
        <v>1250</v>
      </c>
      <c r="E393" s="63" t="s">
        <v>424</v>
      </c>
      <c r="F393" s="63" t="s">
        <v>549</v>
      </c>
    </row>
    <row r="394" spans="2:6" x14ac:dyDescent="0.3">
      <c r="B394" s="63" t="s">
        <v>1210</v>
      </c>
      <c r="C394" s="63">
        <v>1755684657244</v>
      </c>
      <c r="D394" s="63" t="s">
        <v>1251</v>
      </c>
      <c r="E394" s="63" t="s">
        <v>424</v>
      </c>
      <c r="F394" s="63" t="s">
        <v>553</v>
      </c>
    </row>
    <row r="395" spans="2:6" x14ac:dyDescent="0.3">
      <c r="B395" s="63" t="s">
        <v>1210</v>
      </c>
      <c r="C395" s="63">
        <v>1755684660405</v>
      </c>
      <c r="D395" s="63" t="s">
        <v>1252</v>
      </c>
      <c r="E395" s="63" t="s">
        <v>520</v>
      </c>
      <c r="F395" s="63" t="s">
        <v>529</v>
      </c>
    </row>
    <row r="396" spans="2:6" x14ac:dyDescent="0.3">
      <c r="B396" s="63" t="s">
        <v>1210</v>
      </c>
      <c r="C396" s="63">
        <v>1755684668920</v>
      </c>
      <c r="D396" s="63" t="s">
        <v>1253</v>
      </c>
      <c r="E396" s="63" t="s">
        <v>525</v>
      </c>
      <c r="F396" s="63" t="s">
        <v>531</v>
      </c>
    </row>
    <row r="397" spans="2:6" x14ac:dyDescent="0.3">
      <c r="B397" s="63" t="s">
        <v>426</v>
      </c>
      <c r="C397" s="63">
        <v>1755684669261</v>
      </c>
      <c r="D397" s="63" t="s">
        <v>1254</v>
      </c>
      <c r="E397" s="63" t="s">
        <v>428</v>
      </c>
      <c r="F397" s="63" t="s">
        <v>437</v>
      </c>
    </row>
    <row r="398" spans="2:6" x14ac:dyDescent="0.3">
      <c r="B398" s="63" t="s">
        <v>1210</v>
      </c>
      <c r="C398" s="63">
        <v>1755684682345</v>
      </c>
      <c r="D398" s="63" t="s">
        <v>1255</v>
      </c>
      <c r="E398" s="63" t="s">
        <v>424</v>
      </c>
      <c r="F398" s="63" t="s">
        <v>441</v>
      </c>
    </row>
    <row r="399" spans="2:6" x14ac:dyDescent="0.3">
      <c r="B399" s="63" t="s">
        <v>1210</v>
      </c>
      <c r="C399" s="63">
        <v>1755684683935</v>
      </c>
      <c r="D399" s="63" t="s">
        <v>1256</v>
      </c>
      <c r="E399" s="63" t="s">
        <v>520</v>
      </c>
      <c r="F399" s="63" t="s">
        <v>555</v>
      </c>
    </row>
    <row r="400" spans="2:6" x14ac:dyDescent="0.3">
      <c r="B400" s="63" t="s">
        <v>426</v>
      </c>
      <c r="C400" s="63">
        <v>1755684687166</v>
      </c>
      <c r="D400" s="63" t="s">
        <v>1257</v>
      </c>
      <c r="E400" s="63" t="s">
        <v>428</v>
      </c>
      <c r="F400" s="63" t="s">
        <v>429</v>
      </c>
    </row>
    <row r="401" spans="2:6" x14ac:dyDescent="0.3">
      <c r="B401" s="63" t="s">
        <v>1210</v>
      </c>
      <c r="C401" s="63">
        <v>1755684688956</v>
      </c>
      <c r="D401" s="63" t="s">
        <v>1258</v>
      </c>
      <c r="E401" s="63" t="s">
        <v>525</v>
      </c>
      <c r="F401" s="63" t="s">
        <v>557</v>
      </c>
    </row>
    <row r="402" spans="2:6" x14ac:dyDescent="0.3">
      <c r="B402" s="63" t="s">
        <v>1210</v>
      </c>
      <c r="C402" s="63">
        <v>1755684694679</v>
      </c>
      <c r="D402" s="63" t="s">
        <v>1259</v>
      </c>
      <c r="E402" s="63" t="s">
        <v>424</v>
      </c>
      <c r="F402" s="63" t="s">
        <v>667</v>
      </c>
    </row>
    <row r="403" spans="2:6" x14ac:dyDescent="0.3">
      <c r="B403" s="63" t="s">
        <v>426</v>
      </c>
      <c r="C403" s="63">
        <v>1755684700889</v>
      </c>
      <c r="D403" s="63" t="s">
        <v>1260</v>
      </c>
      <c r="E403" s="63" t="s">
        <v>428</v>
      </c>
      <c r="F403" s="63" t="s">
        <v>538</v>
      </c>
    </row>
    <row r="404" spans="2:6" x14ac:dyDescent="0.3">
      <c r="B404" s="63" t="s">
        <v>1210</v>
      </c>
      <c r="C404" s="63">
        <v>1755684703966</v>
      </c>
      <c r="D404" s="63" t="s">
        <v>1261</v>
      </c>
      <c r="E404" s="63" t="s">
        <v>520</v>
      </c>
      <c r="F404" s="63" t="s">
        <v>675</v>
      </c>
    </row>
    <row r="405" spans="2:6" x14ac:dyDescent="0.3">
      <c r="B405" s="63" t="s">
        <v>1210</v>
      </c>
      <c r="C405" s="63">
        <v>1755684708941</v>
      </c>
      <c r="D405" s="63" t="s">
        <v>1262</v>
      </c>
      <c r="E405" s="63" t="s">
        <v>525</v>
      </c>
      <c r="F405" s="63" t="s">
        <v>677</v>
      </c>
    </row>
    <row r="406" spans="2:6" x14ac:dyDescent="0.3">
      <c r="B406" s="63" t="s">
        <v>1210</v>
      </c>
      <c r="C406" s="63">
        <v>1755684710052</v>
      </c>
      <c r="D406" s="63" t="s">
        <v>1263</v>
      </c>
      <c r="E406" s="63" t="s">
        <v>1201</v>
      </c>
      <c r="F406" s="63" t="s">
        <v>420</v>
      </c>
    </row>
    <row r="407" spans="2:6" x14ac:dyDescent="0.3">
      <c r="B407" s="63" t="s">
        <v>1210</v>
      </c>
      <c r="C407" s="63">
        <v>1755684713583</v>
      </c>
      <c r="D407" s="63" t="s">
        <v>1264</v>
      </c>
      <c r="E407" s="63" t="s">
        <v>424</v>
      </c>
      <c r="F407" s="63" t="s">
        <v>433</v>
      </c>
    </row>
    <row r="408" spans="2:6" x14ac:dyDescent="0.3">
      <c r="B408" s="63" t="s">
        <v>1210</v>
      </c>
      <c r="C408" s="63">
        <v>1755684723399</v>
      </c>
      <c r="D408" s="63" t="s">
        <v>1265</v>
      </c>
      <c r="E408" s="63" t="s">
        <v>424</v>
      </c>
      <c r="F408" s="63" t="s">
        <v>445</v>
      </c>
    </row>
    <row r="409" spans="2:6" x14ac:dyDescent="0.3">
      <c r="B409" s="63" t="s">
        <v>1210</v>
      </c>
      <c r="C409" s="63">
        <v>1755684723945</v>
      </c>
      <c r="D409" s="63" t="s">
        <v>1266</v>
      </c>
      <c r="E409" s="63" t="s">
        <v>520</v>
      </c>
      <c r="F409" s="63" t="s">
        <v>675</v>
      </c>
    </row>
    <row r="410" spans="2:6" x14ac:dyDescent="0.3">
      <c r="B410" s="63" t="s">
        <v>1210</v>
      </c>
      <c r="C410" s="63">
        <v>1755684730313</v>
      </c>
      <c r="D410" s="63" t="s">
        <v>1267</v>
      </c>
      <c r="E410" s="63" t="s">
        <v>525</v>
      </c>
      <c r="F410" s="63" t="s">
        <v>677</v>
      </c>
    </row>
    <row r="411" spans="2:6" x14ac:dyDescent="0.3">
      <c r="B411" s="63" t="s">
        <v>1210</v>
      </c>
      <c r="C411" s="63">
        <v>1755684735069</v>
      </c>
      <c r="D411" s="63" t="s">
        <v>1268</v>
      </c>
      <c r="E411" s="63" t="s">
        <v>424</v>
      </c>
      <c r="F411" s="63" t="s">
        <v>518</v>
      </c>
    </row>
    <row r="412" spans="2:6" x14ac:dyDescent="0.3">
      <c r="B412" s="63" t="s">
        <v>1210</v>
      </c>
      <c r="C412" s="63">
        <v>1755684745339</v>
      </c>
      <c r="D412" s="63" t="s">
        <v>1269</v>
      </c>
      <c r="E412" s="63" t="s">
        <v>520</v>
      </c>
      <c r="F412" s="63" t="s">
        <v>675</v>
      </c>
    </row>
    <row r="413" spans="2:6" x14ac:dyDescent="0.3">
      <c r="B413" s="63" t="s">
        <v>1210</v>
      </c>
      <c r="C413" s="63">
        <v>1755684750227</v>
      </c>
      <c r="D413" s="63" t="s">
        <v>1270</v>
      </c>
      <c r="E413" s="63" t="s">
        <v>525</v>
      </c>
      <c r="F413" s="63" t="s">
        <v>677</v>
      </c>
    </row>
    <row r="414" spans="2:6" x14ac:dyDescent="0.3">
      <c r="B414" s="63" t="s">
        <v>1210</v>
      </c>
      <c r="C414" s="63">
        <v>1755684752219</v>
      </c>
      <c r="D414" s="63" t="s">
        <v>1271</v>
      </c>
      <c r="E414" s="63" t="s">
        <v>424</v>
      </c>
      <c r="F414" s="63" t="s">
        <v>457</v>
      </c>
    </row>
    <row r="415" spans="2:6" x14ac:dyDescent="0.3">
      <c r="B415" s="63" t="s">
        <v>1210</v>
      </c>
      <c r="C415" s="63">
        <v>1755684765254</v>
      </c>
      <c r="D415" s="63" t="s">
        <v>1272</v>
      </c>
      <c r="E415" s="63" t="s">
        <v>520</v>
      </c>
      <c r="F415" s="63" t="s">
        <v>589</v>
      </c>
    </row>
    <row r="416" spans="2:6" x14ac:dyDescent="0.3">
      <c r="B416" s="63" t="s">
        <v>1210</v>
      </c>
      <c r="C416" s="63">
        <v>1755684770655</v>
      </c>
      <c r="D416" s="63" t="s">
        <v>1273</v>
      </c>
      <c r="E416" s="63" t="s">
        <v>525</v>
      </c>
      <c r="F416" s="63" t="s">
        <v>592</v>
      </c>
    </row>
    <row r="417" spans="2:6" x14ac:dyDescent="0.3">
      <c r="B417" s="63" t="s">
        <v>426</v>
      </c>
      <c r="C417" s="63">
        <v>1755684771468</v>
      </c>
      <c r="D417" s="63" t="s">
        <v>1274</v>
      </c>
      <c r="E417" s="63" t="s">
        <v>428</v>
      </c>
      <c r="F417" s="63" t="s">
        <v>610</v>
      </c>
    </row>
    <row r="418" spans="2:6" x14ac:dyDescent="0.3">
      <c r="B418" s="63" t="s">
        <v>1210</v>
      </c>
      <c r="C418" s="63">
        <v>1755684785684</v>
      </c>
      <c r="D418" s="63" t="s">
        <v>1275</v>
      </c>
      <c r="E418" s="63" t="s">
        <v>520</v>
      </c>
      <c r="F418" s="63" t="s">
        <v>536</v>
      </c>
    </row>
    <row r="419" spans="2:6" x14ac:dyDescent="0.3">
      <c r="B419" s="63" t="s">
        <v>426</v>
      </c>
      <c r="C419" s="63">
        <v>1755684788650</v>
      </c>
      <c r="D419" s="63" t="s">
        <v>1276</v>
      </c>
      <c r="E419" s="63" t="s">
        <v>428</v>
      </c>
      <c r="F419" s="63" t="s">
        <v>523</v>
      </c>
    </row>
    <row r="420" spans="2:6" x14ac:dyDescent="0.3">
      <c r="B420" s="63" t="s">
        <v>1210</v>
      </c>
      <c r="C420" s="63">
        <v>1755684788950</v>
      </c>
      <c r="D420" s="63" t="s">
        <v>1277</v>
      </c>
      <c r="E420" s="63" t="s">
        <v>525</v>
      </c>
      <c r="F420" s="63" t="s">
        <v>540</v>
      </c>
    </row>
    <row r="421" spans="2:6" x14ac:dyDescent="0.3">
      <c r="B421" s="63" t="s">
        <v>1210</v>
      </c>
      <c r="C421" s="63">
        <v>1755684789931</v>
      </c>
      <c r="D421" s="63" t="s">
        <v>1278</v>
      </c>
      <c r="E421" s="63" t="s">
        <v>424</v>
      </c>
      <c r="F421" s="63" t="s">
        <v>461</v>
      </c>
    </row>
    <row r="422" spans="2:6" x14ac:dyDescent="0.3">
      <c r="B422" s="63" t="s">
        <v>426</v>
      </c>
      <c r="C422" s="63">
        <v>1755684803681</v>
      </c>
      <c r="D422" s="63" t="s">
        <v>1279</v>
      </c>
      <c r="E422" s="63" t="s">
        <v>428</v>
      </c>
      <c r="F422" s="63" t="s">
        <v>447</v>
      </c>
    </row>
    <row r="423" spans="2:6" x14ac:dyDescent="0.3">
      <c r="B423" s="63" t="s">
        <v>1210</v>
      </c>
      <c r="C423" s="63">
        <v>1755684803952</v>
      </c>
      <c r="D423" s="63" t="s">
        <v>1280</v>
      </c>
      <c r="E423" s="63" t="s">
        <v>520</v>
      </c>
      <c r="F423" s="63" t="s">
        <v>1281</v>
      </c>
    </row>
    <row r="424" spans="2:6" x14ac:dyDescent="0.3">
      <c r="B424" s="63" t="s">
        <v>1210</v>
      </c>
      <c r="C424" s="63">
        <v>1755684808950</v>
      </c>
      <c r="D424" s="63" t="s">
        <v>1282</v>
      </c>
      <c r="E424" s="63" t="s">
        <v>525</v>
      </c>
      <c r="F424" s="63" t="s">
        <v>1283</v>
      </c>
    </row>
    <row r="425" spans="2:6" x14ac:dyDescent="0.3">
      <c r="B425" s="63" t="s">
        <v>1210</v>
      </c>
      <c r="C425" s="63">
        <v>1755684812555</v>
      </c>
      <c r="D425" s="63" t="s">
        <v>1284</v>
      </c>
      <c r="E425" s="63" t="s">
        <v>424</v>
      </c>
      <c r="F425" s="63" t="s">
        <v>449</v>
      </c>
    </row>
    <row r="426" spans="2:6" x14ac:dyDescent="0.3">
      <c r="B426" s="63" t="s">
        <v>1210</v>
      </c>
      <c r="C426" s="63">
        <v>1755684817506</v>
      </c>
      <c r="D426" s="63" t="s">
        <v>1285</v>
      </c>
      <c r="E426" s="63" t="s">
        <v>424</v>
      </c>
      <c r="F426" s="63" t="s">
        <v>451</v>
      </c>
    </row>
    <row r="427" spans="2:6" x14ac:dyDescent="0.3">
      <c r="B427" s="63" t="s">
        <v>1210</v>
      </c>
      <c r="C427" s="63">
        <v>1755684822280</v>
      </c>
      <c r="D427" s="63" t="s">
        <v>1286</v>
      </c>
      <c r="E427" s="63" t="s">
        <v>463</v>
      </c>
      <c r="F427" s="63" t="s">
        <v>464</v>
      </c>
    </row>
    <row r="428" spans="2:6" x14ac:dyDescent="0.3">
      <c r="B428" s="63" t="s">
        <v>426</v>
      </c>
      <c r="C428" s="63">
        <v>1755684825148</v>
      </c>
      <c r="D428" s="63" t="s">
        <v>1287</v>
      </c>
      <c r="E428" s="63" t="s">
        <v>428</v>
      </c>
      <c r="F428" s="63" t="s">
        <v>455</v>
      </c>
    </row>
    <row r="429" spans="2:6" x14ac:dyDescent="0.3">
      <c r="B429" s="67" t="s">
        <v>1288</v>
      </c>
      <c r="C429" s="67">
        <v>1755684836198</v>
      </c>
      <c r="D429" s="67" t="s">
        <v>1289</v>
      </c>
      <c r="E429" s="67" t="s">
        <v>416</v>
      </c>
      <c r="F429" s="67" t="s">
        <v>573</v>
      </c>
    </row>
    <row r="430" spans="2:6" x14ac:dyDescent="0.3">
      <c r="B430" s="67" t="s">
        <v>1288</v>
      </c>
      <c r="C430" s="67">
        <v>1755684836378</v>
      </c>
      <c r="D430" s="67" t="s">
        <v>1290</v>
      </c>
      <c r="E430" s="67" t="s">
        <v>468</v>
      </c>
      <c r="F430" s="67" t="s">
        <v>1291</v>
      </c>
    </row>
    <row r="431" spans="2:6" x14ac:dyDescent="0.3">
      <c r="B431" s="67" t="s">
        <v>1288</v>
      </c>
      <c r="C431" s="67">
        <v>1755684850847</v>
      </c>
      <c r="D431" s="67" t="s">
        <v>1292</v>
      </c>
      <c r="E431" s="67" t="s">
        <v>419</v>
      </c>
      <c r="F431" s="67" t="s">
        <v>420</v>
      </c>
    </row>
    <row r="432" spans="2:6" x14ac:dyDescent="0.3">
      <c r="B432" s="67" t="s">
        <v>1288</v>
      </c>
      <c r="C432" s="67">
        <v>1755684850939</v>
      </c>
      <c r="D432" s="67" t="s">
        <v>1293</v>
      </c>
      <c r="E432" s="67" t="s">
        <v>389</v>
      </c>
      <c r="F432" s="67" t="s">
        <v>406</v>
      </c>
    </row>
    <row r="433" spans="2:6" x14ac:dyDescent="0.3">
      <c r="B433" s="67" t="s">
        <v>1288</v>
      </c>
      <c r="C433" s="67">
        <v>1755684854629</v>
      </c>
      <c r="D433" s="67" t="s">
        <v>1294</v>
      </c>
      <c r="E433" s="67" t="s">
        <v>422</v>
      </c>
      <c r="F433" s="67" t="s">
        <v>420</v>
      </c>
    </row>
    <row r="434" spans="2:6" x14ac:dyDescent="0.3">
      <c r="B434" s="67" t="s">
        <v>1288</v>
      </c>
      <c r="C434" s="67">
        <v>1755684860906</v>
      </c>
      <c r="D434" s="67" t="s">
        <v>1295</v>
      </c>
      <c r="E434" s="67" t="s">
        <v>424</v>
      </c>
      <c r="F434" s="67" t="s">
        <v>549</v>
      </c>
    </row>
    <row r="435" spans="2:6" x14ac:dyDescent="0.3">
      <c r="B435" s="67" t="s">
        <v>1288</v>
      </c>
      <c r="C435" s="67">
        <v>1755684865204</v>
      </c>
      <c r="D435" s="67" t="s">
        <v>1296</v>
      </c>
      <c r="E435" s="67" t="s">
        <v>424</v>
      </c>
      <c r="F435" s="67" t="s">
        <v>553</v>
      </c>
    </row>
    <row r="436" spans="2:6" x14ac:dyDescent="0.3">
      <c r="B436" s="67" t="s">
        <v>1288</v>
      </c>
      <c r="C436" s="67">
        <v>1755684869653</v>
      </c>
      <c r="D436" s="67" t="s">
        <v>1297</v>
      </c>
      <c r="E436" s="67" t="s">
        <v>520</v>
      </c>
      <c r="F436" s="67" t="s">
        <v>555</v>
      </c>
    </row>
    <row r="437" spans="2:6" x14ac:dyDescent="0.3">
      <c r="B437" s="67" t="s">
        <v>1288</v>
      </c>
      <c r="C437" s="67">
        <v>1755684875011</v>
      </c>
      <c r="D437" s="67" t="s">
        <v>1298</v>
      </c>
      <c r="E437" s="67" t="s">
        <v>525</v>
      </c>
      <c r="F437" s="67" t="s">
        <v>557</v>
      </c>
    </row>
    <row r="438" spans="2:6" x14ac:dyDescent="0.3">
      <c r="B438" s="67" t="s">
        <v>426</v>
      </c>
      <c r="C438" s="67">
        <v>1755684882037</v>
      </c>
      <c r="D438" s="67" t="s">
        <v>1299</v>
      </c>
      <c r="E438" s="67" t="s">
        <v>428</v>
      </c>
      <c r="F438" s="67" t="s">
        <v>437</v>
      </c>
    </row>
    <row r="439" spans="2:6" x14ac:dyDescent="0.3">
      <c r="B439" s="67" t="s">
        <v>1288</v>
      </c>
      <c r="C439" s="67">
        <v>1755684890026</v>
      </c>
      <c r="D439" s="67" t="s">
        <v>1300</v>
      </c>
      <c r="E439" s="67" t="s">
        <v>520</v>
      </c>
      <c r="F439" s="67" t="s">
        <v>589</v>
      </c>
    </row>
    <row r="440" spans="2:6" x14ac:dyDescent="0.3">
      <c r="B440" s="67" t="s">
        <v>1288</v>
      </c>
      <c r="C440" s="67">
        <v>1755684894603</v>
      </c>
      <c r="D440" s="67" t="s">
        <v>1301</v>
      </c>
      <c r="E440" s="67" t="s">
        <v>525</v>
      </c>
      <c r="F440" s="67" t="s">
        <v>592</v>
      </c>
    </row>
    <row r="441" spans="2:6" x14ac:dyDescent="0.3">
      <c r="B441" s="67" t="s">
        <v>1288</v>
      </c>
      <c r="C441" s="67">
        <v>1755684896102</v>
      </c>
      <c r="D441" s="67" t="s">
        <v>1302</v>
      </c>
      <c r="E441" s="67" t="s">
        <v>424</v>
      </c>
      <c r="F441" s="67" t="s">
        <v>441</v>
      </c>
    </row>
    <row r="442" spans="2:6" x14ac:dyDescent="0.3">
      <c r="B442" s="67" t="s">
        <v>426</v>
      </c>
      <c r="C442" s="67">
        <v>1755684897724</v>
      </c>
      <c r="D442" s="67" t="s">
        <v>1303</v>
      </c>
      <c r="E442" s="67" t="s">
        <v>428</v>
      </c>
      <c r="F442" s="67" t="s">
        <v>429</v>
      </c>
    </row>
    <row r="443" spans="2:6" x14ac:dyDescent="0.3">
      <c r="B443" s="67" t="s">
        <v>1288</v>
      </c>
      <c r="C443" s="67">
        <v>1755684901482</v>
      </c>
      <c r="D443" s="67" t="s">
        <v>1304</v>
      </c>
      <c r="E443" s="67" t="s">
        <v>424</v>
      </c>
      <c r="F443" s="67" t="s">
        <v>667</v>
      </c>
    </row>
    <row r="444" spans="2:6" x14ac:dyDescent="0.3">
      <c r="B444" s="67" t="s">
        <v>1288</v>
      </c>
      <c r="C444" s="67">
        <v>1755684909487</v>
      </c>
      <c r="D444" s="67" t="s">
        <v>1305</v>
      </c>
      <c r="E444" s="67" t="s">
        <v>424</v>
      </c>
      <c r="F444" s="67" t="s">
        <v>433</v>
      </c>
    </row>
    <row r="445" spans="2:6" x14ac:dyDescent="0.3">
      <c r="B445" s="67" t="s">
        <v>1288</v>
      </c>
      <c r="C445" s="67">
        <v>1755684909616</v>
      </c>
      <c r="D445" s="67" t="s">
        <v>1306</v>
      </c>
      <c r="E445" s="67" t="s">
        <v>520</v>
      </c>
      <c r="F445" s="67" t="s">
        <v>664</v>
      </c>
    </row>
    <row r="446" spans="2:6" x14ac:dyDescent="0.3">
      <c r="B446" s="67" t="s">
        <v>1288</v>
      </c>
      <c r="C446" s="67">
        <v>1755684914033</v>
      </c>
      <c r="D446" s="67" t="s">
        <v>1307</v>
      </c>
      <c r="E446" s="67" t="s">
        <v>525</v>
      </c>
      <c r="F446" s="67" t="s">
        <v>665</v>
      </c>
    </row>
    <row r="447" spans="2:6" x14ac:dyDescent="0.3">
      <c r="B447" s="67" t="s">
        <v>426</v>
      </c>
      <c r="C447" s="67">
        <v>1755684914131</v>
      </c>
      <c r="D447" s="67" t="s">
        <v>1308</v>
      </c>
      <c r="E447" s="67" t="s">
        <v>428</v>
      </c>
      <c r="F447" s="67" t="s">
        <v>538</v>
      </c>
    </row>
    <row r="448" spans="2:6" x14ac:dyDescent="0.3">
      <c r="B448" s="67" t="s">
        <v>1288</v>
      </c>
      <c r="C448" s="67">
        <v>1755684921810</v>
      </c>
      <c r="D448" s="67" t="s">
        <v>1309</v>
      </c>
      <c r="E448" s="67" t="s">
        <v>424</v>
      </c>
      <c r="F448" s="67" t="s">
        <v>445</v>
      </c>
    </row>
    <row r="449" spans="2:6" x14ac:dyDescent="0.3">
      <c r="B449" s="67" t="s">
        <v>1288</v>
      </c>
      <c r="C449" s="67">
        <v>1755684929055</v>
      </c>
      <c r="D449" s="67" t="s">
        <v>1310</v>
      </c>
      <c r="E449" s="67" t="s">
        <v>520</v>
      </c>
      <c r="F449" s="67" t="s">
        <v>589</v>
      </c>
    </row>
    <row r="450" spans="2:6" x14ac:dyDescent="0.3">
      <c r="B450" s="67" t="s">
        <v>426</v>
      </c>
      <c r="C450" s="67">
        <v>1755684929167</v>
      </c>
      <c r="D450" s="67" t="s">
        <v>1311</v>
      </c>
      <c r="E450" s="67" t="s">
        <v>428</v>
      </c>
      <c r="F450" s="67" t="s">
        <v>453</v>
      </c>
    </row>
    <row r="451" spans="2:6" x14ac:dyDescent="0.3">
      <c r="B451" s="67" t="s">
        <v>1288</v>
      </c>
      <c r="C451" s="67">
        <v>1755684937540</v>
      </c>
      <c r="D451" s="67" t="s">
        <v>1312</v>
      </c>
      <c r="E451" s="67" t="s">
        <v>525</v>
      </c>
      <c r="F451" s="67" t="s">
        <v>592</v>
      </c>
    </row>
    <row r="452" spans="2:6" x14ac:dyDescent="0.3">
      <c r="B452" s="67" t="s">
        <v>1288</v>
      </c>
      <c r="C452" s="67">
        <v>1755684945771</v>
      </c>
      <c r="D452" s="67" t="s">
        <v>1313</v>
      </c>
      <c r="E452" s="67" t="s">
        <v>424</v>
      </c>
      <c r="F452" s="67" t="s">
        <v>457</v>
      </c>
    </row>
    <row r="453" spans="2:6" x14ac:dyDescent="0.3">
      <c r="B453" s="67" t="s">
        <v>1288</v>
      </c>
      <c r="C453" s="67">
        <v>1755684952546</v>
      </c>
      <c r="D453" s="67" t="s">
        <v>1314</v>
      </c>
      <c r="E453" s="67" t="s">
        <v>520</v>
      </c>
      <c r="F453" s="67" t="s">
        <v>664</v>
      </c>
    </row>
    <row r="454" spans="2:6" x14ac:dyDescent="0.3">
      <c r="B454" s="67" t="s">
        <v>1288</v>
      </c>
      <c r="C454" s="67">
        <v>1755684958159</v>
      </c>
      <c r="D454" s="67" t="s">
        <v>1315</v>
      </c>
      <c r="E454" s="67" t="s">
        <v>525</v>
      </c>
      <c r="F454" s="67" t="s">
        <v>665</v>
      </c>
    </row>
    <row r="455" spans="2:6" x14ac:dyDescent="0.3">
      <c r="B455" s="67" t="s">
        <v>426</v>
      </c>
      <c r="C455" s="67">
        <v>1755684959356</v>
      </c>
      <c r="D455" s="67" t="s">
        <v>1316</v>
      </c>
      <c r="E455" s="67" t="s">
        <v>428</v>
      </c>
      <c r="F455" s="67" t="s">
        <v>610</v>
      </c>
    </row>
    <row r="456" spans="2:6" x14ac:dyDescent="0.3">
      <c r="B456" s="67" t="s">
        <v>1288</v>
      </c>
      <c r="C456" s="67">
        <v>1755684980383</v>
      </c>
      <c r="D456" s="67" t="s">
        <v>1317</v>
      </c>
      <c r="E456" s="67" t="s">
        <v>419</v>
      </c>
      <c r="F456" s="67" t="s">
        <v>420</v>
      </c>
    </row>
    <row r="457" spans="2:6" x14ac:dyDescent="0.3">
      <c r="B457" s="67" t="s">
        <v>1288</v>
      </c>
      <c r="C457" s="67">
        <v>1755684980523</v>
      </c>
      <c r="D457" s="67" t="s">
        <v>1318</v>
      </c>
      <c r="E457" s="67" t="s">
        <v>520</v>
      </c>
      <c r="F457" s="67" t="s">
        <v>589</v>
      </c>
    </row>
    <row r="458" spans="2:6" x14ac:dyDescent="0.3">
      <c r="B458" s="67" t="s">
        <v>1288</v>
      </c>
      <c r="C458" s="67">
        <v>1755684980621</v>
      </c>
      <c r="D458" s="67" t="s">
        <v>1319</v>
      </c>
      <c r="E458" s="67" t="s">
        <v>525</v>
      </c>
      <c r="F458" s="67" t="s">
        <v>592</v>
      </c>
    </row>
    <row r="459" spans="2:6" x14ac:dyDescent="0.3">
      <c r="B459" s="67" t="s">
        <v>1288</v>
      </c>
      <c r="C459" s="67">
        <v>1755684993856</v>
      </c>
      <c r="D459" s="67" t="s">
        <v>1320</v>
      </c>
      <c r="E459" s="67" t="s">
        <v>520</v>
      </c>
      <c r="F459" s="67" t="s">
        <v>559</v>
      </c>
    </row>
    <row r="460" spans="2:6" x14ac:dyDescent="0.3">
      <c r="B460" s="67" t="s">
        <v>426</v>
      </c>
      <c r="C460" s="67">
        <v>1755684997502</v>
      </c>
      <c r="D460" s="67" t="s">
        <v>1321</v>
      </c>
      <c r="E460" s="67" t="s">
        <v>428</v>
      </c>
      <c r="F460" s="67" t="s">
        <v>523</v>
      </c>
    </row>
    <row r="461" spans="2:6" x14ac:dyDescent="0.3">
      <c r="B461" s="67" t="s">
        <v>1288</v>
      </c>
      <c r="C461" s="67">
        <v>1755685005691</v>
      </c>
      <c r="D461" s="67" t="s">
        <v>1322</v>
      </c>
      <c r="E461" s="67" t="s">
        <v>525</v>
      </c>
      <c r="F461" s="67" t="s">
        <v>561</v>
      </c>
    </row>
    <row r="462" spans="2:6" x14ac:dyDescent="0.3">
      <c r="B462" s="67" t="s">
        <v>1288</v>
      </c>
      <c r="C462" s="67">
        <v>1755685007689</v>
      </c>
      <c r="D462" s="67" t="s">
        <v>1323</v>
      </c>
      <c r="E462" s="67" t="s">
        <v>424</v>
      </c>
      <c r="F462" s="67" t="s">
        <v>461</v>
      </c>
    </row>
    <row r="463" spans="2:6" x14ac:dyDescent="0.3">
      <c r="B463" s="67" t="s">
        <v>426</v>
      </c>
      <c r="C463" s="67">
        <v>1755685012449</v>
      </c>
      <c r="D463" s="67" t="s">
        <v>1324</v>
      </c>
      <c r="E463" s="67" t="s">
        <v>428</v>
      </c>
      <c r="F463" s="67" t="s">
        <v>447</v>
      </c>
    </row>
    <row r="464" spans="2:6" x14ac:dyDescent="0.3">
      <c r="B464" s="67" t="s">
        <v>1288</v>
      </c>
      <c r="C464" s="67">
        <v>1755685015106</v>
      </c>
      <c r="D464" s="67" t="s">
        <v>1325</v>
      </c>
      <c r="E464" s="67" t="s">
        <v>424</v>
      </c>
      <c r="F464" s="67" t="s">
        <v>449</v>
      </c>
    </row>
    <row r="465" spans="1:6" x14ac:dyDescent="0.3">
      <c r="B465" s="67" t="s">
        <v>1288</v>
      </c>
      <c r="C465" s="67">
        <v>1755685019592</v>
      </c>
      <c r="D465" s="67" t="s">
        <v>1326</v>
      </c>
      <c r="E465" s="67" t="s">
        <v>424</v>
      </c>
      <c r="F465" s="67" t="s">
        <v>451</v>
      </c>
    </row>
    <row r="466" spans="1:6" x14ac:dyDescent="0.3">
      <c r="B466" s="67" t="s">
        <v>1288</v>
      </c>
      <c r="C466" s="67">
        <v>1755685020704</v>
      </c>
      <c r="D466" s="67" t="s">
        <v>1327</v>
      </c>
      <c r="E466" s="67" t="s">
        <v>520</v>
      </c>
      <c r="F466" s="67" t="s">
        <v>529</v>
      </c>
    </row>
    <row r="467" spans="1:6" x14ac:dyDescent="0.3">
      <c r="B467" s="67" t="s">
        <v>1288</v>
      </c>
      <c r="C467" s="67">
        <v>1755685026564</v>
      </c>
      <c r="D467" s="67" t="s">
        <v>1328</v>
      </c>
      <c r="E467" s="67" t="s">
        <v>525</v>
      </c>
      <c r="F467" s="67" t="s">
        <v>531</v>
      </c>
    </row>
    <row r="468" spans="1:6" x14ac:dyDescent="0.3">
      <c r="B468" s="67" t="s">
        <v>1288</v>
      </c>
      <c r="C468" s="67">
        <v>1755685030738</v>
      </c>
      <c r="D468" s="67" t="s">
        <v>1329</v>
      </c>
      <c r="E468" s="67" t="s">
        <v>463</v>
      </c>
      <c r="F468" s="67" t="s">
        <v>464</v>
      </c>
    </row>
    <row r="469" spans="1:6" x14ac:dyDescent="0.3">
      <c r="B469" s="67" t="s">
        <v>426</v>
      </c>
      <c r="C469" s="67">
        <v>1755685034067</v>
      </c>
      <c r="D469" s="67" t="s">
        <v>1330</v>
      </c>
      <c r="E469" s="67" t="s">
        <v>428</v>
      </c>
      <c r="F469" s="67" t="s">
        <v>455</v>
      </c>
    </row>
    <row r="470" spans="1:6" ht="23.4" x14ac:dyDescent="0.45">
      <c r="A470" s="68" t="s">
        <v>1524</v>
      </c>
      <c r="B470" s="63" t="s">
        <v>1392</v>
      </c>
      <c r="C470" s="63">
        <v>1757407877072</v>
      </c>
      <c r="D470" s="63" t="s">
        <v>1393</v>
      </c>
      <c r="E470" s="63" t="s">
        <v>416</v>
      </c>
      <c r="F470" s="63" t="s">
        <v>492</v>
      </c>
    </row>
    <row r="471" spans="1:6" x14ac:dyDescent="0.3">
      <c r="B471" s="63" t="s">
        <v>1392</v>
      </c>
      <c r="C471" s="63">
        <v>1757407891610</v>
      </c>
      <c r="D471" s="63" t="s">
        <v>1394</v>
      </c>
      <c r="E471" s="63" t="s">
        <v>419</v>
      </c>
      <c r="F471" s="63" t="s">
        <v>420</v>
      </c>
    </row>
    <row r="472" spans="1:6" x14ac:dyDescent="0.3">
      <c r="B472" s="63" t="s">
        <v>1392</v>
      </c>
      <c r="C472" s="63">
        <v>1757407891728</v>
      </c>
      <c r="D472" s="63" t="s">
        <v>1395</v>
      </c>
      <c r="E472" s="63" t="s">
        <v>389</v>
      </c>
      <c r="F472" s="63" t="s">
        <v>400</v>
      </c>
    </row>
    <row r="473" spans="1:6" x14ac:dyDescent="0.3">
      <c r="B473" s="63" t="s">
        <v>1392</v>
      </c>
      <c r="C473" s="63">
        <v>1757407891822</v>
      </c>
      <c r="D473" s="63" t="s">
        <v>1396</v>
      </c>
      <c r="E473" s="63" t="s">
        <v>389</v>
      </c>
      <c r="F473" s="63" t="s">
        <v>398</v>
      </c>
    </row>
    <row r="474" spans="1:6" x14ac:dyDescent="0.3">
      <c r="B474" s="63" t="s">
        <v>1392</v>
      </c>
      <c r="C474" s="63">
        <v>1757407891892</v>
      </c>
      <c r="D474" s="63" t="s">
        <v>1397</v>
      </c>
      <c r="E474" s="63" t="s">
        <v>389</v>
      </c>
      <c r="F474" s="63" t="s">
        <v>396</v>
      </c>
    </row>
    <row r="475" spans="1:6" x14ac:dyDescent="0.3">
      <c r="B475" s="63" t="s">
        <v>1392</v>
      </c>
      <c r="C475" s="63">
        <v>1757407893820</v>
      </c>
      <c r="D475" s="63" t="s">
        <v>1398</v>
      </c>
      <c r="E475" s="63" t="s">
        <v>389</v>
      </c>
      <c r="F475" s="63" t="s">
        <v>979</v>
      </c>
    </row>
    <row r="476" spans="1:6" x14ac:dyDescent="0.3">
      <c r="B476" s="63" t="s">
        <v>1392</v>
      </c>
      <c r="C476" s="63">
        <v>1757407900963</v>
      </c>
      <c r="D476" s="63" t="s">
        <v>1399</v>
      </c>
      <c r="E476" s="63" t="s">
        <v>389</v>
      </c>
      <c r="F476" s="63" t="s">
        <v>508</v>
      </c>
    </row>
    <row r="477" spans="1:6" x14ac:dyDescent="0.3">
      <c r="B477" s="63" t="s">
        <v>1392</v>
      </c>
      <c r="C477" s="63">
        <v>1757407901496</v>
      </c>
      <c r="D477" s="63" t="s">
        <v>1400</v>
      </c>
      <c r="E477" s="63" t="s">
        <v>389</v>
      </c>
      <c r="F477" s="63" t="s">
        <v>660</v>
      </c>
    </row>
    <row r="478" spans="1:6" x14ac:dyDescent="0.3">
      <c r="B478" s="63" t="s">
        <v>1392</v>
      </c>
      <c r="C478" s="63">
        <v>1757407910946</v>
      </c>
      <c r="D478" s="63" t="s">
        <v>1401</v>
      </c>
      <c r="E478" s="63" t="s">
        <v>389</v>
      </c>
      <c r="F478" s="63" t="s">
        <v>504</v>
      </c>
    </row>
    <row r="479" spans="1:6" x14ac:dyDescent="0.3">
      <c r="B479" s="63" t="s">
        <v>1392</v>
      </c>
      <c r="C479" s="63">
        <v>1757407928745</v>
      </c>
      <c r="D479" s="63" t="s">
        <v>1402</v>
      </c>
      <c r="E479" s="63" t="s">
        <v>389</v>
      </c>
      <c r="F479" s="63" t="s">
        <v>495</v>
      </c>
    </row>
    <row r="480" spans="1:6" x14ac:dyDescent="0.3">
      <c r="B480" s="63" t="s">
        <v>1392</v>
      </c>
      <c r="C480" s="63">
        <v>1757407930193</v>
      </c>
      <c r="D480" s="63" t="s">
        <v>1403</v>
      </c>
      <c r="E480" s="63" t="s">
        <v>389</v>
      </c>
      <c r="F480" s="63" t="s">
        <v>410</v>
      </c>
    </row>
    <row r="481" spans="2:6" x14ac:dyDescent="0.3">
      <c r="B481" s="63" t="s">
        <v>1392</v>
      </c>
      <c r="C481" s="63">
        <v>1757407931347</v>
      </c>
      <c r="D481" s="63" t="s">
        <v>1404</v>
      </c>
      <c r="E481" s="63" t="s">
        <v>389</v>
      </c>
      <c r="F481" s="63" t="s">
        <v>414</v>
      </c>
    </row>
    <row r="482" spans="2:6" x14ac:dyDescent="0.3">
      <c r="B482" s="63" t="s">
        <v>1392</v>
      </c>
      <c r="C482" s="63">
        <v>1757407933087</v>
      </c>
      <c r="D482" s="63" t="s">
        <v>1405</v>
      </c>
      <c r="E482" s="63" t="s">
        <v>389</v>
      </c>
      <c r="F482" s="63" t="s">
        <v>406</v>
      </c>
    </row>
    <row r="483" spans="2:6" x14ac:dyDescent="0.3">
      <c r="B483" s="63" t="s">
        <v>1392</v>
      </c>
      <c r="C483" s="63">
        <v>1757407938068</v>
      </c>
      <c r="D483" s="63" t="s">
        <v>1406</v>
      </c>
      <c r="E483" s="63" t="s">
        <v>389</v>
      </c>
      <c r="F483" s="63" t="s">
        <v>392</v>
      </c>
    </row>
    <row r="484" spans="2:6" x14ac:dyDescent="0.3">
      <c r="B484" s="63" t="s">
        <v>1392</v>
      </c>
      <c r="C484" s="63">
        <v>1757407942642</v>
      </c>
      <c r="D484" s="63" t="s">
        <v>1407</v>
      </c>
      <c r="E484" s="63" t="s">
        <v>422</v>
      </c>
      <c r="F484" s="63" t="s">
        <v>420</v>
      </c>
    </row>
    <row r="485" spans="2:6" x14ac:dyDescent="0.3">
      <c r="B485" s="63" t="s">
        <v>1392</v>
      </c>
      <c r="C485" s="63">
        <v>1757407957701</v>
      </c>
      <c r="D485" s="63" t="s">
        <v>1408</v>
      </c>
      <c r="E485" s="63" t="s">
        <v>520</v>
      </c>
      <c r="F485" s="63" t="s">
        <v>1409</v>
      </c>
    </row>
    <row r="486" spans="2:6" x14ac:dyDescent="0.3">
      <c r="B486" s="63" t="s">
        <v>426</v>
      </c>
      <c r="C486" s="63">
        <v>1757407958076</v>
      </c>
      <c r="D486" s="63" t="s">
        <v>1410</v>
      </c>
      <c r="E486" s="63" t="s">
        <v>428</v>
      </c>
      <c r="F486" s="63" t="s">
        <v>435</v>
      </c>
    </row>
    <row r="487" spans="2:6" x14ac:dyDescent="0.3">
      <c r="B487" s="63" t="s">
        <v>426</v>
      </c>
      <c r="C487" s="63">
        <v>1757407974303</v>
      </c>
      <c r="D487" s="63" t="s">
        <v>1411</v>
      </c>
      <c r="E487" s="63" t="s">
        <v>428</v>
      </c>
      <c r="F487" s="63" t="s">
        <v>439</v>
      </c>
    </row>
    <row r="488" spans="2:6" x14ac:dyDescent="0.3">
      <c r="B488" s="63" t="s">
        <v>1392</v>
      </c>
      <c r="C488" s="63">
        <v>1757407976147</v>
      </c>
      <c r="D488" s="63" t="s">
        <v>1412</v>
      </c>
      <c r="E488" s="63" t="s">
        <v>525</v>
      </c>
      <c r="F488" s="63" t="s">
        <v>1413</v>
      </c>
    </row>
    <row r="489" spans="2:6" x14ac:dyDescent="0.3">
      <c r="B489" s="63" t="s">
        <v>1392</v>
      </c>
      <c r="C489" s="63">
        <v>1757407991261</v>
      </c>
      <c r="D489" s="63" t="s">
        <v>1414</v>
      </c>
      <c r="E489" s="63" t="s">
        <v>520</v>
      </c>
      <c r="F489" s="63" t="s">
        <v>615</v>
      </c>
    </row>
    <row r="490" spans="2:6" x14ac:dyDescent="0.3">
      <c r="B490" s="63" t="s">
        <v>426</v>
      </c>
      <c r="C490" s="63">
        <v>1757407991975</v>
      </c>
      <c r="D490" s="63" t="s">
        <v>1415</v>
      </c>
      <c r="E490" s="63" t="s">
        <v>428</v>
      </c>
      <c r="F490" s="63" t="s">
        <v>429</v>
      </c>
    </row>
    <row r="491" spans="2:6" x14ac:dyDescent="0.3">
      <c r="B491" s="63" t="s">
        <v>1392</v>
      </c>
      <c r="C491" s="63">
        <v>1757407998233</v>
      </c>
      <c r="D491" s="63" t="s">
        <v>1416</v>
      </c>
      <c r="E491" s="63" t="s">
        <v>525</v>
      </c>
      <c r="F491" s="63" t="s">
        <v>617</v>
      </c>
    </row>
    <row r="492" spans="2:6" x14ac:dyDescent="0.3">
      <c r="B492" s="63" t="s">
        <v>1392</v>
      </c>
      <c r="C492" s="63">
        <v>1757408007780</v>
      </c>
      <c r="D492" s="63" t="s">
        <v>1417</v>
      </c>
      <c r="E492" s="63" t="s">
        <v>424</v>
      </c>
      <c r="F492" s="63" t="s">
        <v>551</v>
      </c>
    </row>
    <row r="493" spans="2:6" x14ac:dyDescent="0.3">
      <c r="B493" s="63" t="s">
        <v>1392</v>
      </c>
      <c r="C493" s="63">
        <v>1757408008839</v>
      </c>
      <c r="D493" s="63" t="s">
        <v>1418</v>
      </c>
      <c r="E493" s="63" t="s">
        <v>424</v>
      </c>
      <c r="F493" s="63" t="s">
        <v>441</v>
      </c>
    </row>
    <row r="494" spans="2:6" x14ac:dyDescent="0.3">
      <c r="B494" s="63" t="s">
        <v>426</v>
      </c>
      <c r="C494" s="63">
        <v>1757408009678</v>
      </c>
      <c r="D494" s="63" t="s">
        <v>1419</v>
      </c>
      <c r="E494" s="63" t="s">
        <v>428</v>
      </c>
      <c r="F494" s="63" t="s">
        <v>431</v>
      </c>
    </row>
    <row r="495" spans="2:6" x14ac:dyDescent="0.3">
      <c r="B495" s="63" t="s">
        <v>1392</v>
      </c>
      <c r="C495" s="63">
        <v>1757408013362</v>
      </c>
      <c r="D495" s="63" t="s">
        <v>1420</v>
      </c>
      <c r="E495" s="63" t="s">
        <v>520</v>
      </c>
      <c r="F495" s="63" t="s">
        <v>521</v>
      </c>
    </row>
    <row r="496" spans="2:6" x14ac:dyDescent="0.3">
      <c r="B496" s="63" t="s">
        <v>1392</v>
      </c>
      <c r="C496" s="63">
        <v>1757408023442</v>
      </c>
      <c r="D496" s="63" t="s">
        <v>1421</v>
      </c>
      <c r="E496" s="63" t="s">
        <v>525</v>
      </c>
      <c r="F496" s="63" t="s">
        <v>526</v>
      </c>
    </row>
    <row r="497" spans="2:6" x14ac:dyDescent="0.3">
      <c r="B497" s="63" t="s">
        <v>426</v>
      </c>
      <c r="C497" s="63">
        <v>1757408025129</v>
      </c>
      <c r="D497" s="63" t="s">
        <v>1422</v>
      </c>
      <c r="E497" s="63" t="s">
        <v>428</v>
      </c>
      <c r="F497" s="63" t="s">
        <v>538</v>
      </c>
    </row>
    <row r="498" spans="2:6" x14ac:dyDescent="0.3">
      <c r="B498" s="63" t="s">
        <v>1392</v>
      </c>
      <c r="C498" s="63">
        <v>1757408025772</v>
      </c>
      <c r="D498" s="63" t="s">
        <v>1423</v>
      </c>
      <c r="E498" s="63" t="s">
        <v>424</v>
      </c>
      <c r="F498" s="63" t="s">
        <v>433</v>
      </c>
    </row>
    <row r="499" spans="2:6" x14ac:dyDescent="0.3">
      <c r="B499" s="63" t="s">
        <v>1392</v>
      </c>
      <c r="C499" s="63">
        <v>1757408038555</v>
      </c>
      <c r="D499" s="63" t="s">
        <v>1424</v>
      </c>
      <c r="E499" s="63" t="s">
        <v>520</v>
      </c>
      <c r="F499" s="63" t="s">
        <v>1425</v>
      </c>
    </row>
    <row r="500" spans="2:6" x14ac:dyDescent="0.3">
      <c r="B500" s="63" t="s">
        <v>426</v>
      </c>
      <c r="C500" s="63">
        <v>1757408042785</v>
      </c>
      <c r="D500" s="63" t="s">
        <v>1426</v>
      </c>
      <c r="E500" s="63" t="s">
        <v>428</v>
      </c>
      <c r="F500" s="63" t="s">
        <v>672</v>
      </c>
    </row>
    <row r="501" spans="2:6" x14ac:dyDescent="0.3">
      <c r="B501" s="63" t="s">
        <v>426</v>
      </c>
      <c r="C501" s="63">
        <v>1757408055387</v>
      </c>
      <c r="D501" s="63" t="s">
        <v>1427</v>
      </c>
      <c r="E501" s="63" t="s">
        <v>428</v>
      </c>
      <c r="F501" s="63" t="s">
        <v>453</v>
      </c>
    </row>
    <row r="502" spans="2:6" x14ac:dyDescent="0.3">
      <c r="B502" s="63" t="s">
        <v>1392</v>
      </c>
      <c r="C502" s="63">
        <v>1757408088708</v>
      </c>
      <c r="D502" s="63" t="s">
        <v>1428</v>
      </c>
      <c r="E502" s="63" t="s">
        <v>525</v>
      </c>
      <c r="F502" s="63" t="s">
        <v>1429</v>
      </c>
    </row>
    <row r="503" spans="2:6" x14ac:dyDescent="0.3">
      <c r="B503" s="63" t="s">
        <v>1392</v>
      </c>
      <c r="C503" s="63">
        <v>1757408098453</v>
      </c>
      <c r="D503" s="63" t="s">
        <v>1430</v>
      </c>
      <c r="E503" s="63" t="s">
        <v>419</v>
      </c>
      <c r="F503" s="63" t="s">
        <v>420</v>
      </c>
    </row>
    <row r="504" spans="2:6" x14ac:dyDescent="0.3">
      <c r="B504" s="63" t="s">
        <v>1392</v>
      </c>
      <c r="C504" s="63">
        <v>1757408113854</v>
      </c>
      <c r="D504" s="63" t="s">
        <v>1431</v>
      </c>
      <c r="E504" s="63" t="s">
        <v>419</v>
      </c>
      <c r="F504" s="63" t="s">
        <v>420</v>
      </c>
    </row>
    <row r="505" spans="2:6" x14ac:dyDescent="0.3">
      <c r="B505" s="63" t="s">
        <v>1392</v>
      </c>
      <c r="C505" s="63">
        <v>1757408113936</v>
      </c>
      <c r="D505" s="63" t="s">
        <v>1432</v>
      </c>
      <c r="E505" s="63" t="s">
        <v>520</v>
      </c>
      <c r="F505" s="63" t="s">
        <v>615</v>
      </c>
    </row>
    <row r="506" spans="2:6" x14ac:dyDescent="0.3">
      <c r="B506" s="63" t="s">
        <v>1392</v>
      </c>
      <c r="C506" s="63">
        <v>1757408113996</v>
      </c>
      <c r="D506" s="63" t="s">
        <v>1433</v>
      </c>
      <c r="E506" s="63" t="s">
        <v>525</v>
      </c>
      <c r="F506" s="63" t="s">
        <v>617</v>
      </c>
    </row>
    <row r="507" spans="2:6" x14ac:dyDescent="0.3">
      <c r="B507" s="63" t="s">
        <v>1392</v>
      </c>
      <c r="C507" s="63">
        <v>1757408126227</v>
      </c>
      <c r="D507" s="63" t="s">
        <v>1434</v>
      </c>
      <c r="E507" s="63" t="s">
        <v>520</v>
      </c>
      <c r="F507" s="63" t="s">
        <v>1435</v>
      </c>
    </row>
    <row r="508" spans="2:6" x14ac:dyDescent="0.3">
      <c r="B508" s="63" t="s">
        <v>426</v>
      </c>
      <c r="C508" s="63">
        <v>1757408135745</v>
      </c>
      <c r="D508" s="63" t="s">
        <v>1436</v>
      </c>
      <c r="E508" s="63" t="s">
        <v>428</v>
      </c>
      <c r="F508" s="63" t="s">
        <v>455</v>
      </c>
    </row>
    <row r="509" spans="2:6" x14ac:dyDescent="0.3">
      <c r="B509" s="63" t="s">
        <v>1392</v>
      </c>
      <c r="C509" s="63">
        <v>1757408149689</v>
      </c>
      <c r="D509" s="63" t="s">
        <v>1437</v>
      </c>
      <c r="E509" s="63" t="s">
        <v>1438</v>
      </c>
      <c r="F509" s="63" t="s">
        <v>1439</v>
      </c>
    </row>
    <row r="510" spans="2:6" x14ac:dyDescent="0.3">
      <c r="B510" s="63" t="s">
        <v>426</v>
      </c>
      <c r="C510" s="63">
        <v>1757408152662</v>
      </c>
      <c r="D510" s="63" t="s">
        <v>1440</v>
      </c>
      <c r="E510" s="63" t="s">
        <v>428</v>
      </c>
      <c r="F510" s="63" t="s">
        <v>523</v>
      </c>
    </row>
    <row r="511" spans="2:6" x14ac:dyDescent="0.3">
      <c r="B511" s="63" t="s">
        <v>426</v>
      </c>
      <c r="C511" s="63">
        <v>1757408168119</v>
      </c>
      <c r="D511" s="63" t="s">
        <v>1441</v>
      </c>
      <c r="E511" s="63" t="s">
        <v>428</v>
      </c>
      <c r="F511" s="63" t="s">
        <v>447</v>
      </c>
    </row>
    <row r="512" spans="2:6" x14ac:dyDescent="0.3">
      <c r="B512" s="63" t="s">
        <v>1392</v>
      </c>
      <c r="C512" s="63">
        <v>1757408223722</v>
      </c>
      <c r="D512" s="63" t="s">
        <v>1442</v>
      </c>
      <c r="E512" s="63" t="s">
        <v>525</v>
      </c>
      <c r="F512" s="63" t="s">
        <v>1443</v>
      </c>
    </row>
    <row r="513" spans="2:6" x14ac:dyDescent="0.3">
      <c r="B513" s="63" t="s">
        <v>1392</v>
      </c>
      <c r="C513" s="63">
        <v>1757408238847</v>
      </c>
      <c r="D513" s="63" t="s">
        <v>1444</v>
      </c>
      <c r="E513" s="63" t="s">
        <v>520</v>
      </c>
      <c r="F513" s="63" t="s">
        <v>664</v>
      </c>
    </row>
    <row r="514" spans="2:6" x14ac:dyDescent="0.3">
      <c r="B514" s="63" t="s">
        <v>1392</v>
      </c>
      <c r="C514" s="63">
        <v>1757408254360</v>
      </c>
      <c r="D514" s="63" t="s">
        <v>1445</v>
      </c>
      <c r="E514" s="63" t="s">
        <v>525</v>
      </c>
      <c r="F514" s="63" t="s">
        <v>665</v>
      </c>
    </row>
    <row r="515" spans="2:6" x14ac:dyDescent="0.3">
      <c r="B515" s="63" t="s">
        <v>1392</v>
      </c>
      <c r="C515" s="63">
        <v>1757408266580</v>
      </c>
      <c r="D515" s="63" t="s">
        <v>1446</v>
      </c>
      <c r="E515" s="63" t="s">
        <v>424</v>
      </c>
      <c r="F515" s="63" t="s">
        <v>457</v>
      </c>
    </row>
    <row r="516" spans="2:6" x14ac:dyDescent="0.3">
      <c r="B516" s="63" t="s">
        <v>1392</v>
      </c>
      <c r="C516" s="63">
        <v>1757408269488</v>
      </c>
      <c r="D516" s="63" t="s">
        <v>1447</v>
      </c>
      <c r="E516" s="63" t="s">
        <v>520</v>
      </c>
      <c r="F516" s="63" t="s">
        <v>1448</v>
      </c>
    </row>
    <row r="517" spans="2:6" x14ac:dyDescent="0.3">
      <c r="B517" s="63" t="s">
        <v>1392</v>
      </c>
      <c r="C517" s="63">
        <v>1757408293840</v>
      </c>
      <c r="D517" s="63" t="s">
        <v>1449</v>
      </c>
      <c r="E517" s="63" t="s">
        <v>525</v>
      </c>
      <c r="F517" s="63" t="s">
        <v>1450</v>
      </c>
    </row>
    <row r="518" spans="2:6" x14ac:dyDescent="0.3">
      <c r="B518" s="63" t="s">
        <v>1392</v>
      </c>
      <c r="C518" s="63">
        <v>1757408295810</v>
      </c>
      <c r="D518" s="63" t="s">
        <v>1451</v>
      </c>
      <c r="E518" s="63" t="s">
        <v>424</v>
      </c>
      <c r="F518" s="63" t="s">
        <v>459</v>
      </c>
    </row>
    <row r="519" spans="2:6" x14ac:dyDescent="0.3">
      <c r="B519" s="63" t="s">
        <v>1392</v>
      </c>
      <c r="C519" s="63">
        <v>1757408296936</v>
      </c>
      <c r="D519" s="63" t="s">
        <v>1452</v>
      </c>
      <c r="E519" s="63" t="s">
        <v>424</v>
      </c>
      <c r="F519" s="63" t="s">
        <v>461</v>
      </c>
    </row>
    <row r="520" spans="2:6" x14ac:dyDescent="0.3">
      <c r="B520" s="63" t="s">
        <v>1392</v>
      </c>
      <c r="C520" s="63">
        <v>1757408297781</v>
      </c>
      <c r="D520" s="63" t="s">
        <v>1453</v>
      </c>
      <c r="E520" s="63" t="s">
        <v>424</v>
      </c>
      <c r="F520" s="63" t="s">
        <v>449</v>
      </c>
    </row>
    <row r="521" spans="2:6" x14ac:dyDescent="0.3">
      <c r="B521" s="63" t="s">
        <v>1392</v>
      </c>
      <c r="C521" s="63">
        <v>1757408298647</v>
      </c>
      <c r="D521" s="63" t="s">
        <v>1454</v>
      </c>
      <c r="E521" s="63" t="s">
        <v>424</v>
      </c>
      <c r="F521" s="63" t="s">
        <v>451</v>
      </c>
    </row>
    <row r="522" spans="2:6" x14ac:dyDescent="0.3">
      <c r="B522" s="63" t="s">
        <v>1392</v>
      </c>
      <c r="C522" s="63">
        <v>1757408301798</v>
      </c>
      <c r="D522" s="63" t="s">
        <v>1455</v>
      </c>
      <c r="E522" s="63" t="s">
        <v>463</v>
      </c>
      <c r="F522" s="63" t="s">
        <v>464</v>
      </c>
    </row>
    <row r="523" spans="2:6" x14ac:dyDescent="0.3">
      <c r="B523" s="58" t="s">
        <v>1456</v>
      </c>
      <c r="C523" s="58">
        <v>1757408317715</v>
      </c>
      <c r="D523" s="58" t="s">
        <v>1457</v>
      </c>
      <c r="E523" s="58" t="s">
        <v>416</v>
      </c>
      <c r="F523" s="58" t="s">
        <v>573</v>
      </c>
    </row>
    <row r="524" spans="2:6" x14ac:dyDescent="0.3">
      <c r="B524" s="58" t="s">
        <v>1456</v>
      </c>
      <c r="C524" s="58">
        <v>1757408317807</v>
      </c>
      <c r="D524" s="58" t="s">
        <v>1458</v>
      </c>
      <c r="E524" s="58" t="s">
        <v>468</v>
      </c>
      <c r="F524" s="58" t="s">
        <v>1459</v>
      </c>
    </row>
    <row r="525" spans="2:6" x14ac:dyDescent="0.3">
      <c r="B525" s="58" t="s">
        <v>1456</v>
      </c>
      <c r="C525" s="58">
        <v>1757408332065</v>
      </c>
      <c r="D525" s="58" t="s">
        <v>1460</v>
      </c>
      <c r="E525" s="58" t="s">
        <v>419</v>
      </c>
      <c r="F525" s="58" t="s">
        <v>420</v>
      </c>
    </row>
    <row r="526" spans="2:6" x14ac:dyDescent="0.3">
      <c r="B526" s="58" t="s">
        <v>1456</v>
      </c>
      <c r="C526" s="58">
        <v>1757408348680</v>
      </c>
      <c r="D526" s="58" t="s">
        <v>1461</v>
      </c>
      <c r="E526" s="58" t="s">
        <v>389</v>
      </c>
      <c r="F526" s="58" t="s">
        <v>1462</v>
      </c>
    </row>
    <row r="527" spans="2:6" x14ac:dyDescent="0.3">
      <c r="B527" s="58" t="s">
        <v>1456</v>
      </c>
      <c r="C527" s="58">
        <v>1757408348787</v>
      </c>
      <c r="D527" s="58" t="s">
        <v>1463</v>
      </c>
      <c r="E527" s="58" t="s">
        <v>389</v>
      </c>
      <c r="F527" s="58" t="s">
        <v>1464</v>
      </c>
    </row>
    <row r="528" spans="2:6" x14ac:dyDescent="0.3">
      <c r="B528" s="58" t="s">
        <v>1456</v>
      </c>
      <c r="C528" s="58">
        <v>1757408348858</v>
      </c>
      <c r="D528" s="58" t="s">
        <v>1465</v>
      </c>
      <c r="E528" s="58" t="s">
        <v>389</v>
      </c>
      <c r="F528" s="58" t="s">
        <v>1466</v>
      </c>
    </row>
    <row r="529" spans="2:6" x14ac:dyDescent="0.3">
      <c r="B529" s="58" t="s">
        <v>1456</v>
      </c>
      <c r="C529" s="58">
        <v>1757408348924</v>
      </c>
      <c r="D529" s="58" t="s">
        <v>1467</v>
      </c>
      <c r="E529" s="58" t="s">
        <v>389</v>
      </c>
      <c r="F529" s="58" t="s">
        <v>1468</v>
      </c>
    </row>
    <row r="530" spans="2:6" x14ac:dyDescent="0.3">
      <c r="B530" s="58" t="s">
        <v>1456</v>
      </c>
      <c r="C530" s="58">
        <v>1757408349006</v>
      </c>
      <c r="D530" s="58" t="s">
        <v>1469</v>
      </c>
      <c r="E530" s="58" t="s">
        <v>389</v>
      </c>
      <c r="F530" s="58" t="s">
        <v>1470</v>
      </c>
    </row>
    <row r="531" spans="2:6" x14ac:dyDescent="0.3">
      <c r="B531" s="58" t="s">
        <v>1456</v>
      </c>
      <c r="C531" s="58">
        <v>1757408349102</v>
      </c>
      <c r="D531" s="58" t="s">
        <v>1471</v>
      </c>
      <c r="E531" s="58" t="s">
        <v>389</v>
      </c>
      <c r="F531" s="58" t="s">
        <v>1462</v>
      </c>
    </row>
    <row r="532" spans="2:6" x14ac:dyDescent="0.3">
      <c r="B532" s="58" t="s">
        <v>1456</v>
      </c>
      <c r="C532" s="58">
        <v>1757408349179</v>
      </c>
      <c r="D532" s="58" t="s">
        <v>1472</v>
      </c>
      <c r="E532" s="58" t="s">
        <v>389</v>
      </c>
      <c r="F532" s="58" t="s">
        <v>504</v>
      </c>
    </row>
    <row r="533" spans="2:6" x14ac:dyDescent="0.3">
      <c r="B533" s="58" t="s">
        <v>1456</v>
      </c>
      <c r="C533" s="58">
        <v>1757408349254</v>
      </c>
      <c r="D533" s="58" t="s">
        <v>1473</v>
      </c>
      <c r="E533" s="58" t="s">
        <v>389</v>
      </c>
      <c r="F533" s="58" t="s">
        <v>1462</v>
      </c>
    </row>
    <row r="534" spans="2:6" x14ac:dyDescent="0.3">
      <c r="B534" s="58" t="s">
        <v>1456</v>
      </c>
      <c r="C534" s="58">
        <v>1757408349319</v>
      </c>
      <c r="D534" s="58" t="s">
        <v>1474</v>
      </c>
      <c r="E534" s="58" t="s">
        <v>389</v>
      </c>
      <c r="F534" s="58" t="s">
        <v>1475</v>
      </c>
    </row>
    <row r="535" spans="2:6" x14ac:dyDescent="0.3">
      <c r="B535" s="58" t="s">
        <v>1456</v>
      </c>
      <c r="C535" s="58">
        <v>1757408349390</v>
      </c>
      <c r="D535" s="58" t="s">
        <v>1476</v>
      </c>
      <c r="E535" s="58" t="s">
        <v>389</v>
      </c>
      <c r="F535" s="58" t="s">
        <v>398</v>
      </c>
    </row>
    <row r="536" spans="2:6" x14ac:dyDescent="0.3">
      <c r="B536" s="58" t="s">
        <v>1456</v>
      </c>
      <c r="C536" s="58">
        <v>1757408349448</v>
      </c>
      <c r="D536" s="58" t="s">
        <v>1477</v>
      </c>
      <c r="E536" s="58" t="s">
        <v>389</v>
      </c>
      <c r="F536" s="58" t="s">
        <v>1462</v>
      </c>
    </row>
    <row r="537" spans="2:6" x14ac:dyDescent="0.3">
      <c r="B537" s="58" t="s">
        <v>1456</v>
      </c>
      <c r="C537" s="58">
        <v>1757408349519</v>
      </c>
      <c r="D537" s="58" t="s">
        <v>1478</v>
      </c>
      <c r="E537" s="58" t="s">
        <v>389</v>
      </c>
      <c r="F537" s="58" t="s">
        <v>504</v>
      </c>
    </row>
    <row r="538" spans="2:6" x14ac:dyDescent="0.3">
      <c r="B538" s="58" t="s">
        <v>1456</v>
      </c>
      <c r="C538" s="58">
        <v>1757408349625</v>
      </c>
      <c r="D538" s="58" t="s">
        <v>1479</v>
      </c>
      <c r="E538" s="58" t="s">
        <v>389</v>
      </c>
      <c r="F538" s="58" t="s">
        <v>1466</v>
      </c>
    </row>
    <row r="539" spans="2:6" x14ac:dyDescent="0.3">
      <c r="B539" s="58" t="s">
        <v>1456</v>
      </c>
      <c r="C539" s="58">
        <v>1757408349805</v>
      </c>
      <c r="D539" s="58" t="s">
        <v>1480</v>
      </c>
      <c r="E539" s="58" t="s">
        <v>389</v>
      </c>
      <c r="F539" s="58" t="s">
        <v>1468</v>
      </c>
    </row>
    <row r="540" spans="2:6" x14ac:dyDescent="0.3">
      <c r="B540" s="58" t="s">
        <v>1456</v>
      </c>
      <c r="C540" s="58">
        <v>1757408349914</v>
      </c>
      <c r="D540" s="58" t="s">
        <v>1481</v>
      </c>
      <c r="E540" s="58" t="s">
        <v>389</v>
      </c>
      <c r="F540" s="58" t="s">
        <v>1462</v>
      </c>
    </row>
    <row r="541" spans="2:6" x14ac:dyDescent="0.3">
      <c r="B541" s="58" t="s">
        <v>1456</v>
      </c>
      <c r="C541" s="58">
        <v>1757408349994</v>
      </c>
      <c r="D541" s="58" t="s">
        <v>1482</v>
      </c>
      <c r="E541" s="58" t="s">
        <v>389</v>
      </c>
      <c r="F541" s="58" t="s">
        <v>504</v>
      </c>
    </row>
    <row r="542" spans="2:6" x14ac:dyDescent="0.3">
      <c r="B542" s="58" t="s">
        <v>1456</v>
      </c>
      <c r="C542" s="58">
        <v>1757408350151</v>
      </c>
      <c r="D542" s="58" t="s">
        <v>1483</v>
      </c>
      <c r="E542" s="58" t="s">
        <v>389</v>
      </c>
      <c r="F542" s="58" t="s">
        <v>1470</v>
      </c>
    </row>
    <row r="543" spans="2:6" x14ac:dyDescent="0.3">
      <c r="B543" s="58" t="s">
        <v>1456</v>
      </c>
      <c r="C543" s="58">
        <v>1757408350237</v>
      </c>
      <c r="D543" s="58" t="s">
        <v>1484</v>
      </c>
      <c r="E543" s="58" t="s">
        <v>389</v>
      </c>
      <c r="F543" s="58" t="s">
        <v>1475</v>
      </c>
    </row>
    <row r="544" spans="2:6" x14ac:dyDescent="0.3">
      <c r="B544" s="58" t="s">
        <v>1456</v>
      </c>
      <c r="C544" s="58">
        <v>1757408350316</v>
      </c>
      <c r="D544" s="58" t="s">
        <v>1485</v>
      </c>
      <c r="E544" s="58" t="s">
        <v>389</v>
      </c>
      <c r="F544" s="58" t="s">
        <v>1466</v>
      </c>
    </row>
    <row r="545" spans="2:6" x14ac:dyDescent="0.3">
      <c r="B545" s="58" t="s">
        <v>1456</v>
      </c>
      <c r="C545" s="58">
        <v>1757408350391</v>
      </c>
      <c r="D545" s="58" t="s">
        <v>1486</v>
      </c>
      <c r="E545" s="58" t="s">
        <v>389</v>
      </c>
      <c r="F545" s="58" t="s">
        <v>1126</v>
      </c>
    </row>
    <row r="546" spans="2:6" x14ac:dyDescent="0.3">
      <c r="B546" s="58" t="s">
        <v>1456</v>
      </c>
      <c r="C546" s="58">
        <v>1757408350452</v>
      </c>
      <c r="D546" s="58" t="s">
        <v>1487</v>
      </c>
      <c r="E546" s="58" t="s">
        <v>389</v>
      </c>
      <c r="F546" s="58" t="s">
        <v>1464</v>
      </c>
    </row>
    <row r="547" spans="2:6" x14ac:dyDescent="0.3">
      <c r="B547" s="58" t="s">
        <v>1456</v>
      </c>
      <c r="C547" s="58">
        <v>1757408350524</v>
      </c>
      <c r="D547" s="58" t="s">
        <v>1488</v>
      </c>
      <c r="E547" s="58" t="s">
        <v>389</v>
      </c>
      <c r="F547" s="58" t="s">
        <v>504</v>
      </c>
    </row>
    <row r="548" spans="2:6" x14ac:dyDescent="0.3">
      <c r="B548" s="58" t="s">
        <v>1456</v>
      </c>
      <c r="C548" s="58">
        <v>1757408350590</v>
      </c>
      <c r="D548" s="58" t="s">
        <v>1489</v>
      </c>
      <c r="E548" s="58" t="s">
        <v>389</v>
      </c>
      <c r="F548" s="58" t="s">
        <v>1470</v>
      </c>
    </row>
    <row r="549" spans="2:6" x14ac:dyDescent="0.3">
      <c r="B549" s="58" t="s">
        <v>1456</v>
      </c>
      <c r="C549" s="58">
        <v>1757408350665</v>
      </c>
      <c r="D549" s="58" t="s">
        <v>1490</v>
      </c>
      <c r="E549" s="58" t="s">
        <v>389</v>
      </c>
      <c r="F549" s="58" t="s">
        <v>504</v>
      </c>
    </row>
    <row r="550" spans="2:6" x14ac:dyDescent="0.3">
      <c r="B550" s="58" t="s">
        <v>1456</v>
      </c>
      <c r="C550" s="58">
        <v>1757408350730</v>
      </c>
      <c r="D550" s="58" t="s">
        <v>1491</v>
      </c>
      <c r="E550" s="58" t="s">
        <v>389</v>
      </c>
      <c r="F550" s="58" t="s">
        <v>1470</v>
      </c>
    </row>
    <row r="551" spans="2:6" x14ac:dyDescent="0.3">
      <c r="B551" s="58" t="s">
        <v>1456</v>
      </c>
      <c r="C551" s="58">
        <v>1757408350798</v>
      </c>
      <c r="D551" s="58" t="s">
        <v>1492</v>
      </c>
      <c r="E551" s="58" t="s">
        <v>389</v>
      </c>
      <c r="F551" s="58" t="s">
        <v>1493</v>
      </c>
    </row>
    <row r="552" spans="2:6" x14ac:dyDescent="0.3">
      <c r="B552" s="58" t="s">
        <v>1456</v>
      </c>
      <c r="C552" s="58">
        <v>1757408350863</v>
      </c>
      <c r="D552" s="58" t="s">
        <v>1494</v>
      </c>
      <c r="E552" s="58" t="s">
        <v>389</v>
      </c>
      <c r="F552" s="58" t="s">
        <v>1462</v>
      </c>
    </row>
    <row r="553" spans="2:6" x14ac:dyDescent="0.3">
      <c r="B553" s="58" t="s">
        <v>1456</v>
      </c>
      <c r="C553" s="58">
        <v>1757408350932</v>
      </c>
      <c r="D553" s="58" t="s">
        <v>1495</v>
      </c>
      <c r="E553" s="58" t="s">
        <v>389</v>
      </c>
      <c r="F553" s="58" t="s">
        <v>1470</v>
      </c>
    </row>
    <row r="554" spans="2:6" x14ac:dyDescent="0.3">
      <c r="B554" s="58" t="s">
        <v>1456</v>
      </c>
      <c r="C554" s="58">
        <v>1757408350996</v>
      </c>
      <c r="D554" s="58" t="s">
        <v>1496</v>
      </c>
      <c r="E554" s="58" t="s">
        <v>389</v>
      </c>
      <c r="F554" s="58" t="s">
        <v>504</v>
      </c>
    </row>
    <row r="555" spans="2:6" x14ac:dyDescent="0.3">
      <c r="B555" s="58" t="s">
        <v>1456</v>
      </c>
      <c r="C555" s="58">
        <v>1757408351065</v>
      </c>
      <c r="D555" s="58" t="s">
        <v>1497</v>
      </c>
      <c r="E555" s="58" t="s">
        <v>389</v>
      </c>
      <c r="F555" s="58" t="s">
        <v>1470</v>
      </c>
    </row>
    <row r="556" spans="2:6" x14ac:dyDescent="0.3">
      <c r="B556" s="58" t="s">
        <v>1456</v>
      </c>
      <c r="C556" s="58">
        <v>1757408351142</v>
      </c>
      <c r="D556" s="58" t="s">
        <v>1498</v>
      </c>
      <c r="E556" s="58" t="s">
        <v>389</v>
      </c>
      <c r="F556" s="58" t="s">
        <v>1462</v>
      </c>
    </row>
    <row r="557" spans="2:6" x14ac:dyDescent="0.3">
      <c r="B557" s="58" t="s">
        <v>1456</v>
      </c>
      <c r="C557" s="58">
        <v>1757408351200</v>
      </c>
      <c r="D557" s="58" t="s">
        <v>1499</v>
      </c>
      <c r="E557" s="58" t="s">
        <v>389</v>
      </c>
      <c r="F557" s="58" t="s">
        <v>1470</v>
      </c>
    </row>
    <row r="558" spans="2:6" x14ac:dyDescent="0.3">
      <c r="B558" s="58" t="s">
        <v>1456</v>
      </c>
      <c r="C558" s="58">
        <v>1757408351263</v>
      </c>
      <c r="D558" s="58" t="s">
        <v>1500</v>
      </c>
      <c r="E558" s="58" t="s">
        <v>389</v>
      </c>
      <c r="F558" s="58" t="s">
        <v>504</v>
      </c>
    </row>
    <row r="559" spans="2:6" x14ac:dyDescent="0.3">
      <c r="B559" s="58" t="s">
        <v>1456</v>
      </c>
      <c r="C559" s="58">
        <v>1757408351328</v>
      </c>
      <c r="D559" s="58" t="s">
        <v>1501</v>
      </c>
      <c r="E559" s="58" t="s">
        <v>389</v>
      </c>
      <c r="F559" s="58" t="s">
        <v>1462</v>
      </c>
    </row>
    <row r="560" spans="2:6" x14ac:dyDescent="0.3">
      <c r="B560" s="58" t="s">
        <v>1456</v>
      </c>
      <c r="C560" s="58">
        <v>1757408351402</v>
      </c>
      <c r="D560" s="58" t="s">
        <v>1502</v>
      </c>
      <c r="E560" s="58" t="s">
        <v>389</v>
      </c>
      <c r="F560" s="58" t="s">
        <v>1470</v>
      </c>
    </row>
    <row r="561" spans="2:6" x14ac:dyDescent="0.3">
      <c r="B561" s="58" t="s">
        <v>1456</v>
      </c>
      <c r="C561" s="58">
        <v>1757408351497</v>
      </c>
      <c r="D561" s="58" t="s">
        <v>1503</v>
      </c>
      <c r="E561" s="58" t="s">
        <v>389</v>
      </c>
      <c r="F561" s="58" t="s">
        <v>1462</v>
      </c>
    </row>
    <row r="562" spans="2:6" x14ac:dyDescent="0.3">
      <c r="B562" s="58" t="s">
        <v>1456</v>
      </c>
      <c r="C562" s="58">
        <v>1757408351573</v>
      </c>
      <c r="D562" s="58" t="s">
        <v>1504</v>
      </c>
      <c r="E562" s="58" t="s">
        <v>389</v>
      </c>
      <c r="F562" s="58" t="s">
        <v>1470</v>
      </c>
    </row>
    <row r="563" spans="2:6" x14ac:dyDescent="0.3">
      <c r="B563" s="58" t="s">
        <v>1456</v>
      </c>
      <c r="C563" s="58">
        <v>1757408351637</v>
      </c>
      <c r="D563" s="58" t="s">
        <v>1505</v>
      </c>
      <c r="E563" s="58" t="s">
        <v>389</v>
      </c>
      <c r="F563" s="58" t="s">
        <v>1462</v>
      </c>
    </row>
    <row r="564" spans="2:6" x14ac:dyDescent="0.3">
      <c r="B564" s="58" t="s">
        <v>1456</v>
      </c>
      <c r="C564" s="58">
        <v>1757408351709</v>
      </c>
      <c r="D564" s="58" t="s">
        <v>1506</v>
      </c>
      <c r="E564" s="58" t="s">
        <v>389</v>
      </c>
      <c r="F564" s="58" t="s">
        <v>1470</v>
      </c>
    </row>
    <row r="565" spans="2:6" x14ac:dyDescent="0.3">
      <c r="B565" s="58" t="s">
        <v>1456</v>
      </c>
      <c r="C565" s="58">
        <v>1757408351787</v>
      </c>
      <c r="D565" s="58" t="s">
        <v>1507</v>
      </c>
      <c r="E565" s="58" t="s">
        <v>389</v>
      </c>
      <c r="F565" s="58" t="s">
        <v>1462</v>
      </c>
    </row>
    <row r="566" spans="2:6" x14ac:dyDescent="0.3">
      <c r="B566" s="58" t="s">
        <v>1456</v>
      </c>
      <c r="C566" s="58">
        <v>1757408351853</v>
      </c>
      <c r="D566" s="58" t="s">
        <v>1508</v>
      </c>
      <c r="E566" s="58" t="s">
        <v>389</v>
      </c>
      <c r="F566" s="58" t="s">
        <v>504</v>
      </c>
    </row>
    <row r="567" spans="2:6" x14ac:dyDescent="0.3">
      <c r="B567" s="58" t="s">
        <v>1456</v>
      </c>
      <c r="C567" s="58">
        <v>1757408351925</v>
      </c>
      <c r="D567" s="58" t="s">
        <v>1509</v>
      </c>
      <c r="E567" s="58" t="s">
        <v>389</v>
      </c>
      <c r="F567" s="58" t="s">
        <v>1470</v>
      </c>
    </row>
    <row r="568" spans="2:6" x14ac:dyDescent="0.3">
      <c r="B568" s="58" t="s">
        <v>1456</v>
      </c>
      <c r="C568" s="58">
        <v>1757408351992</v>
      </c>
      <c r="D568" s="58" t="s">
        <v>1510</v>
      </c>
      <c r="E568" s="58" t="s">
        <v>389</v>
      </c>
      <c r="F568" s="58" t="s">
        <v>1462</v>
      </c>
    </row>
    <row r="569" spans="2:6" x14ac:dyDescent="0.3">
      <c r="B569" s="58" t="s">
        <v>1456</v>
      </c>
      <c r="C569" s="58">
        <v>1757408352072</v>
      </c>
      <c r="D569" s="58" t="s">
        <v>1511</v>
      </c>
      <c r="E569" s="58" t="s">
        <v>389</v>
      </c>
      <c r="F569" s="58" t="s">
        <v>1470</v>
      </c>
    </row>
    <row r="570" spans="2:6" x14ac:dyDescent="0.3">
      <c r="B570" s="58" t="s">
        <v>1456</v>
      </c>
      <c r="C570" s="58">
        <v>1757408352168</v>
      </c>
      <c r="D570" s="58" t="s">
        <v>1512</v>
      </c>
      <c r="E570" s="58" t="s">
        <v>389</v>
      </c>
      <c r="F570" s="58" t="s">
        <v>1462</v>
      </c>
    </row>
    <row r="571" spans="2:6" x14ac:dyDescent="0.3">
      <c r="B571" s="58" t="s">
        <v>1456</v>
      </c>
      <c r="C571" s="58">
        <v>1757408352267</v>
      </c>
      <c r="D571" s="58" t="s">
        <v>1513</v>
      </c>
      <c r="E571" s="58" t="s">
        <v>389</v>
      </c>
      <c r="F571" s="58" t="s">
        <v>1470</v>
      </c>
    </row>
    <row r="572" spans="2:6" x14ac:dyDescent="0.3">
      <c r="B572" s="58" t="s">
        <v>1456</v>
      </c>
      <c r="C572" s="58">
        <v>1757408352380</v>
      </c>
      <c r="D572" s="58" t="s">
        <v>1514</v>
      </c>
      <c r="E572" s="58" t="s">
        <v>389</v>
      </c>
      <c r="F572" s="58" t="s">
        <v>504</v>
      </c>
    </row>
    <row r="573" spans="2:6" x14ac:dyDescent="0.3">
      <c r="B573" s="58" t="s">
        <v>1456</v>
      </c>
      <c r="C573" s="58">
        <v>1757408353247</v>
      </c>
      <c r="D573" s="58" t="s">
        <v>1515</v>
      </c>
      <c r="E573" s="58" t="s">
        <v>389</v>
      </c>
      <c r="F573" s="58" t="s">
        <v>398</v>
      </c>
    </row>
    <row r="574" spans="2:6" x14ac:dyDescent="0.3">
      <c r="B574" s="58" t="s">
        <v>1456</v>
      </c>
      <c r="C574" s="58">
        <v>1757408359292</v>
      </c>
      <c r="D574" s="58" t="s">
        <v>1516</v>
      </c>
      <c r="E574" s="58" t="s">
        <v>422</v>
      </c>
      <c r="F574" s="58" t="s">
        <v>420</v>
      </c>
    </row>
    <row r="575" spans="2:6" x14ac:dyDescent="0.3">
      <c r="B575" s="58" t="s">
        <v>1456</v>
      </c>
      <c r="C575" s="58">
        <v>1757408374439</v>
      </c>
      <c r="D575" s="58" t="s">
        <v>1517</v>
      </c>
      <c r="E575" s="58" t="s">
        <v>520</v>
      </c>
      <c r="F575" s="58" t="s">
        <v>1435</v>
      </c>
    </row>
    <row r="576" spans="2:6" x14ac:dyDescent="0.3">
      <c r="B576" s="58" t="s">
        <v>426</v>
      </c>
      <c r="C576" s="58">
        <v>1757408378407</v>
      </c>
      <c r="D576" s="58" t="s">
        <v>1518</v>
      </c>
      <c r="E576" s="58" t="s">
        <v>428</v>
      </c>
      <c r="F576" s="58" t="s">
        <v>435</v>
      </c>
    </row>
    <row r="577" spans="2:6" x14ac:dyDescent="0.3">
      <c r="B577" s="58" t="s">
        <v>1456</v>
      </c>
      <c r="C577" s="58">
        <v>1757408385814</v>
      </c>
      <c r="D577" s="58" t="s">
        <v>1519</v>
      </c>
      <c r="E577" s="58" t="s">
        <v>525</v>
      </c>
      <c r="F577" s="58" t="s">
        <v>1443</v>
      </c>
    </row>
    <row r="578" spans="2:6" x14ac:dyDescent="0.3">
      <c r="B578" s="58" t="s">
        <v>426</v>
      </c>
      <c r="C578" s="58">
        <v>1757408397563</v>
      </c>
      <c r="D578" s="58" t="s">
        <v>1520</v>
      </c>
      <c r="E578" s="58" t="s">
        <v>428</v>
      </c>
      <c r="F578" s="58" t="s">
        <v>437</v>
      </c>
    </row>
    <row r="579" spans="2:6" x14ac:dyDescent="0.3">
      <c r="B579" s="58" t="s">
        <v>1456</v>
      </c>
      <c r="C579" s="58">
        <v>1757408400940</v>
      </c>
      <c r="D579" s="58" t="s">
        <v>1521</v>
      </c>
      <c r="E579" s="58" t="s">
        <v>520</v>
      </c>
      <c r="F579" s="58" t="s">
        <v>994</v>
      </c>
    </row>
    <row r="580" spans="2:6" x14ac:dyDescent="0.3">
      <c r="B580" s="58" t="s">
        <v>1456</v>
      </c>
      <c r="C580" s="58">
        <v>1757408415396</v>
      </c>
      <c r="D580" s="58" t="s">
        <v>1522</v>
      </c>
      <c r="E580" s="58" t="s">
        <v>525</v>
      </c>
      <c r="F580" s="58" t="s">
        <v>997</v>
      </c>
    </row>
    <row r="581" spans="2:6" x14ac:dyDescent="0.3">
      <c r="B581" s="58" t="s">
        <v>426</v>
      </c>
      <c r="C581" s="58">
        <v>1757408415976</v>
      </c>
      <c r="D581" s="58" t="s">
        <v>1523</v>
      </c>
      <c r="E581" s="58" t="s">
        <v>428</v>
      </c>
      <c r="F581" s="58" t="s">
        <v>439</v>
      </c>
    </row>
    <row r="582" spans="2:6" x14ac:dyDescent="0.3">
      <c r="B582" s="58" t="s">
        <v>1456</v>
      </c>
      <c r="C582" s="58">
        <v>1757408426839</v>
      </c>
      <c r="D582" s="58" t="s">
        <v>1525</v>
      </c>
      <c r="E582" s="58" t="s">
        <v>424</v>
      </c>
      <c r="F582" s="58" t="s">
        <v>441</v>
      </c>
    </row>
    <row r="583" spans="2:6" x14ac:dyDescent="0.3">
      <c r="B583" s="58" t="s">
        <v>1456</v>
      </c>
      <c r="C583" s="58">
        <v>1757408430530</v>
      </c>
      <c r="D583" s="58" t="s">
        <v>1526</v>
      </c>
      <c r="E583" s="58" t="s">
        <v>520</v>
      </c>
      <c r="F583" s="58" t="s">
        <v>994</v>
      </c>
    </row>
    <row r="584" spans="2:6" x14ac:dyDescent="0.3">
      <c r="B584" s="58" t="s">
        <v>426</v>
      </c>
      <c r="C584" s="58">
        <v>1757408431503</v>
      </c>
      <c r="D584" s="58" t="s">
        <v>1527</v>
      </c>
      <c r="E584" s="58" t="s">
        <v>428</v>
      </c>
      <c r="F584" s="58" t="s">
        <v>429</v>
      </c>
    </row>
    <row r="585" spans="2:6" x14ac:dyDescent="0.3">
      <c r="B585" s="58" t="s">
        <v>1456</v>
      </c>
      <c r="C585" s="58">
        <v>1757408441240</v>
      </c>
      <c r="D585" s="58" t="s">
        <v>1528</v>
      </c>
      <c r="E585" s="58" t="s">
        <v>525</v>
      </c>
      <c r="F585" s="58" t="s">
        <v>997</v>
      </c>
    </row>
    <row r="586" spans="2:6" x14ac:dyDescent="0.3">
      <c r="B586" s="58" t="s">
        <v>426</v>
      </c>
      <c r="C586" s="58">
        <v>1757408446203</v>
      </c>
      <c r="D586" s="58" t="s">
        <v>1529</v>
      </c>
      <c r="E586" s="58" t="s">
        <v>428</v>
      </c>
      <c r="F586" s="58" t="s">
        <v>431</v>
      </c>
    </row>
    <row r="587" spans="2:6" x14ac:dyDescent="0.3">
      <c r="B587" s="58" t="s">
        <v>1456</v>
      </c>
      <c r="C587" s="58">
        <v>1757408450966</v>
      </c>
      <c r="D587" s="58" t="s">
        <v>1530</v>
      </c>
      <c r="E587" s="58" t="s">
        <v>424</v>
      </c>
      <c r="F587" s="58" t="s">
        <v>433</v>
      </c>
    </row>
    <row r="588" spans="2:6" x14ac:dyDescent="0.3">
      <c r="B588" s="58" t="s">
        <v>1456</v>
      </c>
      <c r="C588" s="58">
        <v>1757408456365</v>
      </c>
      <c r="D588" s="58" t="s">
        <v>1531</v>
      </c>
      <c r="E588" s="58" t="s">
        <v>520</v>
      </c>
      <c r="F588" s="58" t="s">
        <v>1532</v>
      </c>
    </row>
    <row r="589" spans="2:6" x14ac:dyDescent="0.3">
      <c r="B589" s="58" t="s">
        <v>426</v>
      </c>
      <c r="C589" s="58">
        <v>1757408462397</v>
      </c>
      <c r="D589" s="58" t="s">
        <v>1533</v>
      </c>
      <c r="E589" s="58" t="s">
        <v>428</v>
      </c>
      <c r="F589" s="58" t="s">
        <v>538</v>
      </c>
    </row>
    <row r="590" spans="2:6" x14ac:dyDescent="0.3">
      <c r="B590" s="58" t="s">
        <v>1456</v>
      </c>
      <c r="C590" s="58">
        <v>1757408469075</v>
      </c>
      <c r="D590" s="58" t="s">
        <v>1534</v>
      </c>
      <c r="E590" s="58" t="s">
        <v>525</v>
      </c>
      <c r="F590" s="58" t="s">
        <v>1535</v>
      </c>
    </row>
    <row r="591" spans="2:6" x14ac:dyDescent="0.3">
      <c r="B591" s="58" t="s">
        <v>426</v>
      </c>
      <c r="C591" s="58">
        <v>1757408480140</v>
      </c>
      <c r="D591" s="58" t="s">
        <v>1536</v>
      </c>
      <c r="E591" s="58" t="s">
        <v>428</v>
      </c>
      <c r="F591" s="58" t="s">
        <v>672</v>
      </c>
    </row>
    <row r="592" spans="2:6" x14ac:dyDescent="0.3">
      <c r="B592" s="58" t="s">
        <v>1456</v>
      </c>
      <c r="C592" s="58">
        <v>1757408484210</v>
      </c>
      <c r="D592" s="58" t="s">
        <v>1537</v>
      </c>
      <c r="E592" s="58" t="s">
        <v>520</v>
      </c>
      <c r="F592" s="58" t="s">
        <v>529</v>
      </c>
    </row>
    <row r="593" spans="2:6" x14ac:dyDescent="0.3">
      <c r="B593" s="58" t="s">
        <v>426</v>
      </c>
      <c r="C593" s="58">
        <v>1757408494873</v>
      </c>
      <c r="D593" s="58" t="s">
        <v>1538</v>
      </c>
      <c r="E593" s="58" t="s">
        <v>428</v>
      </c>
      <c r="F593" s="58" t="s">
        <v>453</v>
      </c>
    </row>
    <row r="594" spans="2:6" x14ac:dyDescent="0.3">
      <c r="B594" s="58" t="s">
        <v>1456</v>
      </c>
      <c r="C594" s="58">
        <v>1757408499226</v>
      </c>
      <c r="D594" s="58" t="s">
        <v>1539</v>
      </c>
      <c r="E594" s="58" t="s">
        <v>525</v>
      </c>
      <c r="F594" s="58" t="s">
        <v>531</v>
      </c>
    </row>
    <row r="595" spans="2:6" x14ac:dyDescent="0.3">
      <c r="B595" s="58" t="s">
        <v>426</v>
      </c>
      <c r="C595" s="58">
        <v>1757408511832</v>
      </c>
      <c r="D595" s="58" t="s">
        <v>1540</v>
      </c>
      <c r="E595" s="58" t="s">
        <v>428</v>
      </c>
      <c r="F595" s="58" t="s">
        <v>523</v>
      </c>
    </row>
    <row r="596" spans="2:6" x14ac:dyDescent="0.3">
      <c r="B596" s="58" t="s">
        <v>1456</v>
      </c>
      <c r="C596" s="58">
        <v>1757408514346</v>
      </c>
      <c r="D596" s="58" t="s">
        <v>1541</v>
      </c>
      <c r="E596" s="58" t="s">
        <v>520</v>
      </c>
      <c r="F596" s="58" t="s">
        <v>949</v>
      </c>
    </row>
    <row r="597" spans="2:6" x14ac:dyDescent="0.3">
      <c r="B597" s="58" t="s">
        <v>1456</v>
      </c>
      <c r="C597" s="58">
        <v>1757408524540</v>
      </c>
      <c r="D597" s="58" t="s">
        <v>1542</v>
      </c>
      <c r="E597" s="58" t="s">
        <v>525</v>
      </c>
      <c r="F597" s="58" t="s">
        <v>951</v>
      </c>
    </row>
    <row r="598" spans="2:6" x14ac:dyDescent="0.3">
      <c r="B598" s="58" t="s">
        <v>426</v>
      </c>
      <c r="C598" s="58">
        <v>1757408526537</v>
      </c>
      <c r="D598" s="58" t="s">
        <v>1543</v>
      </c>
      <c r="E598" s="58" t="s">
        <v>428</v>
      </c>
      <c r="F598" s="58" t="s">
        <v>447</v>
      </c>
    </row>
    <row r="599" spans="2:6" x14ac:dyDescent="0.3">
      <c r="B599" s="58" t="s">
        <v>1456</v>
      </c>
      <c r="C599" s="58">
        <v>1757408529351</v>
      </c>
      <c r="D599" s="58" t="s">
        <v>1544</v>
      </c>
      <c r="E599" s="58" t="s">
        <v>424</v>
      </c>
      <c r="F599" s="58" t="s">
        <v>457</v>
      </c>
    </row>
    <row r="600" spans="2:6" x14ac:dyDescent="0.3">
      <c r="B600" s="58" t="s">
        <v>1456</v>
      </c>
      <c r="C600" s="58">
        <v>1757408536897</v>
      </c>
      <c r="D600" s="58" t="s">
        <v>1545</v>
      </c>
      <c r="E600" s="58" t="s">
        <v>424</v>
      </c>
      <c r="F600" s="58" t="s">
        <v>459</v>
      </c>
    </row>
    <row r="601" spans="2:6" x14ac:dyDescent="0.3">
      <c r="B601" s="58" t="s">
        <v>1456</v>
      </c>
      <c r="C601" s="58">
        <v>1757408539671</v>
      </c>
      <c r="D601" s="58" t="s">
        <v>1546</v>
      </c>
      <c r="E601" s="58" t="s">
        <v>520</v>
      </c>
      <c r="F601" s="58" t="s">
        <v>1532</v>
      </c>
    </row>
    <row r="602" spans="2:6" x14ac:dyDescent="0.3">
      <c r="B602" s="58" t="s">
        <v>426</v>
      </c>
      <c r="C602" s="58">
        <v>1757408547114</v>
      </c>
      <c r="D602" s="58" t="s">
        <v>1547</v>
      </c>
      <c r="E602" s="58" t="s">
        <v>428</v>
      </c>
      <c r="F602" s="58" t="s">
        <v>455</v>
      </c>
    </row>
    <row r="603" spans="2:6" x14ac:dyDescent="0.3">
      <c r="B603" s="58" t="s">
        <v>1456</v>
      </c>
      <c r="C603" s="58">
        <v>1757408548232</v>
      </c>
      <c r="D603" s="58" t="s">
        <v>1548</v>
      </c>
      <c r="E603" s="58" t="s">
        <v>525</v>
      </c>
      <c r="F603" s="58" t="s">
        <v>1535</v>
      </c>
    </row>
    <row r="604" spans="2:6" x14ac:dyDescent="0.3">
      <c r="B604" s="58" t="s">
        <v>1456</v>
      </c>
      <c r="C604" s="58">
        <v>1757408563357</v>
      </c>
      <c r="D604" s="58" t="s">
        <v>1549</v>
      </c>
      <c r="E604" s="58" t="s">
        <v>520</v>
      </c>
      <c r="F604" s="58" t="s">
        <v>559</v>
      </c>
    </row>
    <row r="605" spans="2:6" x14ac:dyDescent="0.3">
      <c r="B605" s="58" t="s">
        <v>1456</v>
      </c>
      <c r="C605" s="58">
        <v>1757408569608</v>
      </c>
      <c r="D605" s="58" t="s">
        <v>1550</v>
      </c>
      <c r="E605" s="58" t="s">
        <v>525</v>
      </c>
      <c r="F605" s="58" t="s">
        <v>561</v>
      </c>
    </row>
    <row r="606" spans="2:6" x14ac:dyDescent="0.3">
      <c r="B606" s="58" t="s">
        <v>1456</v>
      </c>
      <c r="C606" s="58">
        <v>1757408573467</v>
      </c>
      <c r="D606" s="58" t="s">
        <v>1551</v>
      </c>
      <c r="E606" s="58" t="s">
        <v>424</v>
      </c>
      <c r="F606" s="58" t="s">
        <v>461</v>
      </c>
    </row>
    <row r="607" spans="2:6" x14ac:dyDescent="0.3">
      <c r="B607" s="58" t="s">
        <v>1456</v>
      </c>
      <c r="C607" s="58">
        <v>1757408574006</v>
      </c>
      <c r="D607" s="58" t="s">
        <v>1552</v>
      </c>
      <c r="E607" s="58" t="s">
        <v>424</v>
      </c>
      <c r="F607" s="58" t="s">
        <v>449</v>
      </c>
    </row>
    <row r="608" spans="2:6" x14ac:dyDescent="0.3">
      <c r="B608" s="58" t="s">
        <v>1456</v>
      </c>
      <c r="C608" s="58">
        <v>1757408579431</v>
      </c>
      <c r="D608" s="58" t="s">
        <v>1553</v>
      </c>
      <c r="E608" s="58" t="s">
        <v>424</v>
      </c>
      <c r="F608" s="58" t="s">
        <v>451</v>
      </c>
    </row>
    <row r="609" spans="1:7" x14ac:dyDescent="0.3">
      <c r="B609" s="58" t="s">
        <v>1456</v>
      </c>
      <c r="C609" s="58">
        <v>1757408581473</v>
      </c>
      <c r="D609" s="58" t="s">
        <v>1554</v>
      </c>
      <c r="E609" s="58" t="s">
        <v>463</v>
      </c>
      <c r="F609" s="58" t="s">
        <v>464</v>
      </c>
    </row>
    <row r="610" spans="1:7" ht="23.4" x14ac:dyDescent="0.45">
      <c r="A610" s="68" t="s">
        <v>40</v>
      </c>
      <c r="B610" s="63" t="s">
        <v>1555</v>
      </c>
      <c r="C610" s="63">
        <v>1757411276088</v>
      </c>
      <c r="D610" s="63" t="s">
        <v>1556</v>
      </c>
      <c r="E610" s="63" t="s">
        <v>416</v>
      </c>
      <c r="F610" s="63" t="s">
        <v>492</v>
      </c>
      <c r="G610" s="63"/>
    </row>
    <row r="611" spans="1:7" x14ac:dyDescent="0.3">
      <c r="B611" s="63" t="s">
        <v>1555</v>
      </c>
      <c r="C611" s="63">
        <v>1757411281849</v>
      </c>
      <c r="D611" s="63" t="s">
        <v>1557</v>
      </c>
      <c r="E611" s="63" t="s">
        <v>419</v>
      </c>
      <c r="F611" s="63" t="s">
        <v>420</v>
      </c>
      <c r="G611" s="63"/>
    </row>
    <row r="612" spans="1:7" x14ac:dyDescent="0.3">
      <c r="B612" s="63" t="s">
        <v>1555</v>
      </c>
      <c r="C612" s="63">
        <v>1757411337197</v>
      </c>
      <c r="D612" s="63" t="s">
        <v>1558</v>
      </c>
      <c r="E612" s="63" t="s">
        <v>389</v>
      </c>
      <c r="F612" s="63" t="s">
        <v>1559</v>
      </c>
      <c r="G612" s="63"/>
    </row>
    <row r="613" spans="1:7" x14ac:dyDescent="0.3">
      <c r="B613" s="63" t="s">
        <v>1555</v>
      </c>
      <c r="C613" s="63">
        <v>1757411337286</v>
      </c>
      <c r="D613" s="63" t="s">
        <v>1560</v>
      </c>
      <c r="E613" s="63" t="s">
        <v>389</v>
      </c>
      <c r="F613" s="63" t="s">
        <v>1559</v>
      </c>
      <c r="G613" s="63"/>
    </row>
    <row r="614" spans="1:7" x14ac:dyDescent="0.3">
      <c r="B614" s="63" t="s">
        <v>1555</v>
      </c>
      <c r="C614" s="63">
        <v>1757411337407</v>
      </c>
      <c r="D614" s="63" t="s">
        <v>1561</v>
      </c>
      <c r="E614" s="63" t="s">
        <v>389</v>
      </c>
      <c r="F614" s="63" t="s">
        <v>1562</v>
      </c>
      <c r="G614" s="63"/>
    </row>
    <row r="615" spans="1:7" x14ac:dyDescent="0.3">
      <c r="B615" s="63" t="s">
        <v>1555</v>
      </c>
      <c r="C615" s="63">
        <v>1757411337542</v>
      </c>
      <c r="D615" s="63" t="s">
        <v>1563</v>
      </c>
      <c r="E615" s="63" t="s">
        <v>389</v>
      </c>
      <c r="F615" s="63" t="s">
        <v>1564</v>
      </c>
      <c r="G615" s="63"/>
    </row>
    <row r="616" spans="1:7" x14ac:dyDescent="0.3">
      <c r="B616" s="63" t="s">
        <v>1555</v>
      </c>
      <c r="C616" s="63">
        <v>1757411337656</v>
      </c>
      <c r="D616" s="63" t="s">
        <v>1565</v>
      </c>
      <c r="E616" s="63" t="s">
        <v>389</v>
      </c>
      <c r="F616" s="63" t="s">
        <v>1566</v>
      </c>
      <c r="G616" s="63"/>
    </row>
    <row r="617" spans="1:7" x14ac:dyDescent="0.3">
      <c r="B617" s="63" t="s">
        <v>1555</v>
      </c>
      <c r="C617" s="63">
        <v>1757411337753</v>
      </c>
      <c r="D617" s="63" t="s">
        <v>1567</v>
      </c>
      <c r="E617" s="63" t="s">
        <v>389</v>
      </c>
      <c r="F617" s="63" t="s">
        <v>1566</v>
      </c>
      <c r="G617" s="63"/>
    </row>
    <row r="618" spans="1:7" x14ac:dyDescent="0.3">
      <c r="B618" s="63" t="s">
        <v>1555</v>
      </c>
      <c r="C618" s="63">
        <v>1757411337836</v>
      </c>
      <c r="D618" s="63" t="s">
        <v>1568</v>
      </c>
      <c r="E618" s="63" t="s">
        <v>389</v>
      </c>
      <c r="F618" s="63" t="s">
        <v>1559</v>
      </c>
      <c r="G618" s="63"/>
    </row>
    <row r="619" spans="1:7" x14ac:dyDescent="0.3">
      <c r="B619" s="63" t="s">
        <v>1555</v>
      </c>
      <c r="C619" s="63">
        <v>1757411337958</v>
      </c>
      <c r="D619" s="63" t="s">
        <v>1569</v>
      </c>
      <c r="E619" s="63" t="s">
        <v>389</v>
      </c>
      <c r="F619" s="63" t="s">
        <v>1559</v>
      </c>
      <c r="G619" s="63"/>
    </row>
    <row r="620" spans="1:7" x14ac:dyDescent="0.3">
      <c r="B620" s="63" t="s">
        <v>1555</v>
      </c>
      <c r="C620" s="63">
        <v>1757411338058</v>
      </c>
      <c r="D620" s="63" t="s">
        <v>1570</v>
      </c>
      <c r="E620" s="63" t="s">
        <v>389</v>
      </c>
      <c r="F620" s="63" t="s">
        <v>1559</v>
      </c>
      <c r="G620" s="63"/>
    </row>
    <row r="621" spans="1:7" x14ac:dyDescent="0.3">
      <c r="B621" s="63" t="s">
        <v>1555</v>
      </c>
      <c r="C621" s="63">
        <v>1757411338146</v>
      </c>
      <c r="D621" s="63" t="s">
        <v>1571</v>
      </c>
      <c r="E621" s="63" t="s">
        <v>389</v>
      </c>
      <c r="F621" s="63" t="s">
        <v>1559</v>
      </c>
      <c r="G621" s="63"/>
    </row>
    <row r="622" spans="1:7" x14ac:dyDescent="0.3">
      <c r="B622" s="63" t="s">
        <v>1555</v>
      </c>
      <c r="C622" s="63">
        <v>1757411338276</v>
      </c>
      <c r="D622" s="63" t="s">
        <v>1572</v>
      </c>
      <c r="E622" s="63" t="s">
        <v>389</v>
      </c>
      <c r="F622" s="63" t="s">
        <v>1566</v>
      </c>
      <c r="G622" s="63"/>
    </row>
    <row r="623" spans="1:7" x14ac:dyDescent="0.3">
      <c r="B623" s="63" t="s">
        <v>1555</v>
      </c>
      <c r="C623" s="63">
        <v>1757411338335</v>
      </c>
      <c r="D623" s="63" t="s">
        <v>1573</v>
      </c>
      <c r="E623" s="63" t="s">
        <v>389</v>
      </c>
      <c r="F623" s="63" t="s">
        <v>1566</v>
      </c>
      <c r="G623" s="63"/>
    </row>
    <row r="624" spans="1:7" x14ac:dyDescent="0.3">
      <c r="B624" s="63" t="s">
        <v>1555</v>
      </c>
      <c r="C624" s="63">
        <v>1757411338404</v>
      </c>
      <c r="D624" s="63" t="s">
        <v>1574</v>
      </c>
      <c r="E624" s="63" t="s">
        <v>389</v>
      </c>
      <c r="F624" s="63" t="s">
        <v>1566</v>
      </c>
      <c r="G624" s="63"/>
    </row>
    <row r="625" spans="2:7" x14ac:dyDescent="0.3">
      <c r="B625" s="63" t="s">
        <v>1555</v>
      </c>
      <c r="C625" s="63">
        <v>1757411338548</v>
      </c>
      <c r="D625" s="63" t="s">
        <v>1575</v>
      </c>
      <c r="E625" s="63" t="s">
        <v>389</v>
      </c>
      <c r="F625" s="63" t="s">
        <v>1576</v>
      </c>
      <c r="G625" s="63"/>
    </row>
    <row r="626" spans="2:7" x14ac:dyDescent="0.3">
      <c r="B626" s="63" t="s">
        <v>1555</v>
      </c>
      <c r="C626" s="63">
        <v>1757411338640</v>
      </c>
      <c r="D626" s="63" t="s">
        <v>1577</v>
      </c>
      <c r="E626" s="63" t="s">
        <v>389</v>
      </c>
      <c r="F626" s="63" t="s">
        <v>1576</v>
      </c>
      <c r="G626" s="63"/>
    </row>
    <row r="627" spans="2:7" x14ac:dyDescent="0.3">
      <c r="B627" s="63" t="s">
        <v>1555</v>
      </c>
      <c r="C627" s="63">
        <v>1757411339190</v>
      </c>
      <c r="D627" s="63" t="s">
        <v>1578</v>
      </c>
      <c r="E627" s="63" t="s">
        <v>389</v>
      </c>
      <c r="F627" s="63" t="s">
        <v>1566</v>
      </c>
      <c r="G627" s="63"/>
    </row>
    <row r="628" spans="2:7" x14ac:dyDescent="0.3">
      <c r="B628" s="63" t="s">
        <v>1555</v>
      </c>
      <c r="C628" s="63">
        <v>1757411339313</v>
      </c>
      <c r="D628" s="63" t="s">
        <v>1579</v>
      </c>
      <c r="E628" s="63" t="s">
        <v>389</v>
      </c>
      <c r="F628" s="63" t="s">
        <v>1566</v>
      </c>
      <c r="G628" s="63"/>
    </row>
    <row r="629" spans="2:7" x14ac:dyDescent="0.3">
      <c r="B629" s="63" t="s">
        <v>1555</v>
      </c>
      <c r="C629" s="63">
        <v>1757411339415</v>
      </c>
      <c r="D629" s="63" t="s">
        <v>1580</v>
      </c>
      <c r="E629" s="63" t="s">
        <v>389</v>
      </c>
      <c r="F629" s="63" t="s">
        <v>1581</v>
      </c>
      <c r="G629" s="63"/>
    </row>
    <row r="630" spans="2:7" x14ac:dyDescent="0.3">
      <c r="B630" s="63" t="s">
        <v>1555</v>
      </c>
      <c r="C630" s="63">
        <v>1757411339499</v>
      </c>
      <c r="D630" s="63" t="s">
        <v>1582</v>
      </c>
      <c r="E630" s="63" t="s">
        <v>389</v>
      </c>
      <c r="F630" s="63" t="s">
        <v>1566</v>
      </c>
      <c r="G630" s="63"/>
    </row>
    <row r="631" spans="2:7" x14ac:dyDescent="0.3">
      <c r="B631" s="63" t="s">
        <v>1555</v>
      </c>
      <c r="C631" s="63">
        <v>1757411340136</v>
      </c>
      <c r="D631" s="63" t="s">
        <v>1583</v>
      </c>
      <c r="E631" s="63" t="s">
        <v>389</v>
      </c>
      <c r="F631" s="63" t="s">
        <v>1584</v>
      </c>
      <c r="G631" s="63"/>
    </row>
    <row r="632" spans="2:7" x14ac:dyDescent="0.3">
      <c r="B632" s="63" t="s">
        <v>1555</v>
      </c>
      <c r="C632" s="63">
        <v>1757411342369</v>
      </c>
      <c r="D632" s="63" t="s">
        <v>1585</v>
      </c>
      <c r="E632" s="63" t="s">
        <v>389</v>
      </c>
      <c r="F632" s="63" t="s">
        <v>515</v>
      </c>
      <c r="G632" s="63"/>
    </row>
    <row r="633" spans="2:7" x14ac:dyDescent="0.3">
      <c r="B633" s="63" t="s">
        <v>1555</v>
      </c>
      <c r="C633" s="63">
        <v>1757411343954</v>
      </c>
      <c r="D633" s="63" t="s">
        <v>1586</v>
      </c>
      <c r="E633" s="63" t="s">
        <v>389</v>
      </c>
      <c r="F633" s="63" t="s">
        <v>1587</v>
      </c>
      <c r="G633" s="63"/>
    </row>
    <row r="634" spans="2:7" x14ac:dyDescent="0.3">
      <c r="B634" s="63" t="s">
        <v>1555</v>
      </c>
      <c r="C634" s="63">
        <v>1757411345101</v>
      </c>
      <c r="D634" s="63" t="s">
        <v>1588</v>
      </c>
      <c r="E634" s="63" t="s">
        <v>389</v>
      </c>
      <c r="F634" s="63" t="s">
        <v>392</v>
      </c>
      <c r="G634" s="63"/>
    </row>
    <row r="635" spans="2:7" x14ac:dyDescent="0.3">
      <c r="B635" s="63" t="s">
        <v>1555</v>
      </c>
      <c r="C635" s="63">
        <v>1757411345723</v>
      </c>
      <c r="D635" s="63" t="s">
        <v>1589</v>
      </c>
      <c r="E635" s="63" t="s">
        <v>389</v>
      </c>
      <c r="F635" s="63" t="s">
        <v>968</v>
      </c>
      <c r="G635" s="63"/>
    </row>
    <row r="636" spans="2:7" x14ac:dyDescent="0.3">
      <c r="B636" s="63" t="s">
        <v>1555</v>
      </c>
      <c r="C636" s="63">
        <v>1757411346833</v>
      </c>
      <c r="D636" s="63" t="s">
        <v>1590</v>
      </c>
      <c r="E636" s="63" t="s">
        <v>389</v>
      </c>
      <c r="F636" s="63" t="s">
        <v>410</v>
      </c>
      <c r="G636" s="63"/>
    </row>
    <row r="637" spans="2:7" x14ac:dyDescent="0.3">
      <c r="B637" s="63" t="s">
        <v>1555</v>
      </c>
      <c r="C637" s="63">
        <v>1757411347898</v>
      </c>
      <c r="D637" s="63" t="s">
        <v>1591</v>
      </c>
      <c r="E637" s="63" t="s">
        <v>389</v>
      </c>
      <c r="F637" s="63" t="s">
        <v>1592</v>
      </c>
      <c r="G637" s="63"/>
    </row>
    <row r="638" spans="2:7" x14ac:dyDescent="0.3">
      <c r="B638" s="63" t="s">
        <v>1555</v>
      </c>
      <c r="C638" s="63">
        <v>1757411349713</v>
      </c>
      <c r="D638" s="63" t="s">
        <v>1593</v>
      </c>
      <c r="E638" s="63" t="s">
        <v>389</v>
      </c>
      <c r="F638" s="63" t="s">
        <v>1594</v>
      </c>
      <c r="G638" s="63"/>
    </row>
    <row r="639" spans="2:7" x14ac:dyDescent="0.3">
      <c r="B639" s="63" t="s">
        <v>1555</v>
      </c>
      <c r="C639" s="63">
        <v>1757411350410</v>
      </c>
      <c r="D639" s="63" t="s">
        <v>1595</v>
      </c>
      <c r="E639" s="63" t="s">
        <v>389</v>
      </c>
      <c r="F639" s="63" t="s">
        <v>1464</v>
      </c>
      <c r="G639" s="63"/>
    </row>
    <row r="640" spans="2:7" x14ac:dyDescent="0.3">
      <c r="B640" s="63" t="s">
        <v>1555</v>
      </c>
      <c r="C640" s="63">
        <v>1757411351384</v>
      </c>
      <c r="D640" s="63" t="s">
        <v>1596</v>
      </c>
      <c r="E640" s="63" t="s">
        <v>389</v>
      </c>
      <c r="F640" s="63" t="s">
        <v>1597</v>
      </c>
      <c r="G640" s="63"/>
    </row>
    <row r="641" spans="2:7" x14ac:dyDescent="0.3">
      <c r="B641" s="63" t="s">
        <v>1555</v>
      </c>
      <c r="C641" s="63">
        <v>1757411351874</v>
      </c>
      <c r="D641" s="63" t="s">
        <v>1598</v>
      </c>
      <c r="E641" s="63" t="s">
        <v>389</v>
      </c>
      <c r="F641" s="63" t="s">
        <v>1599</v>
      </c>
      <c r="G641" s="63"/>
    </row>
    <row r="642" spans="2:7" x14ac:dyDescent="0.3">
      <c r="B642" s="63" t="s">
        <v>1555</v>
      </c>
      <c r="C642" s="63">
        <v>1757411353373</v>
      </c>
      <c r="D642" s="63" t="s">
        <v>1600</v>
      </c>
      <c r="E642" s="63" t="s">
        <v>389</v>
      </c>
      <c r="F642" s="63" t="s">
        <v>1601</v>
      </c>
      <c r="G642" s="63"/>
    </row>
    <row r="643" spans="2:7" x14ac:dyDescent="0.3">
      <c r="B643" s="63" t="s">
        <v>1555</v>
      </c>
      <c r="C643" s="63">
        <v>1757411390612</v>
      </c>
      <c r="D643" s="63" t="s">
        <v>1602</v>
      </c>
      <c r="E643" s="63" t="s">
        <v>422</v>
      </c>
      <c r="F643" s="63" t="s">
        <v>420</v>
      </c>
      <c r="G643" s="63"/>
    </row>
    <row r="644" spans="2:7" x14ac:dyDescent="0.3">
      <c r="B644" s="63" t="s">
        <v>1555</v>
      </c>
      <c r="C644" s="63">
        <v>1757411400913</v>
      </c>
      <c r="D644" s="63" t="s">
        <v>1603</v>
      </c>
      <c r="E644" s="63" t="s">
        <v>424</v>
      </c>
      <c r="F644" s="63" t="s">
        <v>570</v>
      </c>
      <c r="G644" s="63"/>
    </row>
    <row r="645" spans="2:7" x14ac:dyDescent="0.3">
      <c r="B645" s="63" t="s">
        <v>426</v>
      </c>
      <c r="C645" s="63">
        <v>1757411408252</v>
      </c>
      <c r="D645" s="63" t="s">
        <v>1604</v>
      </c>
      <c r="E645" s="63" t="s">
        <v>428</v>
      </c>
      <c r="F645" s="63" t="s">
        <v>453</v>
      </c>
      <c r="G645" s="63"/>
    </row>
    <row r="646" spans="2:7" x14ac:dyDescent="0.3">
      <c r="B646" s="63" t="s">
        <v>1555</v>
      </c>
      <c r="C646" s="63">
        <v>1757411410807</v>
      </c>
      <c r="D646" s="63" t="s">
        <v>1605</v>
      </c>
      <c r="E646" s="63" t="s">
        <v>520</v>
      </c>
      <c r="F646" s="63" t="s">
        <v>1606</v>
      </c>
      <c r="G646" s="63"/>
    </row>
    <row r="647" spans="2:7" x14ac:dyDescent="0.3">
      <c r="B647" s="63" t="s">
        <v>1555</v>
      </c>
      <c r="C647" s="63">
        <v>1757411420593</v>
      </c>
      <c r="D647" s="63" t="s">
        <v>1607</v>
      </c>
      <c r="E647" s="63" t="s">
        <v>525</v>
      </c>
      <c r="F647" s="63" t="s">
        <v>1608</v>
      </c>
      <c r="G647" s="63"/>
    </row>
    <row r="648" spans="2:7" x14ac:dyDescent="0.3">
      <c r="B648" s="63" t="s">
        <v>426</v>
      </c>
      <c r="C648" s="63">
        <v>1757411423710</v>
      </c>
      <c r="D648" s="63" t="s">
        <v>1609</v>
      </c>
      <c r="E648" s="63" t="s">
        <v>428</v>
      </c>
      <c r="F648" s="63" t="s">
        <v>538</v>
      </c>
      <c r="G648" s="63"/>
    </row>
    <row r="649" spans="2:7" x14ac:dyDescent="0.3">
      <c r="B649" s="63" t="s">
        <v>1555</v>
      </c>
      <c r="C649" s="63">
        <v>1757411440737</v>
      </c>
      <c r="D649" s="63" t="s">
        <v>1610</v>
      </c>
      <c r="E649" s="63" t="s">
        <v>520</v>
      </c>
      <c r="F649" s="63" t="s">
        <v>529</v>
      </c>
      <c r="G649" s="63"/>
    </row>
    <row r="650" spans="2:7" x14ac:dyDescent="0.3">
      <c r="B650" s="63" t="s">
        <v>426</v>
      </c>
      <c r="C650" s="63">
        <v>1757411441381</v>
      </c>
      <c r="D650" s="63" t="s">
        <v>1611</v>
      </c>
      <c r="E650" s="63" t="s">
        <v>428</v>
      </c>
      <c r="F650" s="63" t="s">
        <v>672</v>
      </c>
      <c r="G650" s="63"/>
    </row>
    <row r="651" spans="2:7" x14ac:dyDescent="0.3">
      <c r="B651" s="63" t="s">
        <v>1555</v>
      </c>
      <c r="C651" s="63">
        <v>1757411448577</v>
      </c>
      <c r="D651" s="63" t="s">
        <v>1612</v>
      </c>
      <c r="E651" s="63" t="s">
        <v>1438</v>
      </c>
      <c r="F651" s="63" t="s">
        <v>1613</v>
      </c>
      <c r="G651" s="63"/>
    </row>
    <row r="652" spans="2:7" x14ac:dyDescent="0.3">
      <c r="B652" s="63" t="s">
        <v>426</v>
      </c>
      <c r="C652" s="63">
        <v>1757411456858</v>
      </c>
      <c r="D652" s="63" t="s">
        <v>1614</v>
      </c>
      <c r="E652" s="63" t="s">
        <v>428</v>
      </c>
      <c r="F652" s="63" t="s">
        <v>435</v>
      </c>
      <c r="G652" s="63"/>
    </row>
    <row r="653" spans="2:7" x14ac:dyDescent="0.3">
      <c r="B653" s="63" t="s">
        <v>1555</v>
      </c>
      <c r="C653" s="63">
        <v>1757411457236</v>
      </c>
      <c r="D653" s="63" t="s">
        <v>1615</v>
      </c>
      <c r="E653" s="63" t="s">
        <v>525</v>
      </c>
      <c r="F653" s="63" t="s">
        <v>531</v>
      </c>
      <c r="G653" s="63"/>
    </row>
    <row r="654" spans="2:7" x14ac:dyDescent="0.3">
      <c r="B654" s="63" t="s">
        <v>1555</v>
      </c>
      <c r="C654" s="63">
        <v>1757411459034</v>
      </c>
      <c r="D654" s="63" t="s">
        <v>1616</v>
      </c>
      <c r="E654" s="63" t="s">
        <v>424</v>
      </c>
      <c r="F654" s="63" t="s">
        <v>457</v>
      </c>
      <c r="G654" s="63"/>
    </row>
    <row r="655" spans="2:7" x14ac:dyDescent="0.3">
      <c r="B655" s="63" t="s">
        <v>1555</v>
      </c>
      <c r="C655" s="63">
        <v>1757411460240</v>
      </c>
      <c r="D655" s="63" t="s">
        <v>1617</v>
      </c>
      <c r="E655" s="63" t="s">
        <v>424</v>
      </c>
      <c r="F655" s="63" t="s">
        <v>459</v>
      </c>
      <c r="G655" s="63"/>
    </row>
    <row r="656" spans="2:7" x14ac:dyDescent="0.3">
      <c r="B656" s="63" t="s">
        <v>426</v>
      </c>
      <c r="C656" s="63">
        <v>1757411471692</v>
      </c>
      <c r="D656" s="63" t="s">
        <v>1618</v>
      </c>
      <c r="E656" s="63" t="s">
        <v>428</v>
      </c>
      <c r="F656" s="63" t="s">
        <v>437</v>
      </c>
      <c r="G656" s="63"/>
    </row>
    <row r="657" spans="2:7" x14ac:dyDescent="0.3">
      <c r="B657" s="63" t="s">
        <v>1555</v>
      </c>
      <c r="C657" s="63">
        <v>1757411477360</v>
      </c>
      <c r="D657" s="63" t="s">
        <v>1619</v>
      </c>
      <c r="E657" s="63" t="s">
        <v>520</v>
      </c>
      <c r="F657" s="63" t="s">
        <v>1281</v>
      </c>
      <c r="G657" s="63"/>
    </row>
    <row r="658" spans="2:7" x14ac:dyDescent="0.3">
      <c r="B658" s="63" t="s">
        <v>1555</v>
      </c>
      <c r="C658" s="63">
        <v>1757411481935</v>
      </c>
      <c r="D658" s="63" t="s">
        <v>1620</v>
      </c>
      <c r="E658" s="63" t="s">
        <v>525</v>
      </c>
      <c r="F658" s="63" t="s">
        <v>1283</v>
      </c>
      <c r="G658" s="63"/>
    </row>
    <row r="659" spans="2:7" x14ac:dyDescent="0.3">
      <c r="B659" s="63" t="s">
        <v>1555</v>
      </c>
      <c r="C659" s="63">
        <v>1757411483356</v>
      </c>
      <c r="D659" s="63" t="s">
        <v>1621</v>
      </c>
      <c r="E659" s="63" t="s">
        <v>424</v>
      </c>
      <c r="F659" s="63" t="s">
        <v>461</v>
      </c>
      <c r="G659" s="63"/>
    </row>
    <row r="660" spans="2:7" x14ac:dyDescent="0.3">
      <c r="B660" s="63" t="s">
        <v>426</v>
      </c>
      <c r="C660" s="63">
        <v>1757411487930</v>
      </c>
      <c r="D660" s="63" t="s">
        <v>1622</v>
      </c>
      <c r="E660" s="63" t="s">
        <v>428</v>
      </c>
      <c r="F660" s="63" t="s">
        <v>439</v>
      </c>
      <c r="G660" s="63"/>
    </row>
    <row r="661" spans="2:7" x14ac:dyDescent="0.3">
      <c r="B661" s="63" t="s">
        <v>1555</v>
      </c>
      <c r="C661" s="63">
        <v>1757411502066</v>
      </c>
      <c r="D661" s="63" t="s">
        <v>1623</v>
      </c>
      <c r="E661" s="63" t="s">
        <v>520</v>
      </c>
      <c r="F661" s="63" t="s">
        <v>555</v>
      </c>
      <c r="G661" s="63"/>
    </row>
    <row r="662" spans="2:7" x14ac:dyDescent="0.3">
      <c r="B662" s="63" t="s">
        <v>426</v>
      </c>
      <c r="C662" s="63">
        <v>1757411503371</v>
      </c>
      <c r="D662" s="63" t="s">
        <v>1624</v>
      </c>
      <c r="E662" s="63" t="s">
        <v>428</v>
      </c>
      <c r="F662" s="63" t="s">
        <v>447</v>
      </c>
      <c r="G662" s="63"/>
    </row>
    <row r="663" spans="2:7" x14ac:dyDescent="0.3">
      <c r="B663" s="63" t="s">
        <v>1555</v>
      </c>
      <c r="C663" s="63">
        <v>1757411506307</v>
      </c>
      <c r="D663" s="63" t="s">
        <v>1625</v>
      </c>
      <c r="E663" s="63" t="s">
        <v>525</v>
      </c>
      <c r="F663" s="63" t="s">
        <v>557</v>
      </c>
      <c r="G663" s="63"/>
    </row>
    <row r="664" spans="2:7" x14ac:dyDescent="0.3">
      <c r="B664" s="63" t="s">
        <v>1555</v>
      </c>
      <c r="C664" s="63">
        <v>1757411507768</v>
      </c>
      <c r="D664" s="63" t="s">
        <v>1626</v>
      </c>
      <c r="E664" s="63" t="s">
        <v>424</v>
      </c>
      <c r="F664" s="63" t="s">
        <v>441</v>
      </c>
      <c r="G664" s="63"/>
    </row>
    <row r="665" spans="2:7" x14ac:dyDescent="0.3">
      <c r="B665" s="63" t="s">
        <v>426</v>
      </c>
      <c r="C665" s="63">
        <v>1757411521095</v>
      </c>
      <c r="D665" s="63" t="s">
        <v>1627</v>
      </c>
      <c r="E665" s="63" t="s">
        <v>428</v>
      </c>
      <c r="F665" s="63" t="s">
        <v>429</v>
      </c>
      <c r="G665" s="63"/>
    </row>
    <row r="666" spans="2:7" x14ac:dyDescent="0.3">
      <c r="B666" s="63" t="s">
        <v>1555</v>
      </c>
      <c r="C666" s="63">
        <v>1757411524400</v>
      </c>
      <c r="D666" s="63" t="s">
        <v>1628</v>
      </c>
      <c r="E666" s="63" t="s">
        <v>424</v>
      </c>
      <c r="F666" s="63" t="s">
        <v>449</v>
      </c>
      <c r="G666" s="63"/>
    </row>
    <row r="667" spans="2:7" x14ac:dyDescent="0.3">
      <c r="B667" s="63" t="s">
        <v>1555</v>
      </c>
      <c r="C667" s="63">
        <v>1757411525061</v>
      </c>
      <c r="D667" s="63" t="s">
        <v>1629</v>
      </c>
      <c r="E667" s="63" t="s">
        <v>424</v>
      </c>
      <c r="F667" s="63" t="s">
        <v>451</v>
      </c>
      <c r="G667" s="63"/>
    </row>
    <row r="668" spans="2:7" x14ac:dyDescent="0.3">
      <c r="B668" s="63" t="s">
        <v>1555</v>
      </c>
      <c r="C668" s="63">
        <v>1757411526435</v>
      </c>
      <c r="D668" s="63" t="s">
        <v>1630</v>
      </c>
      <c r="E668" s="63" t="s">
        <v>520</v>
      </c>
      <c r="F668" s="63" t="s">
        <v>1631</v>
      </c>
      <c r="G668" s="63"/>
    </row>
    <row r="669" spans="2:7" x14ac:dyDescent="0.3">
      <c r="B669" s="63" t="s">
        <v>1555</v>
      </c>
      <c r="C669" s="63">
        <v>1757411530183</v>
      </c>
      <c r="D669" s="63" t="s">
        <v>1632</v>
      </c>
      <c r="E669" s="63" t="s">
        <v>525</v>
      </c>
      <c r="F669" s="63" t="s">
        <v>1633</v>
      </c>
      <c r="G669" s="63"/>
    </row>
    <row r="670" spans="2:7" x14ac:dyDescent="0.3">
      <c r="B670" s="63" t="s">
        <v>426</v>
      </c>
      <c r="C670" s="63">
        <v>1757411537999</v>
      </c>
      <c r="D670" s="63" t="s">
        <v>1634</v>
      </c>
      <c r="E670" s="63" t="s">
        <v>428</v>
      </c>
      <c r="F670" s="63" t="s">
        <v>431</v>
      </c>
      <c r="G670" s="63"/>
    </row>
    <row r="671" spans="2:7" x14ac:dyDescent="0.3">
      <c r="B671" s="63" t="s">
        <v>1555</v>
      </c>
      <c r="C671" s="63">
        <v>1757411540997</v>
      </c>
      <c r="D671" s="63" t="s">
        <v>1635</v>
      </c>
      <c r="E671" s="63" t="s">
        <v>424</v>
      </c>
      <c r="F671" s="63" t="s">
        <v>433</v>
      </c>
      <c r="G671" s="63"/>
    </row>
    <row r="672" spans="2:7" x14ac:dyDescent="0.3">
      <c r="B672" s="63" t="s">
        <v>1555</v>
      </c>
      <c r="C672" s="63">
        <v>1757411541961</v>
      </c>
      <c r="D672" s="63" t="s">
        <v>1636</v>
      </c>
      <c r="E672" s="63" t="s">
        <v>463</v>
      </c>
      <c r="F672" s="63" t="s">
        <v>464</v>
      </c>
      <c r="G672" s="63"/>
    </row>
    <row r="673" spans="2:7" x14ac:dyDescent="0.3">
      <c r="B673" s="63" t="s">
        <v>426</v>
      </c>
      <c r="C673" s="63">
        <v>1757411554899</v>
      </c>
      <c r="D673" s="63" t="s">
        <v>1637</v>
      </c>
      <c r="E673" s="63" t="s">
        <v>428</v>
      </c>
      <c r="F673" s="63" t="s">
        <v>523</v>
      </c>
      <c r="G673" s="63"/>
    </row>
    <row r="674" spans="2:7" x14ac:dyDescent="0.3">
      <c r="B674" s="58" t="s">
        <v>1638</v>
      </c>
      <c r="C674" s="58">
        <v>1757411572699</v>
      </c>
      <c r="D674" s="58" t="s">
        <v>1639</v>
      </c>
      <c r="E674" s="58" t="s">
        <v>416</v>
      </c>
      <c r="F674" s="58" t="s">
        <v>573</v>
      </c>
      <c r="G674" s="58"/>
    </row>
    <row r="675" spans="2:7" x14ac:dyDescent="0.3">
      <c r="B675" s="58" t="s">
        <v>1638</v>
      </c>
      <c r="C675" s="58">
        <v>1757411572865</v>
      </c>
      <c r="D675" s="58" t="s">
        <v>1640</v>
      </c>
      <c r="E675" s="58" t="s">
        <v>468</v>
      </c>
      <c r="F675" s="58" t="s">
        <v>1641</v>
      </c>
      <c r="G675" s="58"/>
    </row>
    <row r="676" spans="2:7" x14ac:dyDescent="0.3">
      <c r="B676" s="58" t="s">
        <v>1638</v>
      </c>
      <c r="C676" s="58">
        <v>1757411587369</v>
      </c>
      <c r="D676" s="58" t="s">
        <v>1642</v>
      </c>
      <c r="E676" s="58" t="s">
        <v>419</v>
      </c>
      <c r="F676" s="58" t="s">
        <v>420</v>
      </c>
      <c r="G676" s="58"/>
    </row>
    <row r="677" spans="2:7" x14ac:dyDescent="0.3">
      <c r="B677" s="58" t="s">
        <v>1638</v>
      </c>
      <c r="C677" s="58">
        <v>1757411589825</v>
      </c>
      <c r="D677" s="58" t="s">
        <v>1643</v>
      </c>
      <c r="E677" s="58" t="s">
        <v>389</v>
      </c>
      <c r="F677" s="58" t="s">
        <v>1644</v>
      </c>
      <c r="G677" s="58"/>
    </row>
    <row r="678" spans="2:7" x14ac:dyDescent="0.3">
      <c r="B678" s="58" t="s">
        <v>1638</v>
      </c>
      <c r="C678" s="58">
        <v>1757411590093</v>
      </c>
      <c r="D678" s="58" t="s">
        <v>1645</v>
      </c>
      <c r="E678" s="58" t="s">
        <v>389</v>
      </c>
      <c r="F678" s="58" t="s">
        <v>394</v>
      </c>
      <c r="G678" s="58"/>
    </row>
    <row r="679" spans="2:7" x14ac:dyDescent="0.3">
      <c r="B679" s="58" t="s">
        <v>1638</v>
      </c>
      <c r="C679" s="58">
        <v>1757411638165</v>
      </c>
      <c r="D679" s="58" t="s">
        <v>1646</v>
      </c>
      <c r="E679" s="58" t="s">
        <v>422</v>
      </c>
      <c r="F679" s="58" t="s">
        <v>420</v>
      </c>
      <c r="G679" s="58"/>
    </row>
    <row r="680" spans="2:7" x14ac:dyDescent="0.3">
      <c r="B680" s="58" t="s">
        <v>1638</v>
      </c>
      <c r="C680" s="58">
        <v>1757411645567</v>
      </c>
      <c r="D680" s="58" t="s">
        <v>1647</v>
      </c>
      <c r="E680" s="58" t="s">
        <v>424</v>
      </c>
      <c r="F680" s="58" t="s">
        <v>570</v>
      </c>
      <c r="G680" s="58"/>
    </row>
    <row r="681" spans="2:7" x14ac:dyDescent="0.3">
      <c r="B681" s="58" t="s">
        <v>426</v>
      </c>
      <c r="C681" s="58">
        <v>1757411652813</v>
      </c>
      <c r="D681" s="58" t="s">
        <v>1648</v>
      </c>
      <c r="E681" s="58" t="s">
        <v>428</v>
      </c>
      <c r="F681" s="58" t="s">
        <v>453</v>
      </c>
      <c r="G681" s="58"/>
    </row>
    <row r="682" spans="2:7" x14ac:dyDescent="0.3">
      <c r="B682" s="58" t="s">
        <v>1638</v>
      </c>
      <c r="C682" s="58">
        <v>1757411658307</v>
      </c>
      <c r="D682" s="58" t="s">
        <v>1649</v>
      </c>
      <c r="E682" s="58" t="s">
        <v>520</v>
      </c>
      <c r="F682" s="58" t="s">
        <v>589</v>
      </c>
      <c r="G682" s="58"/>
    </row>
    <row r="683" spans="2:7" x14ac:dyDescent="0.3">
      <c r="B683" s="58" t="s">
        <v>426</v>
      </c>
      <c r="C683" s="58">
        <v>1757411667561</v>
      </c>
      <c r="D683" s="58" t="s">
        <v>1650</v>
      </c>
      <c r="E683" s="58" t="s">
        <v>428</v>
      </c>
      <c r="F683" s="58" t="s">
        <v>447</v>
      </c>
      <c r="G683" s="58"/>
    </row>
    <row r="684" spans="2:7" x14ac:dyDescent="0.3">
      <c r="B684" s="58" t="s">
        <v>1638</v>
      </c>
      <c r="C684" s="58">
        <v>1757411667725</v>
      </c>
      <c r="D684" s="58" t="s">
        <v>1651</v>
      </c>
      <c r="E684" s="58" t="s">
        <v>525</v>
      </c>
      <c r="F684" s="58" t="s">
        <v>592</v>
      </c>
      <c r="G684" s="58"/>
    </row>
    <row r="685" spans="2:7" x14ac:dyDescent="0.3">
      <c r="B685" s="58" t="s">
        <v>1638</v>
      </c>
      <c r="C685" s="58">
        <v>1757411669315</v>
      </c>
      <c r="D685" s="58" t="s">
        <v>1652</v>
      </c>
      <c r="E685" s="58" t="s">
        <v>424</v>
      </c>
      <c r="F685" s="58" t="s">
        <v>425</v>
      </c>
      <c r="G685" s="58"/>
    </row>
    <row r="686" spans="2:7" x14ac:dyDescent="0.3">
      <c r="B686" s="58" t="s">
        <v>1638</v>
      </c>
      <c r="C686" s="58">
        <v>1757411669948</v>
      </c>
      <c r="D686" s="58" t="s">
        <v>1653</v>
      </c>
      <c r="E686" s="58" t="s">
        <v>424</v>
      </c>
      <c r="F686" s="58" t="s">
        <v>457</v>
      </c>
      <c r="G686" s="58"/>
    </row>
    <row r="687" spans="2:7" x14ac:dyDescent="0.3">
      <c r="B687" s="58" t="s">
        <v>426</v>
      </c>
      <c r="C687" s="58">
        <v>1757411686718</v>
      </c>
      <c r="D687" s="58" t="s">
        <v>1654</v>
      </c>
      <c r="E687" s="58" t="s">
        <v>428</v>
      </c>
      <c r="F687" s="58" t="s">
        <v>435</v>
      </c>
      <c r="G687" s="58"/>
    </row>
    <row r="688" spans="2:7" x14ac:dyDescent="0.3">
      <c r="B688" s="58" t="s">
        <v>1638</v>
      </c>
      <c r="C688" s="58">
        <v>1757411687858</v>
      </c>
      <c r="D688" s="58" t="s">
        <v>1655</v>
      </c>
      <c r="E688" s="58" t="s">
        <v>520</v>
      </c>
      <c r="F688" s="58" t="s">
        <v>1656</v>
      </c>
      <c r="G688" s="58"/>
    </row>
    <row r="689" spans="2:7" x14ac:dyDescent="0.3">
      <c r="B689" s="58" t="s">
        <v>1638</v>
      </c>
      <c r="C689" s="58">
        <v>1757411694064</v>
      </c>
      <c r="D689" s="58" t="s">
        <v>1657</v>
      </c>
      <c r="E689" s="58" t="s">
        <v>525</v>
      </c>
      <c r="F689" s="58" t="s">
        <v>1658</v>
      </c>
      <c r="G689" s="58"/>
    </row>
    <row r="690" spans="2:7" x14ac:dyDescent="0.3">
      <c r="B690" s="58" t="s">
        <v>1638</v>
      </c>
      <c r="C690" s="58">
        <v>1757411695550</v>
      </c>
      <c r="D690" s="58" t="s">
        <v>1659</v>
      </c>
      <c r="E690" s="58" t="s">
        <v>424</v>
      </c>
      <c r="F690" s="58" t="s">
        <v>459</v>
      </c>
      <c r="G690" s="58"/>
    </row>
    <row r="691" spans="2:7" x14ac:dyDescent="0.3">
      <c r="B691" s="58" t="s">
        <v>1638</v>
      </c>
      <c r="C691" s="58">
        <v>1757411696539</v>
      </c>
      <c r="D691" s="58" t="s">
        <v>1660</v>
      </c>
      <c r="E691" s="58" t="s">
        <v>424</v>
      </c>
      <c r="F691" s="58" t="s">
        <v>461</v>
      </c>
      <c r="G691" s="58"/>
    </row>
    <row r="692" spans="2:7" x14ac:dyDescent="0.3">
      <c r="B692" s="58" t="s">
        <v>426</v>
      </c>
      <c r="C692" s="58">
        <v>1757411705872</v>
      </c>
      <c r="D692" s="58" t="s">
        <v>1661</v>
      </c>
      <c r="E692" s="58" t="s">
        <v>428</v>
      </c>
      <c r="F692" s="58" t="s">
        <v>437</v>
      </c>
      <c r="G692" s="58"/>
    </row>
    <row r="693" spans="2:7" x14ac:dyDescent="0.3">
      <c r="B693" s="58" t="s">
        <v>1638</v>
      </c>
      <c r="C693" s="58">
        <v>1757411714184</v>
      </c>
      <c r="D693" s="58" t="s">
        <v>1662</v>
      </c>
      <c r="E693" s="58" t="s">
        <v>520</v>
      </c>
      <c r="F693" s="58" t="s">
        <v>559</v>
      </c>
      <c r="G693" s="58"/>
    </row>
    <row r="694" spans="2:7" x14ac:dyDescent="0.3">
      <c r="B694" s="58" t="s">
        <v>1638</v>
      </c>
      <c r="C694" s="58">
        <v>1757411717750</v>
      </c>
      <c r="D694" s="58" t="s">
        <v>1663</v>
      </c>
      <c r="E694" s="58" t="s">
        <v>525</v>
      </c>
      <c r="F694" s="58" t="s">
        <v>561</v>
      </c>
      <c r="G694" s="58"/>
    </row>
    <row r="695" spans="2:7" x14ac:dyDescent="0.3">
      <c r="B695" s="58" t="s">
        <v>1638</v>
      </c>
      <c r="C695" s="58">
        <v>1757411720210</v>
      </c>
      <c r="D695" s="58" t="s">
        <v>1664</v>
      </c>
      <c r="E695" s="58" t="s">
        <v>424</v>
      </c>
      <c r="F695" s="58" t="s">
        <v>449</v>
      </c>
      <c r="G695" s="58"/>
    </row>
    <row r="696" spans="2:7" x14ac:dyDescent="0.3">
      <c r="B696" s="58" t="s">
        <v>1638</v>
      </c>
      <c r="C696" s="58">
        <v>1757411722421</v>
      </c>
      <c r="D696" s="58" t="s">
        <v>1665</v>
      </c>
      <c r="E696" s="58" t="s">
        <v>424</v>
      </c>
      <c r="F696" s="58" t="s">
        <v>451</v>
      </c>
      <c r="G696" s="58"/>
    </row>
    <row r="697" spans="2:7" x14ac:dyDescent="0.3">
      <c r="B697" s="58" t="s">
        <v>426</v>
      </c>
      <c r="C697" s="58">
        <v>1757411724260</v>
      </c>
      <c r="D697" s="58" t="s">
        <v>1666</v>
      </c>
      <c r="E697" s="58" t="s">
        <v>428</v>
      </c>
      <c r="F697" s="58" t="s">
        <v>439</v>
      </c>
      <c r="G697" s="58"/>
    </row>
    <row r="698" spans="2:7" x14ac:dyDescent="0.3">
      <c r="B698" s="58" t="s">
        <v>1638</v>
      </c>
      <c r="C698" s="58">
        <v>1757411737882</v>
      </c>
      <c r="D698" s="58" t="s">
        <v>1667</v>
      </c>
      <c r="E698" s="58" t="s">
        <v>520</v>
      </c>
      <c r="F698" s="58" t="s">
        <v>1425</v>
      </c>
      <c r="G698" s="58"/>
    </row>
    <row r="699" spans="2:7" x14ac:dyDescent="0.3">
      <c r="B699" s="58" t="s">
        <v>426</v>
      </c>
      <c r="C699" s="58">
        <v>1757411739725</v>
      </c>
      <c r="D699" s="58" t="s">
        <v>1668</v>
      </c>
      <c r="E699" s="58" t="s">
        <v>428</v>
      </c>
      <c r="F699" s="58" t="s">
        <v>429</v>
      </c>
      <c r="G699" s="58"/>
    </row>
    <row r="700" spans="2:7" x14ac:dyDescent="0.3">
      <c r="B700" s="58" t="s">
        <v>1638</v>
      </c>
      <c r="C700" s="58">
        <v>1757411744233</v>
      </c>
      <c r="D700" s="58" t="s">
        <v>1669</v>
      </c>
      <c r="E700" s="58" t="s">
        <v>525</v>
      </c>
      <c r="F700" s="58" t="s">
        <v>1429</v>
      </c>
      <c r="G700" s="58"/>
    </row>
    <row r="701" spans="2:7" x14ac:dyDescent="0.3">
      <c r="B701" s="58" t="s">
        <v>426</v>
      </c>
      <c r="C701" s="58">
        <v>1757411754480</v>
      </c>
      <c r="D701" s="58" t="s">
        <v>1670</v>
      </c>
      <c r="E701" s="58" t="s">
        <v>428</v>
      </c>
      <c r="F701" s="58" t="s">
        <v>431</v>
      </c>
      <c r="G701" s="58"/>
    </row>
    <row r="702" spans="2:7" x14ac:dyDescent="0.3">
      <c r="B702" s="58" t="s">
        <v>1638</v>
      </c>
      <c r="C702" s="58">
        <v>1757411759112</v>
      </c>
      <c r="D702" s="58" t="s">
        <v>1671</v>
      </c>
      <c r="E702" s="58" t="s">
        <v>424</v>
      </c>
      <c r="F702" s="58" t="s">
        <v>441</v>
      </c>
      <c r="G702" s="58"/>
    </row>
    <row r="703" spans="2:7" x14ac:dyDescent="0.3">
      <c r="B703" s="58" t="s">
        <v>1638</v>
      </c>
      <c r="C703" s="58">
        <v>1757411760700</v>
      </c>
      <c r="D703" s="58" t="s">
        <v>1672</v>
      </c>
      <c r="E703" s="58" t="s">
        <v>424</v>
      </c>
      <c r="F703" s="58" t="s">
        <v>433</v>
      </c>
      <c r="G703" s="58"/>
    </row>
    <row r="704" spans="2:7" x14ac:dyDescent="0.3">
      <c r="B704" s="58" t="s">
        <v>1638</v>
      </c>
      <c r="C704" s="58">
        <v>1757411764371</v>
      </c>
      <c r="D704" s="58" t="s">
        <v>1673</v>
      </c>
      <c r="E704" s="58" t="s">
        <v>520</v>
      </c>
      <c r="F704" s="58" t="s">
        <v>529</v>
      </c>
      <c r="G704" s="58"/>
    </row>
    <row r="705" spans="1:7" x14ac:dyDescent="0.3">
      <c r="B705" s="58" t="s">
        <v>426</v>
      </c>
      <c r="C705" s="58">
        <v>1757411770655</v>
      </c>
      <c r="D705" s="58" t="s">
        <v>1674</v>
      </c>
      <c r="E705" s="58" t="s">
        <v>428</v>
      </c>
      <c r="F705" s="58" t="s">
        <v>538</v>
      </c>
      <c r="G705" s="58"/>
    </row>
    <row r="706" spans="1:7" x14ac:dyDescent="0.3">
      <c r="B706" s="58" t="s">
        <v>1638</v>
      </c>
      <c r="C706" s="58">
        <v>1757411772188</v>
      </c>
      <c r="D706" s="58" t="s">
        <v>1675</v>
      </c>
      <c r="E706" s="58" t="s">
        <v>525</v>
      </c>
      <c r="F706" s="58" t="s">
        <v>531</v>
      </c>
      <c r="G706" s="58"/>
    </row>
    <row r="707" spans="1:7" x14ac:dyDescent="0.3">
      <c r="B707" s="58" t="s">
        <v>426</v>
      </c>
      <c r="C707" s="58">
        <v>1757411788333</v>
      </c>
      <c r="D707" s="58" t="s">
        <v>1676</v>
      </c>
      <c r="E707" s="58" t="s">
        <v>428</v>
      </c>
      <c r="F707" s="58" t="s">
        <v>672</v>
      </c>
      <c r="G707" s="58"/>
    </row>
    <row r="708" spans="1:7" x14ac:dyDescent="0.3">
      <c r="B708" s="58" t="s">
        <v>1638</v>
      </c>
      <c r="C708" s="58">
        <v>1757411788930</v>
      </c>
      <c r="D708" s="58" t="s">
        <v>1677</v>
      </c>
      <c r="E708" s="58" t="s">
        <v>463</v>
      </c>
      <c r="F708" s="58" t="s">
        <v>464</v>
      </c>
      <c r="G708" s="58"/>
    </row>
    <row r="709" spans="1:7" ht="21" x14ac:dyDescent="0.4">
      <c r="A709" s="69" t="s">
        <v>41</v>
      </c>
      <c r="B709" s="63" t="s">
        <v>1828</v>
      </c>
      <c r="C709" s="63">
        <v>1757418799261</v>
      </c>
      <c r="D709" s="63" t="s">
        <v>1829</v>
      </c>
      <c r="E709" s="63" t="s">
        <v>416</v>
      </c>
      <c r="F709" s="63" t="s">
        <v>492</v>
      </c>
    </row>
    <row r="710" spans="1:7" x14ac:dyDescent="0.3">
      <c r="B710" s="63" t="s">
        <v>1828</v>
      </c>
      <c r="C710" s="63">
        <v>1757418813443</v>
      </c>
      <c r="D710" s="63" t="s">
        <v>1830</v>
      </c>
      <c r="E710" s="63" t="s">
        <v>419</v>
      </c>
      <c r="F710" s="63" t="s">
        <v>420</v>
      </c>
    </row>
    <row r="711" spans="1:7" x14ac:dyDescent="0.3">
      <c r="B711" s="63" t="s">
        <v>1828</v>
      </c>
      <c r="C711" s="63">
        <v>1757418827125</v>
      </c>
      <c r="D711" s="63" t="s">
        <v>1831</v>
      </c>
      <c r="E711" s="63" t="s">
        <v>389</v>
      </c>
      <c r="F711" s="63" t="s">
        <v>502</v>
      </c>
    </row>
    <row r="712" spans="1:7" x14ac:dyDescent="0.3">
      <c r="B712" s="63" t="s">
        <v>1828</v>
      </c>
      <c r="C712" s="63">
        <v>1757418828142</v>
      </c>
      <c r="D712" s="63" t="s">
        <v>1832</v>
      </c>
      <c r="E712" s="63" t="s">
        <v>389</v>
      </c>
      <c r="F712" s="63" t="s">
        <v>504</v>
      </c>
    </row>
    <row r="713" spans="1:7" x14ac:dyDescent="0.3">
      <c r="B713" s="63" t="s">
        <v>1828</v>
      </c>
      <c r="C713" s="63">
        <v>1757418828776</v>
      </c>
      <c r="D713" s="63" t="s">
        <v>1833</v>
      </c>
      <c r="E713" s="63" t="s">
        <v>389</v>
      </c>
      <c r="F713" s="63" t="s">
        <v>506</v>
      </c>
    </row>
    <row r="714" spans="1:7" x14ac:dyDescent="0.3">
      <c r="B714" s="63" t="s">
        <v>1828</v>
      </c>
      <c r="C714" s="63">
        <v>1757418830146</v>
      </c>
      <c r="D714" s="63" t="s">
        <v>1834</v>
      </c>
      <c r="E714" s="63" t="s">
        <v>389</v>
      </c>
      <c r="F714" s="63" t="s">
        <v>406</v>
      </c>
    </row>
    <row r="715" spans="1:7" x14ac:dyDescent="0.3">
      <c r="B715" s="63" t="s">
        <v>1828</v>
      </c>
      <c r="C715" s="63">
        <v>1757418831288</v>
      </c>
      <c r="D715" s="63" t="s">
        <v>1835</v>
      </c>
      <c r="E715" s="63" t="s">
        <v>389</v>
      </c>
      <c r="F715" s="63" t="s">
        <v>410</v>
      </c>
    </row>
    <row r="716" spans="1:7" x14ac:dyDescent="0.3">
      <c r="B716" s="63" t="s">
        <v>1828</v>
      </c>
      <c r="C716" s="63">
        <v>1757418834308</v>
      </c>
      <c r="D716" s="63" t="s">
        <v>1836</v>
      </c>
      <c r="E716" s="63" t="s">
        <v>389</v>
      </c>
      <c r="F716" s="63" t="s">
        <v>390</v>
      </c>
    </row>
    <row r="717" spans="1:7" x14ac:dyDescent="0.3">
      <c r="B717" s="63" t="s">
        <v>1828</v>
      </c>
      <c r="C717" s="63">
        <v>1757418835654</v>
      </c>
      <c r="D717" s="63" t="s">
        <v>1837</v>
      </c>
      <c r="E717" s="63" t="s">
        <v>389</v>
      </c>
      <c r="F717" s="63" t="s">
        <v>392</v>
      </c>
    </row>
    <row r="718" spans="1:7" x14ac:dyDescent="0.3">
      <c r="B718" s="63" t="s">
        <v>1828</v>
      </c>
      <c r="C718" s="63">
        <v>1757418840812</v>
      </c>
      <c r="D718" s="63" t="s">
        <v>1838</v>
      </c>
      <c r="E718" s="63" t="s">
        <v>389</v>
      </c>
      <c r="F718" s="63" t="s">
        <v>508</v>
      </c>
    </row>
    <row r="719" spans="1:7" x14ac:dyDescent="0.3">
      <c r="B719" s="63" t="s">
        <v>1828</v>
      </c>
      <c r="C719" s="63">
        <v>1757418841538</v>
      </c>
      <c r="D719" s="63" t="s">
        <v>1839</v>
      </c>
      <c r="E719" s="63" t="s">
        <v>389</v>
      </c>
      <c r="F719" s="63" t="s">
        <v>660</v>
      </c>
    </row>
    <row r="720" spans="1:7" x14ac:dyDescent="0.3">
      <c r="B720" s="63" t="s">
        <v>1828</v>
      </c>
      <c r="C720" s="63">
        <v>1757418842837</v>
      </c>
      <c r="D720" s="63" t="s">
        <v>1840</v>
      </c>
      <c r="E720" s="63" t="s">
        <v>389</v>
      </c>
      <c r="F720" s="63" t="s">
        <v>394</v>
      </c>
    </row>
    <row r="721" spans="2:6" x14ac:dyDescent="0.3">
      <c r="B721" s="63" t="s">
        <v>1828</v>
      </c>
      <c r="C721" s="63">
        <v>1757418844139</v>
      </c>
      <c r="D721" s="63" t="s">
        <v>1841</v>
      </c>
      <c r="E721" s="63" t="s">
        <v>389</v>
      </c>
      <c r="F721" s="63" t="s">
        <v>515</v>
      </c>
    </row>
    <row r="722" spans="2:6" x14ac:dyDescent="0.3">
      <c r="B722" s="63" t="s">
        <v>1828</v>
      </c>
      <c r="C722" s="63">
        <v>1757418855450</v>
      </c>
      <c r="D722" s="63" t="s">
        <v>1842</v>
      </c>
      <c r="E722" s="63" t="s">
        <v>422</v>
      </c>
      <c r="F722" s="63" t="s">
        <v>420</v>
      </c>
    </row>
    <row r="723" spans="2:6" x14ac:dyDescent="0.3">
      <c r="B723" s="63" t="s">
        <v>1828</v>
      </c>
      <c r="C723" s="63">
        <v>1757418862911</v>
      </c>
      <c r="D723" s="63" t="s">
        <v>1843</v>
      </c>
      <c r="E723" s="63" t="s">
        <v>424</v>
      </c>
      <c r="F723" s="63" t="s">
        <v>549</v>
      </c>
    </row>
    <row r="724" spans="2:6" x14ac:dyDescent="0.3">
      <c r="B724" s="63" t="s">
        <v>1828</v>
      </c>
      <c r="C724" s="63">
        <v>1757418870590</v>
      </c>
      <c r="D724" s="63" t="s">
        <v>1844</v>
      </c>
      <c r="E724" s="63" t="s">
        <v>424</v>
      </c>
      <c r="F724" s="63" t="s">
        <v>551</v>
      </c>
    </row>
    <row r="725" spans="2:6" x14ac:dyDescent="0.3">
      <c r="B725" s="63" t="s">
        <v>426</v>
      </c>
      <c r="C725" s="63">
        <v>1757418873062</v>
      </c>
      <c r="D725" s="63" t="s">
        <v>1845</v>
      </c>
      <c r="E725" s="63" t="s">
        <v>428</v>
      </c>
      <c r="F725" s="63" t="s">
        <v>453</v>
      </c>
    </row>
    <row r="726" spans="2:6" x14ac:dyDescent="0.3">
      <c r="B726" s="63" t="s">
        <v>1828</v>
      </c>
      <c r="C726" s="63">
        <v>1757418875603</v>
      </c>
      <c r="D726" s="63" t="s">
        <v>1846</v>
      </c>
      <c r="E726" s="63" t="s">
        <v>520</v>
      </c>
      <c r="F726" s="63" t="s">
        <v>608</v>
      </c>
    </row>
    <row r="727" spans="2:6" x14ac:dyDescent="0.3">
      <c r="B727" s="63" t="s">
        <v>1828</v>
      </c>
      <c r="C727" s="63">
        <v>1757418879646</v>
      </c>
      <c r="D727" s="63" t="s">
        <v>1847</v>
      </c>
      <c r="E727" s="63" t="s">
        <v>525</v>
      </c>
      <c r="F727" s="63" t="s">
        <v>612</v>
      </c>
    </row>
    <row r="728" spans="2:6" x14ac:dyDescent="0.3">
      <c r="B728" s="63" t="s">
        <v>1828</v>
      </c>
      <c r="C728" s="63">
        <v>1757418881193</v>
      </c>
      <c r="D728" s="63" t="s">
        <v>1848</v>
      </c>
      <c r="E728" s="63" t="s">
        <v>424</v>
      </c>
      <c r="F728" s="63" t="s">
        <v>553</v>
      </c>
    </row>
    <row r="729" spans="2:6" x14ac:dyDescent="0.3">
      <c r="B729" s="63" t="s">
        <v>426</v>
      </c>
      <c r="C729" s="63">
        <v>1757418888504</v>
      </c>
      <c r="D729" s="63" t="s">
        <v>1849</v>
      </c>
      <c r="E729" s="63" t="s">
        <v>428</v>
      </c>
      <c r="F729" s="63" t="s">
        <v>447</v>
      </c>
    </row>
    <row r="730" spans="2:6" x14ac:dyDescent="0.3">
      <c r="B730" s="63" t="s">
        <v>1828</v>
      </c>
      <c r="C730" s="63">
        <v>1757418897074</v>
      </c>
      <c r="D730" s="63" t="s">
        <v>1850</v>
      </c>
      <c r="E730" s="63" t="s">
        <v>424</v>
      </c>
      <c r="F730" s="63" t="s">
        <v>441</v>
      </c>
    </row>
    <row r="731" spans="2:6" x14ac:dyDescent="0.3">
      <c r="B731" s="63" t="s">
        <v>1828</v>
      </c>
      <c r="C731" s="63">
        <v>1757418899792</v>
      </c>
      <c r="D731" s="63" t="s">
        <v>1851</v>
      </c>
      <c r="E731" s="63" t="s">
        <v>520</v>
      </c>
      <c r="F731" s="63" t="s">
        <v>1435</v>
      </c>
    </row>
    <row r="732" spans="2:6" x14ac:dyDescent="0.3">
      <c r="B732" s="63" t="s">
        <v>426</v>
      </c>
      <c r="C732" s="63">
        <v>1757418906115</v>
      </c>
      <c r="D732" s="63" t="s">
        <v>1852</v>
      </c>
      <c r="E732" s="63" t="s">
        <v>428</v>
      </c>
      <c r="F732" s="63" t="s">
        <v>429</v>
      </c>
    </row>
    <row r="733" spans="2:6" x14ac:dyDescent="0.3">
      <c r="B733" s="63" t="s">
        <v>1828</v>
      </c>
      <c r="C733" s="63">
        <v>1757418913656</v>
      </c>
      <c r="D733" s="63" t="s">
        <v>1853</v>
      </c>
      <c r="E733" s="63" t="s">
        <v>1438</v>
      </c>
      <c r="F733" s="63" t="s">
        <v>1854</v>
      </c>
    </row>
    <row r="734" spans="2:6" x14ac:dyDescent="0.3">
      <c r="B734" s="63" t="s">
        <v>426</v>
      </c>
      <c r="C734" s="63">
        <v>1757418923756</v>
      </c>
      <c r="D734" s="63" t="s">
        <v>1855</v>
      </c>
      <c r="E734" s="63" t="s">
        <v>428</v>
      </c>
      <c r="F734" s="63" t="s">
        <v>431</v>
      </c>
    </row>
    <row r="735" spans="2:6" x14ac:dyDescent="0.3">
      <c r="B735" s="63" t="s">
        <v>1828</v>
      </c>
      <c r="C735" s="63">
        <v>1757418924911</v>
      </c>
      <c r="D735" s="63" t="s">
        <v>1856</v>
      </c>
      <c r="E735" s="63" t="s">
        <v>525</v>
      </c>
      <c r="F735" s="63" t="s">
        <v>1443</v>
      </c>
    </row>
    <row r="736" spans="2:6" x14ac:dyDescent="0.3">
      <c r="B736" s="63" t="s">
        <v>426</v>
      </c>
      <c r="C736" s="63">
        <v>1757418939245</v>
      </c>
      <c r="D736" s="63" t="s">
        <v>1857</v>
      </c>
      <c r="E736" s="63" t="s">
        <v>428</v>
      </c>
      <c r="F736" s="63" t="s">
        <v>538</v>
      </c>
    </row>
    <row r="737" spans="2:6" x14ac:dyDescent="0.3">
      <c r="B737" s="63" t="s">
        <v>1828</v>
      </c>
      <c r="C737" s="63">
        <v>1757418942173</v>
      </c>
      <c r="D737" s="63" t="s">
        <v>1858</v>
      </c>
      <c r="E737" s="63" t="s">
        <v>424</v>
      </c>
      <c r="F737" s="63" t="s">
        <v>457</v>
      </c>
    </row>
    <row r="738" spans="2:6" x14ac:dyDescent="0.3">
      <c r="B738" s="63" t="s">
        <v>1828</v>
      </c>
      <c r="C738" s="63">
        <v>1757418945035</v>
      </c>
      <c r="D738" s="63" t="s">
        <v>1859</v>
      </c>
      <c r="E738" s="63" t="s">
        <v>520</v>
      </c>
      <c r="F738" s="63" t="s">
        <v>555</v>
      </c>
    </row>
    <row r="739" spans="2:6" x14ac:dyDescent="0.3">
      <c r="B739" s="63" t="s">
        <v>1828</v>
      </c>
      <c r="C739" s="63">
        <v>1757418950187</v>
      </c>
      <c r="D739" s="63" t="s">
        <v>1860</v>
      </c>
      <c r="E739" s="63" t="s">
        <v>525</v>
      </c>
      <c r="F739" s="63" t="s">
        <v>557</v>
      </c>
    </row>
    <row r="740" spans="2:6" x14ac:dyDescent="0.3">
      <c r="B740" s="63" t="s">
        <v>426</v>
      </c>
      <c r="C740" s="63">
        <v>1757418956142</v>
      </c>
      <c r="D740" s="63" t="s">
        <v>1861</v>
      </c>
      <c r="E740" s="63" t="s">
        <v>428</v>
      </c>
      <c r="F740" s="63" t="s">
        <v>672</v>
      </c>
    </row>
    <row r="741" spans="2:6" x14ac:dyDescent="0.3">
      <c r="B741" s="63" t="s">
        <v>1828</v>
      </c>
      <c r="C741" s="63">
        <v>1757418970296</v>
      </c>
      <c r="D741" s="63" t="s">
        <v>1862</v>
      </c>
      <c r="E741" s="63" t="s">
        <v>520</v>
      </c>
      <c r="F741" s="63" t="s">
        <v>994</v>
      </c>
    </row>
    <row r="742" spans="2:6" x14ac:dyDescent="0.3">
      <c r="B742" s="63" t="s">
        <v>1828</v>
      </c>
      <c r="C742" s="63">
        <v>1757418977006</v>
      </c>
      <c r="D742" s="63" t="s">
        <v>1863</v>
      </c>
      <c r="E742" s="63" t="s">
        <v>525</v>
      </c>
      <c r="F742" s="63" t="s">
        <v>997</v>
      </c>
    </row>
    <row r="743" spans="2:6" x14ac:dyDescent="0.3">
      <c r="B743" s="63" t="s">
        <v>1828</v>
      </c>
      <c r="C743" s="63">
        <v>1757418980780</v>
      </c>
      <c r="D743" s="63" t="s">
        <v>1864</v>
      </c>
      <c r="E743" s="63" t="s">
        <v>424</v>
      </c>
      <c r="F743" s="63" t="s">
        <v>459</v>
      </c>
    </row>
    <row r="744" spans="2:6" x14ac:dyDescent="0.3">
      <c r="B744" s="63" t="s">
        <v>1828</v>
      </c>
      <c r="C744" s="63">
        <v>1757418982542</v>
      </c>
      <c r="D744" s="63" t="s">
        <v>1865</v>
      </c>
      <c r="E744" s="63" t="s">
        <v>424</v>
      </c>
      <c r="F744" s="63" t="s">
        <v>461</v>
      </c>
    </row>
    <row r="745" spans="2:6" x14ac:dyDescent="0.3">
      <c r="B745" s="63" t="s">
        <v>1828</v>
      </c>
      <c r="C745" s="63">
        <v>1757418988638</v>
      </c>
      <c r="D745" s="63" t="s">
        <v>1866</v>
      </c>
      <c r="E745" s="63" t="s">
        <v>424</v>
      </c>
      <c r="F745" s="63" t="s">
        <v>449</v>
      </c>
    </row>
    <row r="746" spans="2:6" x14ac:dyDescent="0.3">
      <c r="B746" s="63" t="s">
        <v>1828</v>
      </c>
      <c r="C746" s="63">
        <v>1757418994898</v>
      </c>
      <c r="D746" s="63" t="s">
        <v>1867</v>
      </c>
      <c r="E746" s="63" t="s">
        <v>424</v>
      </c>
      <c r="F746" s="63" t="s">
        <v>451</v>
      </c>
    </row>
    <row r="747" spans="2:6" x14ac:dyDescent="0.3">
      <c r="B747" s="63" t="s">
        <v>1828</v>
      </c>
      <c r="C747" s="63">
        <v>1757418997129</v>
      </c>
      <c r="D747" s="63" t="s">
        <v>1868</v>
      </c>
      <c r="E747" s="63" t="s">
        <v>520</v>
      </c>
      <c r="F747" s="63" t="s">
        <v>615</v>
      </c>
    </row>
    <row r="748" spans="2:6" x14ac:dyDescent="0.3">
      <c r="B748" s="63" t="s">
        <v>1828</v>
      </c>
      <c r="C748" s="63">
        <v>1757419004293</v>
      </c>
      <c r="D748" s="63" t="s">
        <v>1869</v>
      </c>
      <c r="E748" s="63" t="s">
        <v>525</v>
      </c>
      <c r="F748" s="63" t="s">
        <v>617</v>
      </c>
    </row>
    <row r="749" spans="2:6" x14ac:dyDescent="0.3">
      <c r="B749" s="63" t="s">
        <v>1828</v>
      </c>
      <c r="C749" s="63">
        <v>1757419010168</v>
      </c>
      <c r="D749" s="63" t="s">
        <v>1870</v>
      </c>
      <c r="E749" s="63" t="s">
        <v>424</v>
      </c>
      <c r="F749" s="63" t="s">
        <v>433</v>
      </c>
    </row>
    <row r="750" spans="2:6" x14ac:dyDescent="0.3">
      <c r="B750" s="63" t="s">
        <v>1828</v>
      </c>
      <c r="C750" s="63">
        <v>1757419014819</v>
      </c>
      <c r="D750" s="63" t="s">
        <v>1871</v>
      </c>
      <c r="E750" s="63" t="s">
        <v>424</v>
      </c>
      <c r="F750" s="63" t="s">
        <v>425</v>
      </c>
    </row>
    <row r="751" spans="2:6" x14ac:dyDescent="0.3">
      <c r="B751" s="63" t="s">
        <v>1828</v>
      </c>
      <c r="C751" s="63">
        <v>1757419018050</v>
      </c>
      <c r="D751" s="63" t="s">
        <v>1872</v>
      </c>
      <c r="E751" s="63" t="s">
        <v>424</v>
      </c>
      <c r="F751" s="63" t="s">
        <v>570</v>
      </c>
    </row>
    <row r="752" spans="2:6" x14ac:dyDescent="0.3">
      <c r="B752" s="63" t="s">
        <v>1828</v>
      </c>
      <c r="C752" s="63">
        <v>1757419018860</v>
      </c>
      <c r="D752" s="63" t="s">
        <v>1873</v>
      </c>
      <c r="E752" s="63" t="s">
        <v>463</v>
      </c>
      <c r="F752" s="63" t="s">
        <v>464</v>
      </c>
    </row>
    <row r="753" spans="2:6" x14ac:dyDescent="0.3">
      <c r="B753" s="58" t="s">
        <v>1874</v>
      </c>
      <c r="C753" s="58">
        <v>1757419034724</v>
      </c>
      <c r="D753" s="58" t="s">
        <v>1875</v>
      </c>
      <c r="E753" s="58" t="s">
        <v>416</v>
      </c>
      <c r="F753" s="58" t="s">
        <v>573</v>
      </c>
    </row>
    <row r="754" spans="2:6" x14ac:dyDescent="0.3">
      <c r="B754" s="58" t="s">
        <v>1874</v>
      </c>
      <c r="C754" s="58">
        <v>1757419034808</v>
      </c>
      <c r="D754" s="58" t="s">
        <v>1876</v>
      </c>
      <c r="E754" s="58" t="s">
        <v>468</v>
      </c>
      <c r="F754" s="58" t="s">
        <v>1877</v>
      </c>
    </row>
    <row r="755" spans="2:6" x14ac:dyDescent="0.3">
      <c r="B755" s="58" t="s">
        <v>1874</v>
      </c>
      <c r="C755" s="58">
        <v>1757419049244</v>
      </c>
      <c r="D755" s="58" t="s">
        <v>1878</v>
      </c>
      <c r="E755" s="58" t="s">
        <v>419</v>
      </c>
      <c r="F755" s="58" t="s">
        <v>420</v>
      </c>
    </row>
    <row r="756" spans="2:6" x14ac:dyDescent="0.3">
      <c r="B756" s="58" t="s">
        <v>1874</v>
      </c>
      <c r="C756" s="58">
        <v>1757419049333</v>
      </c>
      <c r="D756" s="58" t="s">
        <v>1879</v>
      </c>
      <c r="E756" s="58" t="s">
        <v>389</v>
      </c>
      <c r="F756" s="58" t="s">
        <v>495</v>
      </c>
    </row>
    <row r="757" spans="2:6" x14ac:dyDescent="0.3">
      <c r="B757" s="58" t="s">
        <v>1874</v>
      </c>
      <c r="C757" s="58">
        <v>1757419049395</v>
      </c>
      <c r="D757" s="58" t="s">
        <v>1880</v>
      </c>
      <c r="E757" s="58" t="s">
        <v>389</v>
      </c>
      <c r="F757" s="58" t="s">
        <v>495</v>
      </c>
    </row>
    <row r="758" spans="2:6" x14ac:dyDescent="0.3">
      <c r="B758" s="58" t="s">
        <v>1874</v>
      </c>
      <c r="C758" s="58">
        <v>1757419049484</v>
      </c>
      <c r="D758" s="58" t="s">
        <v>1881</v>
      </c>
      <c r="E758" s="58" t="s">
        <v>389</v>
      </c>
      <c r="F758" s="58" t="s">
        <v>495</v>
      </c>
    </row>
    <row r="759" spans="2:6" x14ac:dyDescent="0.3">
      <c r="B759" s="58" t="s">
        <v>1874</v>
      </c>
      <c r="C759" s="58">
        <v>1757419049558</v>
      </c>
      <c r="D759" s="58" t="s">
        <v>1882</v>
      </c>
      <c r="E759" s="58" t="s">
        <v>389</v>
      </c>
      <c r="F759" s="58" t="s">
        <v>495</v>
      </c>
    </row>
    <row r="760" spans="2:6" x14ac:dyDescent="0.3">
      <c r="B760" s="58" t="s">
        <v>1874</v>
      </c>
      <c r="C760" s="58">
        <v>1757419049632</v>
      </c>
      <c r="D760" s="58" t="s">
        <v>1883</v>
      </c>
      <c r="E760" s="58" t="s">
        <v>389</v>
      </c>
      <c r="F760" s="58" t="s">
        <v>495</v>
      </c>
    </row>
    <row r="761" spans="2:6" x14ac:dyDescent="0.3">
      <c r="B761" s="58" t="s">
        <v>1874</v>
      </c>
      <c r="C761" s="58">
        <v>1757419062293</v>
      </c>
      <c r="D761" s="58" t="s">
        <v>1884</v>
      </c>
      <c r="E761" s="58" t="s">
        <v>389</v>
      </c>
      <c r="F761" s="58" t="s">
        <v>414</v>
      </c>
    </row>
    <row r="762" spans="2:6" x14ac:dyDescent="0.3">
      <c r="B762" s="58" t="s">
        <v>1874</v>
      </c>
      <c r="C762" s="58">
        <v>1757419082656</v>
      </c>
      <c r="D762" s="58" t="s">
        <v>1885</v>
      </c>
      <c r="E762" s="58" t="s">
        <v>422</v>
      </c>
      <c r="F762" s="58" t="s">
        <v>420</v>
      </c>
    </row>
    <row r="763" spans="2:6" x14ac:dyDescent="0.3">
      <c r="B763" s="58" t="s">
        <v>1874</v>
      </c>
      <c r="C763" s="58">
        <v>1757419089769</v>
      </c>
      <c r="D763" s="58" t="s">
        <v>1886</v>
      </c>
      <c r="E763" s="58" t="s">
        <v>424</v>
      </c>
      <c r="F763" s="58" t="s">
        <v>549</v>
      </c>
    </row>
    <row r="764" spans="2:6" x14ac:dyDescent="0.3">
      <c r="B764" s="58" t="s">
        <v>1874</v>
      </c>
      <c r="C764" s="58">
        <v>1757419095851</v>
      </c>
      <c r="D764" s="58" t="s">
        <v>1887</v>
      </c>
      <c r="E764" s="58" t="s">
        <v>424</v>
      </c>
      <c r="F764" s="58" t="s">
        <v>551</v>
      </c>
    </row>
    <row r="765" spans="2:6" x14ac:dyDescent="0.3">
      <c r="B765" s="58" t="s">
        <v>426</v>
      </c>
      <c r="C765" s="58">
        <v>1757419097292</v>
      </c>
      <c r="D765" s="58" t="s">
        <v>1888</v>
      </c>
      <c r="E765" s="58" t="s">
        <v>428</v>
      </c>
      <c r="F765" s="58" t="s">
        <v>453</v>
      </c>
    </row>
    <row r="766" spans="2:6" x14ac:dyDescent="0.3">
      <c r="B766" s="58" t="s">
        <v>1874</v>
      </c>
      <c r="C766" s="58">
        <v>1757419101009</v>
      </c>
      <c r="D766" s="58" t="s">
        <v>1889</v>
      </c>
      <c r="E766" s="58" t="s">
        <v>424</v>
      </c>
      <c r="F766" s="58" t="s">
        <v>553</v>
      </c>
    </row>
    <row r="767" spans="2:6" x14ac:dyDescent="0.3">
      <c r="B767" s="58" t="s">
        <v>1874</v>
      </c>
      <c r="C767" s="58">
        <v>1757419102799</v>
      </c>
      <c r="D767" s="58" t="s">
        <v>1890</v>
      </c>
      <c r="E767" s="58" t="s">
        <v>520</v>
      </c>
      <c r="F767" s="58" t="s">
        <v>589</v>
      </c>
    </row>
    <row r="768" spans="2:6" x14ac:dyDescent="0.3">
      <c r="B768" s="58" t="s">
        <v>1874</v>
      </c>
      <c r="C768" s="58">
        <v>1757419110705</v>
      </c>
      <c r="D768" s="58" t="s">
        <v>1891</v>
      </c>
      <c r="E768" s="58" t="s">
        <v>525</v>
      </c>
      <c r="F768" s="58" t="s">
        <v>592</v>
      </c>
    </row>
    <row r="769" spans="2:6" x14ac:dyDescent="0.3">
      <c r="B769" s="58" t="s">
        <v>426</v>
      </c>
      <c r="C769" s="58">
        <v>1757419112005</v>
      </c>
      <c r="D769" s="58" t="s">
        <v>1892</v>
      </c>
      <c r="E769" s="58" t="s">
        <v>428</v>
      </c>
      <c r="F769" s="58" t="s">
        <v>447</v>
      </c>
    </row>
    <row r="770" spans="2:6" x14ac:dyDescent="0.3">
      <c r="B770" s="58" t="s">
        <v>1874</v>
      </c>
      <c r="C770" s="58">
        <v>1757419122232</v>
      </c>
      <c r="D770" s="58" t="s">
        <v>1893</v>
      </c>
      <c r="E770" s="58" t="s">
        <v>424</v>
      </c>
      <c r="F770" s="58" t="s">
        <v>441</v>
      </c>
    </row>
    <row r="771" spans="2:6" x14ac:dyDescent="0.3">
      <c r="B771" s="58" t="s">
        <v>426</v>
      </c>
      <c r="C771" s="58">
        <v>1757419126835</v>
      </c>
      <c r="D771" s="58" t="s">
        <v>1894</v>
      </c>
      <c r="E771" s="58" t="s">
        <v>428</v>
      </c>
      <c r="F771" s="58" t="s">
        <v>429</v>
      </c>
    </row>
    <row r="772" spans="2:6" x14ac:dyDescent="0.3">
      <c r="B772" s="58" t="s">
        <v>1874</v>
      </c>
      <c r="C772" s="58">
        <v>1757419130830</v>
      </c>
      <c r="D772" s="58" t="s">
        <v>1895</v>
      </c>
      <c r="E772" s="58" t="s">
        <v>520</v>
      </c>
      <c r="F772" s="58" t="s">
        <v>1631</v>
      </c>
    </row>
    <row r="773" spans="2:6" x14ac:dyDescent="0.3">
      <c r="B773" s="58" t="s">
        <v>1874</v>
      </c>
      <c r="C773" s="58">
        <v>1757419136037</v>
      </c>
      <c r="D773" s="58" t="s">
        <v>1896</v>
      </c>
      <c r="E773" s="58" t="s">
        <v>525</v>
      </c>
      <c r="F773" s="58" t="s">
        <v>1633</v>
      </c>
    </row>
    <row r="774" spans="2:6" x14ac:dyDescent="0.3">
      <c r="B774" s="58" t="s">
        <v>426</v>
      </c>
      <c r="C774" s="58">
        <v>1757419141526</v>
      </c>
      <c r="D774" s="58" t="s">
        <v>1897</v>
      </c>
      <c r="E774" s="58" t="s">
        <v>428</v>
      </c>
      <c r="F774" s="58" t="s">
        <v>431</v>
      </c>
    </row>
    <row r="775" spans="2:6" x14ac:dyDescent="0.3">
      <c r="B775" s="58" t="s">
        <v>1874</v>
      </c>
      <c r="C775" s="58">
        <v>1757419143690</v>
      </c>
      <c r="D775" s="58" t="s">
        <v>1898</v>
      </c>
      <c r="E775" s="58" t="s">
        <v>424</v>
      </c>
      <c r="F775" s="58" t="s">
        <v>457</v>
      </c>
    </row>
    <row r="776" spans="2:6" x14ac:dyDescent="0.3">
      <c r="B776" s="58" t="s">
        <v>1874</v>
      </c>
      <c r="C776" s="58">
        <v>1757419150058</v>
      </c>
      <c r="D776" s="58" t="s">
        <v>1899</v>
      </c>
      <c r="E776" s="58" t="s">
        <v>424</v>
      </c>
      <c r="F776" s="58" t="s">
        <v>459</v>
      </c>
    </row>
    <row r="777" spans="2:6" x14ac:dyDescent="0.3">
      <c r="B777" s="58" t="s">
        <v>1874</v>
      </c>
      <c r="C777" s="58">
        <v>1757419156158</v>
      </c>
      <c r="D777" s="58" t="s">
        <v>1900</v>
      </c>
      <c r="E777" s="58" t="s">
        <v>520</v>
      </c>
      <c r="F777" s="58" t="s">
        <v>1631</v>
      </c>
    </row>
    <row r="778" spans="2:6" x14ac:dyDescent="0.3">
      <c r="B778" s="58" t="s">
        <v>426</v>
      </c>
      <c r="C778" s="58">
        <v>1757419157757</v>
      </c>
      <c r="D778" s="58" t="s">
        <v>1901</v>
      </c>
      <c r="E778" s="58" t="s">
        <v>428</v>
      </c>
      <c r="F778" s="58" t="s">
        <v>538</v>
      </c>
    </row>
    <row r="779" spans="2:6" x14ac:dyDescent="0.3">
      <c r="B779" s="58" t="s">
        <v>1874</v>
      </c>
      <c r="C779" s="58">
        <v>1757419161198</v>
      </c>
      <c r="D779" s="58" t="s">
        <v>1902</v>
      </c>
      <c r="E779" s="58" t="s">
        <v>525</v>
      </c>
      <c r="F779" s="58" t="s">
        <v>1633</v>
      </c>
    </row>
    <row r="780" spans="2:6" x14ac:dyDescent="0.3">
      <c r="B780" s="58" t="s">
        <v>426</v>
      </c>
      <c r="C780" s="58">
        <v>1757419175458</v>
      </c>
      <c r="D780" s="58" t="s">
        <v>1903</v>
      </c>
      <c r="E780" s="58" t="s">
        <v>428</v>
      </c>
      <c r="F780" s="58" t="s">
        <v>672</v>
      </c>
    </row>
    <row r="781" spans="2:6" x14ac:dyDescent="0.3">
      <c r="B781" s="58" t="s">
        <v>1874</v>
      </c>
      <c r="C781" s="58">
        <v>1757419178095</v>
      </c>
      <c r="D781" s="58" t="s">
        <v>1904</v>
      </c>
      <c r="E781" s="58" t="s">
        <v>424</v>
      </c>
      <c r="F781" s="58" t="s">
        <v>461</v>
      </c>
    </row>
    <row r="782" spans="2:6" x14ac:dyDescent="0.3">
      <c r="B782" s="58" t="s">
        <v>1874</v>
      </c>
      <c r="C782" s="58">
        <v>1757419181307</v>
      </c>
      <c r="D782" s="58" t="s">
        <v>1905</v>
      </c>
      <c r="E782" s="58" t="s">
        <v>520</v>
      </c>
      <c r="F782" s="58" t="s">
        <v>521</v>
      </c>
    </row>
    <row r="783" spans="2:6" x14ac:dyDescent="0.3">
      <c r="B783" s="58" t="s">
        <v>1874</v>
      </c>
      <c r="C783" s="58">
        <v>1757419187390</v>
      </c>
      <c r="D783" s="58" t="s">
        <v>1906</v>
      </c>
      <c r="E783" s="58" t="s">
        <v>525</v>
      </c>
      <c r="F783" s="58" t="s">
        <v>526</v>
      </c>
    </row>
    <row r="784" spans="2:6" x14ac:dyDescent="0.3">
      <c r="B784" s="58" t="s">
        <v>426</v>
      </c>
      <c r="C784" s="58">
        <v>1757419192342</v>
      </c>
      <c r="D784" s="58" t="s">
        <v>1907</v>
      </c>
      <c r="E784" s="58" t="s">
        <v>428</v>
      </c>
      <c r="F784" s="58" t="s">
        <v>523</v>
      </c>
    </row>
    <row r="785" spans="1:6" x14ac:dyDescent="0.3">
      <c r="B785" s="58" t="s">
        <v>1874</v>
      </c>
      <c r="C785" s="58">
        <v>1757419195876</v>
      </c>
      <c r="D785" s="58" t="s">
        <v>1908</v>
      </c>
      <c r="E785" s="58" t="s">
        <v>424</v>
      </c>
      <c r="F785" s="58" t="s">
        <v>449</v>
      </c>
    </row>
    <row r="786" spans="1:6" x14ac:dyDescent="0.3">
      <c r="B786" s="58" t="s">
        <v>1874</v>
      </c>
      <c r="C786" s="58">
        <v>1757419199237</v>
      </c>
      <c r="D786" s="58" t="s">
        <v>1909</v>
      </c>
      <c r="E786" s="58" t="s">
        <v>424</v>
      </c>
      <c r="F786" s="58" t="s">
        <v>451</v>
      </c>
    </row>
    <row r="787" spans="1:6" x14ac:dyDescent="0.3">
      <c r="B787" s="58" t="s">
        <v>1874</v>
      </c>
      <c r="C787" s="58">
        <v>1757419207502</v>
      </c>
      <c r="D787" s="58" t="s">
        <v>1910</v>
      </c>
      <c r="E787" s="58" t="s">
        <v>520</v>
      </c>
      <c r="F787" s="58" t="s">
        <v>1409</v>
      </c>
    </row>
    <row r="788" spans="1:6" x14ac:dyDescent="0.3">
      <c r="B788" s="58" t="s">
        <v>426</v>
      </c>
      <c r="C788" s="58">
        <v>1757419212982</v>
      </c>
      <c r="D788" s="58" t="s">
        <v>1911</v>
      </c>
      <c r="E788" s="58" t="s">
        <v>428</v>
      </c>
      <c r="F788" s="58" t="s">
        <v>455</v>
      </c>
    </row>
    <row r="789" spans="1:6" x14ac:dyDescent="0.3">
      <c r="B789" s="58" t="s">
        <v>1874</v>
      </c>
      <c r="C789" s="58">
        <v>1757419214763</v>
      </c>
      <c r="D789" s="58" t="s">
        <v>1912</v>
      </c>
      <c r="E789" s="58" t="s">
        <v>525</v>
      </c>
      <c r="F789" s="58" t="s">
        <v>1413</v>
      </c>
    </row>
    <row r="790" spans="1:6" x14ac:dyDescent="0.3">
      <c r="B790" s="58" t="s">
        <v>1874</v>
      </c>
      <c r="C790" s="58">
        <v>1757419218875</v>
      </c>
      <c r="D790" s="58" t="s">
        <v>1913</v>
      </c>
      <c r="E790" s="58" t="s">
        <v>424</v>
      </c>
      <c r="F790" s="58" t="s">
        <v>433</v>
      </c>
    </row>
    <row r="791" spans="1:6" x14ac:dyDescent="0.3">
      <c r="B791" s="58" t="s">
        <v>1874</v>
      </c>
      <c r="C791" s="58">
        <v>1757419219384</v>
      </c>
      <c r="D791" s="58" t="s">
        <v>1914</v>
      </c>
      <c r="E791" s="58" t="s">
        <v>463</v>
      </c>
      <c r="F791" s="58" t="s">
        <v>464</v>
      </c>
    </row>
    <row r="792" spans="1:6" ht="21" x14ac:dyDescent="0.4">
      <c r="A792" s="69" t="s">
        <v>42</v>
      </c>
      <c r="B792" s="63" t="s">
        <v>1915</v>
      </c>
      <c r="C792" s="63">
        <v>1757421819702</v>
      </c>
      <c r="D792" s="63" t="s">
        <v>1916</v>
      </c>
      <c r="E792" s="63" t="s">
        <v>416</v>
      </c>
      <c r="F792" s="63" t="s">
        <v>492</v>
      </c>
    </row>
    <row r="793" spans="1:6" x14ac:dyDescent="0.3">
      <c r="B793" s="63" t="s">
        <v>1915</v>
      </c>
      <c r="C793" s="63">
        <v>1757421825615</v>
      </c>
      <c r="D793" s="63" t="s">
        <v>1917</v>
      </c>
      <c r="E793" s="63" t="s">
        <v>419</v>
      </c>
      <c r="F793" s="63" t="s">
        <v>420</v>
      </c>
    </row>
    <row r="794" spans="1:6" x14ac:dyDescent="0.3">
      <c r="B794" s="63" t="s">
        <v>1915</v>
      </c>
      <c r="C794" s="63">
        <v>1757421861785</v>
      </c>
      <c r="D794" s="63" t="s">
        <v>1918</v>
      </c>
      <c r="E794" s="63" t="s">
        <v>389</v>
      </c>
      <c r="F794" s="63" t="s">
        <v>1601</v>
      </c>
    </row>
    <row r="795" spans="1:6" x14ac:dyDescent="0.3">
      <c r="B795" s="63" t="s">
        <v>1915</v>
      </c>
      <c r="C795" s="63">
        <v>1757421864603</v>
      </c>
      <c r="D795" s="63" t="s">
        <v>1919</v>
      </c>
      <c r="E795" s="63" t="s">
        <v>389</v>
      </c>
      <c r="F795" s="63" t="s">
        <v>1599</v>
      </c>
    </row>
    <row r="796" spans="1:6" x14ac:dyDescent="0.3">
      <c r="B796" s="63" t="s">
        <v>1915</v>
      </c>
      <c r="C796" s="63">
        <v>1757421865047</v>
      </c>
      <c r="D796" s="63" t="s">
        <v>1920</v>
      </c>
      <c r="E796" s="63" t="s">
        <v>389</v>
      </c>
      <c r="F796" s="63" t="s">
        <v>660</v>
      </c>
    </row>
    <row r="797" spans="1:6" x14ac:dyDescent="0.3">
      <c r="B797" s="63" t="s">
        <v>1915</v>
      </c>
      <c r="C797" s="63">
        <v>1757421869105</v>
      </c>
      <c r="D797" s="63" t="s">
        <v>1921</v>
      </c>
      <c r="E797" s="63" t="s">
        <v>389</v>
      </c>
      <c r="F797" s="63" t="s">
        <v>1694</v>
      </c>
    </row>
    <row r="798" spans="1:6" x14ac:dyDescent="0.3">
      <c r="B798" s="63" t="s">
        <v>1915</v>
      </c>
      <c r="C798" s="63">
        <v>1757421869541</v>
      </c>
      <c r="D798" s="63" t="s">
        <v>1922</v>
      </c>
      <c r="E798" s="63" t="s">
        <v>389</v>
      </c>
      <c r="F798" s="63" t="s">
        <v>1464</v>
      </c>
    </row>
    <row r="799" spans="1:6" x14ac:dyDescent="0.3">
      <c r="B799" s="63" t="s">
        <v>1915</v>
      </c>
      <c r="C799" s="63">
        <v>1757421869993</v>
      </c>
      <c r="D799" s="63" t="s">
        <v>1923</v>
      </c>
      <c r="E799" s="63" t="s">
        <v>389</v>
      </c>
      <c r="F799" s="63" t="s">
        <v>1592</v>
      </c>
    </row>
    <row r="800" spans="1:6" x14ac:dyDescent="0.3">
      <c r="B800" s="63" t="s">
        <v>1915</v>
      </c>
      <c r="C800" s="63">
        <v>1757421890735</v>
      </c>
      <c r="D800" s="63" t="s">
        <v>1924</v>
      </c>
      <c r="E800" s="63" t="s">
        <v>389</v>
      </c>
      <c r="F800" s="63" t="s">
        <v>390</v>
      </c>
    </row>
    <row r="801" spans="2:6" x14ac:dyDescent="0.3">
      <c r="B801" s="63" t="s">
        <v>1915</v>
      </c>
      <c r="C801" s="63">
        <v>1757421891231</v>
      </c>
      <c r="D801" s="63" t="s">
        <v>1925</v>
      </c>
      <c r="E801" s="63" t="s">
        <v>389</v>
      </c>
      <c r="F801" s="63" t="s">
        <v>1926</v>
      </c>
    </row>
    <row r="802" spans="2:6" x14ac:dyDescent="0.3">
      <c r="B802" s="63" t="s">
        <v>1915</v>
      </c>
      <c r="C802" s="63">
        <v>1757421892402</v>
      </c>
      <c r="D802" s="63" t="s">
        <v>1927</v>
      </c>
      <c r="E802" s="63" t="s">
        <v>389</v>
      </c>
      <c r="F802" s="63" t="s">
        <v>1765</v>
      </c>
    </row>
    <row r="803" spans="2:6" x14ac:dyDescent="0.3">
      <c r="B803" s="63" t="s">
        <v>1915</v>
      </c>
      <c r="C803" s="63">
        <v>1757421893354</v>
      </c>
      <c r="D803" s="63" t="s">
        <v>1928</v>
      </c>
      <c r="E803" s="63" t="s">
        <v>389</v>
      </c>
      <c r="F803" s="63" t="s">
        <v>1587</v>
      </c>
    </row>
    <row r="804" spans="2:6" x14ac:dyDescent="0.3">
      <c r="B804" s="63" t="s">
        <v>1915</v>
      </c>
      <c r="C804" s="63">
        <v>1757421893419</v>
      </c>
      <c r="D804" s="63" t="s">
        <v>1929</v>
      </c>
      <c r="E804" s="63" t="s">
        <v>389</v>
      </c>
      <c r="F804" s="63" t="s">
        <v>1587</v>
      </c>
    </row>
    <row r="805" spans="2:6" x14ac:dyDescent="0.3">
      <c r="B805" s="63" t="s">
        <v>1915</v>
      </c>
      <c r="C805" s="63">
        <v>1757421894090</v>
      </c>
      <c r="D805" s="63" t="s">
        <v>1930</v>
      </c>
      <c r="E805" s="63" t="s">
        <v>389</v>
      </c>
      <c r="F805" s="63" t="s">
        <v>412</v>
      </c>
    </row>
    <row r="806" spans="2:6" x14ac:dyDescent="0.3">
      <c r="B806" s="63" t="s">
        <v>1915</v>
      </c>
      <c r="C806" s="63">
        <v>1757421912806</v>
      </c>
      <c r="D806" s="63" t="s">
        <v>1931</v>
      </c>
      <c r="E806" s="63" t="s">
        <v>422</v>
      </c>
      <c r="F806" s="63" t="s">
        <v>420</v>
      </c>
    </row>
    <row r="807" spans="2:6" x14ac:dyDescent="0.3">
      <c r="B807" s="63" t="s">
        <v>426</v>
      </c>
      <c r="C807" s="63">
        <v>1757421930440</v>
      </c>
      <c r="D807" s="63" t="s">
        <v>1932</v>
      </c>
      <c r="E807" s="63" t="s">
        <v>428</v>
      </c>
      <c r="F807" s="63" t="s">
        <v>453</v>
      </c>
    </row>
    <row r="808" spans="2:6" x14ac:dyDescent="0.3">
      <c r="B808" s="63" t="s">
        <v>1915</v>
      </c>
      <c r="C808" s="63">
        <v>1757421932975</v>
      </c>
      <c r="D808" s="63" t="s">
        <v>1933</v>
      </c>
      <c r="E808" s="63" t="s">
        <v>520</v>
      </c>
      <c r="F808" s="63" t="s">
        <v>608</v>
      </c>
    </row>
    <row r="809" spans="2:6" x14ac:dyDescent="0.3">
      <c r="B809" s="63" t="s">
        <v>1915</v>
      </c>
      <c r="C809" s="63">
        <v>1757421939790</v>
      </c>
      <c r="D809" s="63" t="s">
        <v>1934</v>
      </c>
      <c r="E809" s="63" t="s">
        <v>525</v>
      </c>
      <c r="F809" s="63" t="s">
        <v>612</v>
      </c>
    </row>
    <row r="810" spans="2:6" x14ac:dyDescent="0.3">
      <c r="B810" s="63" t="s">
        <v>426</v>
      </c>
      <c r="C810" s="63">
        <v>1757421945854</v>
      </c>
      <c r="D810" s="63" t="s">
        <v>1935</v>
      </c>
      <c r="E810" s="63" t="s">
        <v>428</v>
      </c>
      <c r="F810" s="63" t="s">
        <v>538</v>
      </c>
    </row>
    <row r="811" spans="2:6" x14ac:dyDescent="0.3">
      <c r="B811" s="63" t="s">
        <v>1915</v>
      </c>
      <c r="C811" s="63">
        <v>1757421959918</v>
      </c>
      <c r="D811" s="63" t="s">
        <v>1936</v>
      </c>
      <c r="E811" s="63" t="s">
        <v>520</v>
      </c>
      <c r="F811" s="63" t="s">
        <v>1631</v>
      </c>
    </row>
    <row r="812" spans="2:6" x14ac:dyDescent="0.3">
      <c r="B812" s="63" t="s">
        <v>426</v>
      </c>
      <c r="C812" s="63">
        <v>1757421963505</v>
      </c>
      <c r="D812" s="63" t="s">
        <v>1937</v>
      </c>
      <c r="E812" s="63" t="s">
        <v>428</v>
      </c>
      <c r="F812" s="63" t="s">
        <v>672</v>
      </c>
    </row>
    <row r="813" spans="2:6" x14ac:dyDescent="0.3">
      <c r="B813" s="63" t="s">
        <v>1915</v>
      </c>
      <c r="C813" s="63">
        <v>1757421964605</v>
      </c>
      <c r="D813" s="63" t="s">
        <v>1938</v>
      </c>
      <c r="E813" s="63" t="s">
        <v>525</v>
      </c>
      <c r="F813" s="63" t="s">
        <v>1633</v>
      </c>
    </row>
    <row r="814" spans="2:6" x14ac:dyDescent="0.3">
      <c r="B814" s="63" t="s">
        <v>426</v>
      </c>
      <c r="C814" s="63">
        <v>1757421978875</v>
      </c>
      <c r="D814" s="63" t="s">
        <v>1939</v>
      </c>
      <c r="E814" s="63" t="s">
        <v>428</v>
      </c>
      <c r="F814" s="63" t="s">
        <v>435</v>
      </c>
    </row>
    <row r="815" spans="2:6" x14ac:dyDescent="0.3">
      <c r="B815" s="63" t="s">
        <v>1915</v>
      </c>
      <c r="C815" s="63">
        <v>1757421984718</v>
      </c>
      <c r="D815" s="63" t="s">
        <v>1940</v>
      </c>
      <c r="E815" s="63" t="s">
        <v>520</v>
      </c>
      <c r="F815" s="63" t="s">
        <v>521</v>
      </c>
    </row>
    <row r="816" spans="2:6" x14ac:dyDescent="0.3">
      <c r="B816" s="63" t="s">
        <v>1915</v>
      </c>
      <c r="C816" s="63">
        <v>1757421988568</v>
      </c>
      <c r="D816" s="63" t="s">
        <v>1941</v>
      </c>
      <c r="E816" s="63" t="s">
        <v>525</v>
      </c>
      <c r="F816" s="63" t="s">
        <v>526</v>
      </c>
    </row>
    <row r="817" spans="2:6" x14ac:dyDescent="0.3">
      <c r="B817" s="63" t="s">
        <v>1915</v>
      </c>
      <c r="C817" s="63">
        <v>1757421989588</v>
      </c>
      <c r="D817" s="63" t="s">
        <v>1942</v>
      </c>
      <c r="E817" s="63" t="s">
        <v>424</v>
      </c>
      <c r="F817" s="63" t="s">
        <v>457</v>
      </c>
    </row>
    <row r="818" spans="2:6" x14ac:dyDescent="0.3">
      <c r="B818" s="63" t="s">
        <v>1915</v>
      </c>
      <c r="C818" s="63">
        <v>1757421990259</v>
      </c>
      <c r="D818" s="63" t="s">
        <v>1943</v>
      </c>
      <c r="E818" s="63" t="s">
        <v>424</v>
      </c>
      <c r="F818" s="63" t="s">
        <v>459</v>
      </c>
    </row>
    <row r="819" spans="2:6" x14ac:dyDescent="0.3">
      <c r="B819" s="63" t="s">
        <v>1915</v>
      </c>
      <c r="C819" s="63">
        <v>1757421990882</v>
      </c>
      <c r="D819" s="63" t="s">
        <v>1944</v>
      </c>
      <c r="E819" s="63" t="s">
        <v>424</v>
      </c>
      <c r="F819" s="63" t="s">
        <v>461</v>
      </c>
    </row>
    <row r="820" spans="2:6" x14ac:dyDescent="0.3">
      <c r="B820" s="63" t="s">
        <v>426</v>
      </c>
      <c r="C820" s="63">
        <v>1757421993593</v>
      </c>
      <c r="D820" s="63" t="s">
        <v>1945</v>
      </c>
      <c r="E820" s="63" t="s">
        <v>428</v>
      </c>
      <c r="F820" s="63" t="s">
        <v>437</v>
      </c>
    </row>
    <row r="821" spans="2:6" x14ac:dyDescent="0.3">
      <c r="B821" s="63" t="s">
        <v>1915</v>
      </c>
      <c r="C821" s="63">
        <v>1757422008683</v>
      </c>
      <c r="D821" s="63" t="s">
        <v>1946</v>
      </c>
      <c r="E821" s="63" t="s">
        <v>520</v>
      </c>
      <c r="F821" s="63" t="s">
        <v>1947</v>
      </c>
    </row>
    <row r="822" spans="2:6" x14ac:dyDescent="0.3">
      <c r="B822" s="63" t="s">
        <v>426</v>
      </c>
      <c r="C822" s="63">
        <v>1757422009776</v>
      </c>
      <c r="D822" s="63" t="s">
        <v>1948</v>
      </c>
      <c r="E822" s="63" t="s">
        <v>428</v>
      </c>
      <c r="F822" s="63" t="s">
        <v>439</v>
      </c>
    </row>
    <row r="823" spans="2:6" x14ac:dyDescent="0.3">
      <c r="B823" s="63" t="s">
        <v>1915</v>
      </c>
      <c r="C823" s="63">
        <v>1757422014887</v>
      </c>
      <c r="D823" s="63" t="s">
        <v>1949</v>
      </c>
      <c r="E823" s="63" t="s">
        <v>525</v>
      </c>
      <c r="F823" s="63" t="s">
        <v>1950</v>
      </c>
    </row>
    <row r="824" spans="2:6" x14ac:dyDescent="0.3">
      <c r="B824" s="63" t="s">
        <v>426</v>
      </c>
      <c r="C824" s="63">
        <v>1757422027329</v>
      </c>
      <c r="D824" s="63" t="s">
        <v>1951</v>
      </c>
      <c r="E824" s="63" t="s">
        <v>428</v>
      </c>
      <c r="F824" s="63" t="s">
        <v>429</v>
      </c>
    </row>
    <row r="825" spans="2:6" x14ac:dyDescent="0.3">
      <c r="B825" s="63" t="s">
        <v>1915</v>
      </c>
      <c r="C825" s="63">
        <v>1757422032116</v>
      </c>
      <c r="D825" s="63" t="s">
        <v>1952</v>
      </c>
      <c r="E825" s="63" t="s">
        <v>424</v>
      </c>
      <c r="F825" s="63" t="s">
        <v>441</v>
      </c>
    </row>
    <row r="826" spans="2:6" x14ac:dyDescent="0.3">
      <c r="B826" s="63" t="s">
        <v>1915</v>
      </c>
      <c r="C826" s="63">
        <v>1757422035020</v>
      </c>
      <c r="D826" s="63" t="s">
        <v>1953</v>
      </c>
      <c r="E826" s="63" t="s">
        <v>520</v>
      </c>
      <c r="F826" s="63" t="s">
        <v>949</v>
      </c>
    </row>
    <row r="827" spans="2:6" x14ac:dyDescent="0.3">
      <c r="B827" s="63" t="s">
        <v>1915</v>
      </c>
      <c r="C827" s="63">
        <v>1757422040098</v>
      </c>
      <c r="D827" s="63" t="s">
        <v>1954</v>
      </c>
      <c r="E827" s="63" t="s">
        <v>525</v>
      </c>
      <c r="F827" s="63" t="s">
        <v>951</v>
      </c>
    </row>
    <row r="828" spans="2:6" x14ac:dyDescent="0.3">
      <c r="B828" s="63" t="s">
        <v>426</v>
      </c>
      <c r="C828" s="63">
        <v>1757422044889</v>
      </c>
      <c r="D828" s="63" t="s">
        <v>1955</v>
      </c>
      <c r="E828" s="63" t="s">
        <v>428</v>
      </c>
      <c r="F828" s="63" t="s">
        <v>431</v>
      </c>
    </row>
    <row r="829" spans="2:6" x14ac:dyDescent="0.3">
      <c r="B829" s="63" t="s">
        <v>1915</v>
      </c>
      <c r="C829" s="63">
        <v>1757422047512</v>
      </c>
      <c r="D829" s="63" t="s">
        <v>1956</v>
      </c>
      <c r="E829" s="63" t="s">
        <v>424</v>
      </c>
      <c r="F829" s="63" t="s">
        <v>433</v>
      </c>
    </row>
    <row r="830" spans="2:6" x14ac:dyDescent="0.3">
      <c r="B830" s="63" t="s">
        <v>1915</v>
      </c>
      <c r="C830" s="63">
        <v>1757422060219</v>
      </c>
      <c r="D830" s="63" t="s">
        <v>1957</v>
      </c>
      <c r="E830" s="63" t="s">
        <v>520</v>
      </c>
      <c r="F830" s="63" t="s">
        <v>608</v>
      </c>
    </row>
    <row r="831" spans="2:6" x14ac:dyDescent="0.3">
      <c r="B831" s="63" t="s">
        <v>426</v>
      </c>
      <c r="C831" s="63">
        <v>1757422060400</v>
      </c>
      <c r="D831" s="63" t="s">
        <v>1958</v>
      </c>
      <c r="E831" s="63" t="s">
        <v>428</v>
      </c>
      <c r="F831" s="63" t="s">
        <v>447</v>
      </c>
    </row>
    <row r="832" spans="2:6" x14ac:dyDescent="0.3">
      <c r="B832" s="63" t="s">
        <v>1915</v>
      </c>
      <c r="C832" s="63">
        <v>1757422066904</v>
      </c>
      <c r="D832" s="63" t="s">
        <v>1959</v>
      </c>
      <c r="E832" s="63" t="s">
        <v>525</v>
      </c>
      <c r="F832" s="63" t="s">
        <v>612</v>
      </c>
    </row>
    <row r="833" spans="2:6" x14ac:dyDescent="0.3">
      <c r="B833" s="63" t="s">
        <v>1915</v>
      </c>
      <c r="C833" s="63">
        <v>1757422074864</v>
      </c>
      <c r="D833" s="63" t="s">
        <v>1960</v>
      </c>
      <c r="E833" s="63" t="s">
        <v>424</v>
      </c>
      <c r="F833" s="63" t="s">
        <v>449</v>
      </c>
    </row>
    <row r="834" spans="2:6" x14ac:dyDescent="0.3">
      <c r="B834" s="63" t="s">
        <v>1915</v>
      </c>
      <c r="C834" s="63">
        <v>1757422076468</v>
      </c>
      <c r="D834" s="63" t="s">
        <v>1961</v>
      </c>
      <c r="E834" s="63" t="s">
        <v>424</v>
      </c>
      <c r="F834" s="63" t="s">
        <v>451</v>
      </c>
    </row>
    <row r="835" spans="2:6" x14ac:dyDescent="0.3">
      <c r="B835" s="63" t="s">
        <v>426</v>
      </c>
      <c r="C835" s="63">
        <v>1757422077216</v>
      </c>
      <c r="D835" s="63" t="s">
        <v>1962</v>
      </c>
      <c r="E835" s="63" t="s">
        <v>428</v>
      </c>
      <c r="F835" s="63" t="s">
        <v>523</v>
      </c>
    </row>
    <row r="836" spans="2:6" x14ac:dyDescent="0.3">
      <c r="B836" s="63" t="s">
        <v>1915</v>
      </c>
      <c r="C836" s="63">
        <v>1757422087025</v>
      </c>
      <c r="D836" s="63" t="s">
        <v>1963</v>
      </c>
      <c r="E836" s="63" t="s">
        <v>520</v>
      </c>
      <c r="F836" s="63" t="s">
        <v>589</v>
      </c>
    </row>
    <row r="837" spans="2:6" x14ac:dyDescent="0.3">
      <c r="B837" s="63" t="s">
        <v>1915</v>
      </c>
      <c r="C837" s="63">
        <v>1757422093670</v>
      </c>
      <c r="D837" s="63" t="s">
        <v>1964</v>
      </c>
      <c r="E837" s="63" t="s">
        <v>525</v>
      </c>
      <c r="F837" s="63" t="s">
        <v>592</v>
      </c>
    </row>
    <row r="838" spans="2:6" x14ac:dyDescent="0.3">
      <c r="B838" s="63" t="s">
        <v>426</v>
      </c>
      <c r="C838" s="63">
        <v>1757422098452</v>
      </c>
      <c r="D838" s="63" t="s">
        <v>1965</v>
      </c>
      <c r="E838" s="63" t="s">
        <v>428</v>
      </c>
      <c r="F838" s="63" t="s">
        <v>455</v>
      </c>
    </row>
    <row r="839" spans="2:6" x14ac:dyDescent="0.3">
      <c r="B839" s="63" t="s">
        <v>1915</v>
      </c>
      <c r="C839" s="63">
        <v>1757422100125</v>
      </c>
      <c r="D839" s="63" t="s">
        <v>1966</v>
      </c>
      <c r="E839" s="63" t="s">
        <v>463</v>
      </c>
      <c r="F839" s="63" t="s">
        <v>464</v>
      </c>
    </row>
    <row r="840" spans="2:6" x14ac:dyDescent="0.3">
      <c r="B840" s="60" t="s">
        <v>1967</v>
      </c>
      <c r="C840" s="60">
        <v>1757422116621</v>
      </c>
      <c r="D840" s="60" t="s">
        <v>1968</v>
      </c>
      <c r="E840" s="60" t="s">
        <v>416</v>
      </c>
      <c r="F840" s="60" t="s">
        <v>573</v>
      </c>
    </row>
    <row r="841" spans="2:6" x14ac:dyDescent="0.3">
      <c r="B841" s="60" t="s">
        <v>1967</v>
      </c>
      <c r="C841" s="60">
        <v>1757422116731</v>
      </c>
      <c r="D841" s="60" t="s">
        <v>1969</v>
      </c>
      <c r="E841" s="60" t="s">
        <v>468</v>
      </c>
      <c r="F841" s="60" t="s">
        <v>1970</v>
      </c>
    </row>
    <row r="842" spans="2:6" x14ac:dyDescent="0.3">
      <c r="B842" s="60" t="s">
        <v>1967</v>
      </c>
      <c r="C842" s="60">
        <v>1757422117232</v>
      </c>
      <c r="D842" s="60" t="s">
        <v>1971</v>
      </c>
      <c r="E842" s="60" t="s">
        <v>419</v>
      </c>
      <c r="F842" s="60" t="s">
        <v>420</v>
      </c>
    </row>
    <row r="843" spans="2:6" x14ac:dyDescent="0.3">
      <c r="B843" s="60" t="s">
        <v>1967</v>
      </c>
      <c r="C843" s="60">
        <v>1757422150746</v>
      </c>
      <c r="D843" s="60" t="s">
        <v>1972</v>
      </c>
      <c r="E843" s="60" t="s">
        <v>422</v>
      </c>
      <c r="F843" s="60" t="s">
        <v>420</v>
      </c>
    </row>
    <row r="844" spans="2:6" x14ac:dyDescent="0.3">
      <c r="B844" s="60" t="s">
        <v>426</v>
      </c>
      <c r="C844" s="60">
        <v>1757422165390</v>
      </c>
      <c r="D844" s="60" t="s">
        <v>1973</v>
      </c>
      <c r="E844" s="60" t="s">
        <v>428</v>
      </c>
      <c r="F844" s="60" t="s">
        <v>453</v>
      </c>
    </row>
    <row r="845" spans="2:6" x14ac:dyDescent="0.3">
      <c r="B845" s="60" t="s">
        <v>1967</v>
      </c>
      <c r="C845" s="60">
        <v>1757422170876</v>
      </c>
      <c r="D845" s="60" t="s">
        <v>1974</v>
      </c>
      <c r="E845" s="60" t="s">
        <v>520</v>
      </c>
      <c r="F845" s="60" t="s">
        <v>1975</v>
      </c>
    </row>
    <row r="846" spans="2:6" x14ac:dyDescent="0.3">
      <c r="B846" s="60" t="s">
        <v>1967</v>
      </c>
      <c r="C846" s="60">
        <v>1757422180245</v>
      </c>
      <c r="D846" s="60" t="s">
        <v>1976</v>
      </c>
      <c r="E846" s="60" t="s">
        <v>525</v>
      </c>
      <c r="F846" s="60" t="s">
        <v>1977</v>
      </c>
    </row>
    <row r="847" spans="2:6" x14ac:dyDescent="0.3">
      <c r="B847" s="60" t="s">
        <v>426</v>
      </c>
      <c r="C847" s="60">
        <v>1757422184449</v>
      </c>
      <c r="D847" s="60" t="s">
        <v>1978</v>
      </c>
      <c r="E847" s="60" t="s">
        <v>428</v>
      </c>
      <c r="F847" s="60" t="s">
        <v>435</v>
      </c>
    </row>
    <row r="848" spans="2:6" x14ac:dyDescent="0.3">
      <c r="B848" s="60" t="s">
        <v>1967</v>
      </c>
      <c r="C848" s="60">
        <v>1757422200362</v>
      </c>
      <c r="D848" s="60" t="s">
        <v>1979</v>
      </c>
      <c r="E848" s="60" t="s">
        <v>520</v>
      </c>
      <c r="F848" s="60" t="s">
        <v>608</v>
      </c>
    </row>
    <row r="849" spans="2:6" x14ac:dyDescent="0.3">
      <c r="B849" s="60" t="s">
        <v>426</v>
      </c>
      <c r="C849" s="60">
        <v>1757422203535</v>
      </c>
      <c r="D849" s="60" t="s">
        <v>1980</v>
      </c>
      <c r="E849" s="60" t="s">
        <v>428</v>
      </c>
      <c r="F849" s="60" t="s">
        <v>437</v>
      </c>
    </row>
    <row r="850" spans="2:6" x14ac:dyDescent="0.3">
      <c r="B850" s="60" t="s">
        <v>1967</v>
      </c>
      <c r="C850" s="60">
        <v>1757422207538</v>
      </c>
      <c r="D850" s="60" t="s">
        <v>1981</v>
      </c>
      <c r="E850" s="60" t="s">
        <v>525</v>
      </c>
      <c r="F850" s="60" t="s">
        <v>612</v>
      </c>
    </row>
    <row r="851" spans="2:6" x14ac:dyDescent="0.3">
      <c r="B851" s="60" t="s">
        <v>1967</v>
      </c>
      <c r="C851" s="60">
        <v>1757422216010</v>
      </c>
      <c r="D851" s="60" t="s">
        <v>1982</v>
      </c>
      <c r="E851" s="60" t="s">
        <v>424</v>
      </c>
      <c r="F851" s="60" t="s">
        <v>457</v>
      </c>
    </row>
    <row r="852" spans="2:6" x14ac:dyDescent="0.3">
      <c r="B852" s="60" t="s">
        <v>1967</v>
      </c>
      <c r="C852" s="60">
        <v>1757422216940</v>
      </c>
      <c r="D852" s="60" t="s">
        <v>1983</v>
      </c>
      <c r="E852" s="60" t="s">
        <v>424</v>
      </c>
      <c r="F852" s="60" t="s">
        <v>459</v>
      </c>
    </row>
    <row r="853" spans="2:6" x14ac:dyDescent="0.3">
      <c r="B853" s="60" t="s">
        <v>1967</v>
      </c>
      <c r="C853" s="60">
        <v>1757422217764</v>
      </c>
      <c r="D853" s="60" t="s">
        <v>1984</v>
      </c>
      <c r="E853" s="60" t="s">
        <v>424</v>
      </c>
      <c r="F853" s="60" t="s">
        <v>461</v>
      </c>
    </row>
    <row r="854" spans="2:6" x14ac:dyDescent="0.3">
      <c r="B854" s="60" t="s">
        <v>426</v>
      </c>
      <c r="C854" s="60">
        <v>1757422221882</v>
      </c>
      <c r="D854" s="60" t="s">
        <v>1985</v>
      </c>
      <c r="E854" s="60" t="s">
        <v>428</v>
      </c>
      <c r="F854" s="60" t="s">
        <v>439</v>
      </c>
    </row>
    <row r="855" spans="2:6" x14ac:dyDescent="0.3">
      <c r="B855" s="60" t="s">
        <v>1967</v>
      </c>
      <c r="C855" s="60">
        <v>1757422227641</v>
      </c>
      <c r="D855" s="60" t="s">
        <v>1986</v>
      </c>
      <c r="E855" s="60" t="s">
        <v>520</v>
      </c>
      <c r="F855" s="60" t="s">
        <v>1987</v>
      </c>
    </row>
    <row r="856" spans="2:6" x14ac:dyDescent="0.3">
      <c r="B856" s="60" t="s">
        <v>426</v>
      </c>
      <c r="C856" s="60">
        <v>1757422237360</v>
      </c>
      <c r="D856" s="60" t="s">
        <v>1988</v>
      </c>
      <c r="E856" s="60" t="s">
        <v>428</v>
      </c>
      <c r="F856" s="60" t="s">
        <v>429</v>
      </c>
    </row>
    <row r="857" spans="2:6" x14ac:dyDescent="0.3">
      <c r="B857" s="60" t="s">
        <v>1967</v>
      </c>
      <c r="C857" s="60">
        <v>1757422245121</v>
      </c>
      <c r="D857" s="60" t="s">
        <v>1989</v>
      </c>
      <c r="E857" s="60" t="s">
        <v>525</v>
      </c>
      <c r="F857" s="60" t="s">
        <v>1990</v>
      </c>
    </row>
    <row r="858" spans="2:6" x14ac:dyDescent="0.3">
      <c r="B858" s="60" t="s">
        <v>426</v>
      </c>
      <c r="C858" s="60">
        <v>1757422252807</v>
      </c>
      <c r="D858" s="60" t="s">
        <v>1991</v>
      </c>
      <c r="E858" s="60" t="s">
        <v>428</v>
      </c>
      <c r="F858" s="60" t="s">
        <v>431</v>
      </c>
    </row>
    <row r="859" spans="2:6" x14ac:dyDescent="0.3">
      <c r="B859" s="60" t="s">
        <v>1967</v>
      </c>
      <c r="C859" s="60">
        <v>1757422261886</v>
      </c>
      <c r="D859" s="60" t="s">
        <v>1992</v>
      </c>
      <c r="E859" s="60" t="s">
        <v>424</v>
      </c>
      <c r="F859" s="60" t="s">
        <v>441</v>
      </c>
    </row>
    <row r="860" spans="2:6" x14ac:dyDescent="0.3">
      <c r="B860" s="60" t="s">
        <v>1967</v>
      </c>
      <c r="C860" s="60">
        <v>1757422263375</v>
      </c>
      <c r="D860" s="60" t="s">
        <v>1993</v>
      </c>
      <c r="E860" s="60" t="s">
        <v>424</v>
      </c>
      <c r="F860" s="60" t="s">
        <v>433</v>
      </c>
    </row>
    <row r="861" spans="2:6" x14ac:dyDescent="0.3">
      <c r="B861" s="60" t="s">
        <v>1967</v>
      </c>
      <c r="C861" s="60">
        <v>1757422265237</v>
      </c>
      <c r="D861" s="60" t="s">
        <v>1994</v>
      </c>
      <c r="E861" s="60" t="s">
        <v>520</v>
      </c>
      <c r="F861" s="60" t="s">
        <v>1425</v>
      </c>
    </row>
    <row r="862" spans="2:6" x14ac:dyDescent="0.3">
      <c r="B862" s="60" t="s">
        <v>426</v>
      </c>
      <c r="C862" s="60">
        <v>1757422268977</v>
      </c>
      <c r="D862" s="60" t="s">
        <v>1995</v>
      </c>
      <c r="E862" s="60" t="s">
        <v>428</v>
      </c>
      <c r="F862" s="60" t="s">
        <v>538</v>
      </c>
    </row>
    <row r="863" spans="2:6" x14ac:dyDescent="0.3">
      <c r="B863" s="60" t="s">
        <v>1967</v>
      </c>
      <c r="C863" s="60">
        <v>1757422271630</v>
      </c>
      <c r="D863" s="60" t="s">
        <v>1996</v>
      </c>
      <c r="E863" s="60" t="s">
        <v>525</v>
      </c>
      <c r="F863" s="60" t="s">
        <v>1429</v>
      </c>
    </row>
    <row r="864" spans="2:6" x14ac:dyDescent="0.3">
      <c r="B864" s="60" t="s">
        <v>426</v>
      </c>
      <c r="C864" s="60">
        <v>1757422286623</v>
      </c>
      <c r="D864" s="60" t="s">
        <v>1997</v>
      </c>
      <c r="E864" s="60" t="s">
        <v>428</v>
      </c>
      <c r="F864" s="60" t="s">
        <v>672</v>
      </c>
    </row>
    <row r="865" spans="1:8" x14ac:dyDescent="0.3">
      <c r="B865" s="60" t="s">
        <v>1967</v>
      </c>
      <c r="C865" s="60">
        <v>1757422291742</v>
      </c>
      <c r="D865" s="60" t="s">
        <v>1998</v>
      </c>
      <c r="E865" s="60" t="s">
        <v>520</v>
      </c>
      <c r="F865" s="60" t="s">
        <v>1606</v>
      </c>
    </row>
    <row r="866" spans="1:8" x14ac:dyDescent="0.3">
      <c r="B866" s="60" t="s">
        <v>1967</v>
      </c>
      <c r="C866" s="60">
        <v>1757422299221</v>
      </c>
      <c r="D866" s="60" t="s">
        <v>1999</v>
      </c>
      <c r="E866" s="60" t="s">
        <v>525</v>
      </c>
      <c r="F866" s="60" t="s">
        <v>1608</v>
      </c>
    </row>
    <row r="867" spans="1:8" x14ac:dyDescent="0.3">
      <c r="B867" s="60" t="s">
        <v>426</v>
      </c>
      <c r="C867" s="60">
        <v>1757422301376</v>
      </c>
      <c r="D867" s="60" t="s">
        <v>2000</v>
      </c>
      <c r="E867" s="60" t="s">
        <v>428</v>
      </c>
      <c r="F867" s="60" t="s">
        <v>447</v>
      </c>
      <c r="G867" s="58"/>
      <c r="H867" s="58"/>
    </row>
    <row r="868" spans="1:8" x14ac:dyDescent="0.3">
      <c r="B868" s="60" t="s">
        <v>1967</v>
      </c>
      <c r="C868" s="60">
        <v>1757422308679</v>
      </c>
      <c r="D868" s="60" t="s">
        <v>2001</v>
      </c>
      <c r="E868" s="60" t="s">
        <v>424</v>
      </c>
      <c r="F868" s="60" t="s">
        <v>449</v>
      </c>
      <c r="G868" s="58"/>
      <c r="H868" s="58"/>
    </row>
    <row r="869" spans="1:8" x14ac:dyDescent="0.3">
      <c r="B869" s="60" t="s">
        <v>1967</v>
      </c>
      <c r="C869" s="60">
        <v>1757422309253</v>
      </c>
      <c r="D869" s="60" t="s">
        <v>2002</v>
      </c>
      <c r="E869" s="60" t="s">
        <v>424</v>
      </c>
      <c r="F869" s="60" t="s">
        <v>451</v>
      </c>
      <c r="G869" s="58"/>
      <c r="H869" s="58"/>
    </row>
    <row r="870" spans="1:8" x14ac:dyDescent="0.3">
      <c r="B870" s="60" t="s">
        <v>426</v>
      </c>
      <c r="C870" s="60">
        <v>1757422318238</v>
      </c>
      <c r="D870" s="60" t="s">
        <v>2003</v>
      </c>
      <c r="E870" s="60" t="s">
        <v>428</v>
      </c>
      <c r="F870" s="60" t="s">
        <v>523</v>
      </c>
      <c r="G870" s="58"/>
      <c r="H870" s="58"/>
    </row>
    <row r="871" spans="1:8" x14ac:dyDescent="0.3">
      <c r="B871" s="60" t="s">
        <v>1967</v>
      </c>
      <c r="C871" s="60">
        <v>1757422319336</v>
      </c>
      <c r="D871" s="60" t="s">
        <v>2004</v>
      </c>
      <c r="E871" s="60" t="s">
        <v>520</v>
      </c>
      <c r="F871" s="60" t="s">
        <v>1435</v>
      </c>
      <c r="G871" s="58"/>
      <c r="H871" s="58"/>
    </row>
    <row r="872" spans="1:8" x14ac:dyDescent="0.3">
      <c r="B872" s="60" t="s">
        <v>1967</v>
      </c>
      <c r="C872" s="60">
        <v>1757422328518</v>
      </c>
      <c r="D872" s="60" t="s">
        <v>2005</v>
      </c>
      <c r="E872" s="60" t="s">
        <v>525</v>
      </c>
      <c r="F872" s="60" t="s">
        <v>1443</v>
      </c>
      <c r="G872" s="58"/>
      <c r="H872" s="58"/>
    </row>
    <row r="873" spans="1:8" x14ac:dyDescent="0.3">
      <c r="B873" s="60" t="s">
        <v>1967</v>
      </c>
      <c r="C873" s="60">
        <v>1757422336588</v>
      </c>
      <c r="D873" s="60" t="s">
        <v>2006</v>
      </c>
      <c r="E873" s="60" t="s">
        <v>463</v>
      </c>
      <c r="F873" s="60" t="s">
        <v>464</v>
      </c>
      <c r="G873" s="58"/>
      <c r="H873" s="58"/>
    </row>
    <row r="874" spans="1:8" x14ac:dyDescent="0.3">
      <c r="B874" s="60" t="s">
        <v>426</v>
      </c>
      <c r="C874" s="60">
        <v>1757422339530</v>
      </c>
      <c r="D874" s="60" t="s">
        <v>2007</v>
      </c>
      <c r="E874" s="60" t="s">
        <v>428</v>
      </c>
      <c r="F874" s="60" t="s">
        <v>455</v>
      </c>
      <c r="G874" s="58"/>
      <c r="H874" s="58"/>
    </row>
    <row r="875" spans="1:8" ht="21" x14ac:dyDescent="0.4">
      <c r="A875" s="69" t="s">
        <v>44</v>
      </c>
      <c r="B875" s="63" t="s">
        <v>2084</v>
      </c>
      <c r="C875" s="63">
        <v>1757426565961</v>
      </c>
      <c r="D875" s="63" t="s">
        <v>2218</v>
      </c>
      <c r="E875" s="63" t="s">
        <v>416</v>
      </c>
      <c r="F875" t="s">
        <v>492</v>
      </c>
    </row>
    <row r="876" spans="1:8" x14ac:dyDescent="0.3">
      <c r="B876" s="63" t="s">
        <v>2084</v>
      </c>
      <c r="C876" s="63">
        <v>1757426566475</v>
      </c>
      <c r="D876" s="63" t="s">
        <v>2219</v>
      </c>
      <c r="E876" s="63" t="s">
        <v>419</v>
      </c>
      <c r="F876" t="s">
        <v>420</v>
      </c>
    </row>
    <row r="877" spans="1:8" x14ac:dyDescent="0.3">
      <c r="B877" s="63" t="s">
        <v>2084</v>
      </c>
      <c r="C877" s="63">
        <v>1757426580526</v>
      </c>
      <c r="D877" s="63" t="s">
        <v>2220</v>
      </c>
      <c r="E877" s="63" t="s">
        <v>389</v>
      </c>
      <c r="F877" t="s">
        <v>400</v>
      </c>
    </row>
    <row r="878" spans="1:8" x14ac:dyDescent="0.3">
      <c r="B878" s="63" t="s">
        <v>2084</v>
      </c>
      <c r="C878" s="63">
        <v>1757426580596</v>
      </c>
      <c r="D878" s="63" t="s">
        <v>2221</v>
      </c>
      <c r="E878" s="63" t="s">
        <v>389</v>
      </c>
      <c r="F878" t="s">
        <v>396</v>
      </c>
    </row>
    <row r="879" spans="1:8" x14ac:dyDescent="0.3">
      <c r="B879" s="63" t="s">
        <v>2084</v>
      </c>
      <c r="C879" s="63">
        <v>1757426580657</v>
      </c>
      <c r="D879" s="63" t="s">
        <v>2222</v>
      </c>
      <c r="E879" s="63" t="s">
        <v>389</v>
      </c>
      <c r="F879" t="s">
        <v>398</v>
      </c>
    </row>
    <row r="880" spans="1:8" x14ac:dyDescent="0.3">
      <c r="B880" s="63" t="s">
        <v>2084</v>
      </c>
      <c r="C880" s="63">
        <v>1757426580747</v>
      </c>
      <c r="D880" s="63" t="s">
        <v>2223</v>
      </c>
      <c r="E880" s="63" t="s">
        <v>389</v>
      </c>
      <c r="F880" t="s">
        <v>390</v>
      </c>
    </row>
    <row r="881" spans="2:6" x14ac:dyDescent="0.3">
      <c r="B881" s="63" t="s">
        <v>2084</v>
      </c>
      <c r="C881" s="63">
        <v>1757426580807</v>
      </c>
      <c r="D881" s="63" t="s">
        <v>2224</v>
      </c>
      <c r="E881" s="63" t="s">
        <v>389</v>
      </c>
      <c r="F881" t="s">
        <v>1689</v>
      </c>
    </row>
    <row r="882" spans="2:6" x14ac:dyDescent="0.3">
      <c r="B882" s="63" t="s">
        <v>2084</v>
      </c>
      <c r="C882" s="63">
        <v>1757426580881</v>
      </c>
      <c r="D882" s="63" t="s">
        <v>2225</v>
      </c>
      <c r="E882" s="63" t="s">
        <v>389</v>
      </c>
      <c r="F882" t="s">
        <v>508</v>
      </c>
    </row>
    <row r="883" spans="2:6" x14ac:dyDescent="0.3">
      <c r="B883" s="63" t="s">
        <v>2084</v>
      </c>
      <c r="C883" s="63">
        <v>1757426580968</v>
      </c>
      <c r="D883" s="63" t="s">
        <v>2226</v>
      </c>
      <c r="E883" s="63" t="s">
        <v>389</v>
      </c>
      <c r="F883" t="s">
        <v>660</v>
      </c>
    </row>
    <row r="884" spans="2:6" x14ac:dyDescent="0.3">
      <c r="B884" s="63" t="s">
        <v>2084</v>
      </c>
      <c r="C884" s="63">
        <v>1757426581048</v>
      </c>
      <c r="D884" s="63" t="s">
        <v>2227</v>
      </c>
      <c r="E884" s="63" t="s">
        <v>389</v>
      </c>
      <c r="F884" t="s">
        <v>406</v>
      </c>
    </row>
    <row r="885" spans="2:6" x14ac:dyDescent="0.3">
      <c r="B885" s="63" t="s">
        <v>2084</v>
      </c>
      <c r="C885" s="63">
        <v>1757426581122</v>
      </c>
      <c r="D885" s="63" t="s">
        <v>2228</v>
      </c>
      <c r="E885" s="63" t="s">
        <v>389</v>
      </c>
      <c r="F885" t="s">
        <v>495</v>
      </c>
    </row>
    <row r="886" spans="2:6" x14ac:dyDescent="0.3">
      <c r="B886" s="63" t="s">
        <v>2084</v>
      </c>
      <c r="C886" s="63">
        <v>1757426583015</v>
      </c>
      <c r="D886" s="63" t="s">
        <v>2229</v>
      </c>
      <c r="E886" s="63" t="s">
        <v>389</v>
      </c>
      <c r="F886" t="s">
        <v>410</v>
      </c>
    </row>
    <row r="887" spans="2:6" x14ac:dyDescent="0.3">
      <c r="B887" s="63" t="s">
        <v>2084</v>
      </c>
      <c r="C887" s="63">
        <v>1757426583976</v>
      </c>
      <c r="D887" s="63" t="s">
        <v>2230</v>
      </c>
      <c r="E887" s="63" t="s">
        <v>389</v>
      </c>
      <c r="F887" t="s">
        <v>414</v>
      </c>
    </row>
    <row r="888" spans="2:6" x14ac:dyDescent="0.3">
      <c r="B888" s="63" t="s">
        <v>2084</v>
      </c>
      <c r="C888" s="63">
        <v>1757426590952</v>
      </c>
      <c r="D888" s="63" t="s">
        <v>2231</v>
      </c>
      <c r="E888" s="63" t="s">
        <v>389</v>
      </c>
      <c r="F888" t="s">
        <v>515</v>
      </c>
    </row>
    <row r="889" spans="2:6" x14ac:dyDescent="0.3">
      <c r="B889" s="63" t="s">
        <v>2084</v>
      </c>
      <c r="C889" s="63">
        <v>1757426593330</v>
      </c>
      <c r="D889" s="63" t="s">
        <v>2232</v>
      </c>
      <c r="E889" s="63" t="s">
        <v>389</v>
      </c>
      <c r="F889" t="s">
        <v>414</v>
      </c>
    </row>
    <row r="890" spans="2:6" x14ac:dyDescent="0.3">
      <c r="B890" s="63" t="s">
        <v>2084</v>
      </c>
      <c r="C890" s="63">
        <v>1757426601040</v>
      </c>
      <c r="D890" s="63" t="s">
        <v>2233</v>
      </c>
      <c r="E890" s="63" t="s">
        <v>389</v>
      </c>
      <c r="F890" t="s">
        <v>515</v>
      </c>
    </row>
    <row r="891" spans="2:6" x14ac:dyDescent="0.3">
      <c r="B891" s="63" t="s">
        <v>2084</v>
      </c>
      <c r="C891" s="63">
        <v>1757426606746</v>
      </c>
      <c r="D891" s="63" t="s">
        <v>2234</v>
      </c>
      <c r="E891" s="63" t="s">
        <v>389</v>
      </c>
      <c r="F891" t="s">
        <v>394</v>
      </c>
    </row>
    <row r="892" spans="2:6" x14ac:dyDescent="0.3">
      <c r="B892" s="63" t="s">
        <v>2084</v>
      </c>
      <c r="C892" s="63">
        <v>1757426621966</v>
      </c>
      <c r="D892" s="63" t="s">
        <v>2235</v>
      </c>
      <c r="E892" s="63" t="s">
        <v>422</v>
      </c>
      <c r="F892" t="s">
        <v>420</v>
      </c>
    </row>
    <row r="893" spans="2:6" x14ac:dyDescent="0.3">
      <c r="B893" s="63" t="s">
        <v>2084</v>
      </c>
      <c r="C893" s="63">
        <v>1757426635130</v>
      </c>
      <c r="D893" s="63" t="s">
        <v>2236</v>
      </c>
      <c r="E893" s="63" t="s">
        <v>424</v>
      </c>
      <c r="F893" t="s">
        <v>570</v>
      </c>
    </row>
    <row r="894" spans="2:6" x14ac:dyDescent="0.3">
      <c r="B894" s="63" t="s">
        <v>2084</v>
      </c>
      <c r="C894" s="63">
        <v>1757426637171</v>
      </c>
      <c r="D894" s="63" t="s">
        <v>2237</v>
      </c>
      <c r="E894" s="63" t="s">
        <v>424</v>
      </c>
      <c r="F894" s="63" t="s">
        <v>425</v>
      </c>
    </row>
    <row r="895" spans="2:6" x14ac:dyDescent="0.3">
      <c r="B895" s="63" t="s">
        <v>426</v>
      </c>
      <c r="C895" s="63">
        <v>1757426637364</v>
      </c>
      <c r="D895" s="63" t="s">
        <v>2238</v>
      </c>
      <c r="E895" s="63" t="s">
        <v>428</v>
      </c>
      <c r="F895" s="63" t="s">
        <v>435</v>
      </c>
    </row>
    <row r="896" spans="2:6" x14ac:dyDescent="0.3">
      <c r="B896" s="63" t="s">
        <v>2084</v>
      </c>
      <c r="C896" s="63">
        <v>1757426642119</v>
      </c>
      <c r="D896" s="63" t="s">
        <v>2239</v>
      </c>
      <c r="E896" s="63" t="s">
        <v>520</v>
      </c>
      <c r="F896" s="63" t="s">
        <v>675</v>
      </c>
    </row>
    <row r="897" spans="2:6" x14ac:dyDescent="0.3">
      <c r="B897" s="63" t="s">
        <v>426</v>
      </c>
      <c r="C897" s="63">
        <v>1757426652057</v>
      </c>
      <c r="D897" s="63" t="s">
        <v>2240</v>
      </c>
      <c r="E897" s="63" t="s">
        <v>428</v>
      </c>
      <c r="F897" s="63" t="s">
        <v>437</v>
      </c>
    </row>
    <row r="898" spans="2:6" x14ac:dyDescent="0.3">
      <c r="B898" s="63" t="s">
        <v>2084</v>
      </c>
      <c r="C898" s="63">
        <v>1757426654178</v>
      </c>
      <c r="D898" s="63" t="s">
        <v>2241</v>
      </c>
      <c r="E898" s="63" t="s">
        <v>525</v>
      </c>
      <c r="F898" s="63" t="s">
        <v>677</v>
      </c>
    </row>
    <row r="899" spans="2:6" x14ac:dyDescent="0.3">
      <c r="B899" s="63" t="s">
        <v>426</v>
      </c>
      <c r="C899" s="63">
        <v>1757426668259</v>
      </c>
      <c r="D899" s="63" t="s">
        <v>2242</v>
      </c>
      <c r="E899" s="63" t="s">
        <v>428</v>
      </c>
      <c r="F899" s="63" t="s">
        <v>439</v>
      </c>
    </row>
    <row r="900" spans="2:6" x14ac:dyDescent="0.3">
      <c r="B900" s="63" t="s">
        <v>2084</v>
      </c>
      <c r="C900" s="63">
        <v>1757426674298</v>
      </c>
      <c r="D900" s="63" t="s">
        <v>2243</v>
      </c>
      <c r="E900" s="63" t="s">
        <v>520</v>
      </c>
      <c r="F900" s="63" t="s">
        <v>675</v>
      </c>
    </row>
    <row r="901" spans="2:6" x14ac:dyDescent="0.3">
      <c r="B901" s="63" t="s">
        <v>426</v>
      </c>
      <c r="C901" s="63">
        <v>1757426685864</v>
      </c>
      <c r="D901" s="63" t="s">
        <v>2244</v>
      </c>
      <c r="E901" s="63" t="s">
        <v>428</v>
      </c>
      <c r="F901" s="63" t="s">
        <v>429</v>
      </c>
    </row>
    <row r="902" spans="2:6" x14ac:dyDescent="0.3">
      <c r="B902" s="63" t="s">
        <v>2084</v>
      </c>
      <c r="C902" s="63">
        <v>1757426687583</v>
      </c>
      <c r="D902" s="63" t="s">
        <v>2245</v>
      </c>
      <c r="E902" s="63" t="s">
        <v>525</v>
      </c>
      <c r="F902" s="63" t="s">
        <v>677</v>
      </c>
    </row>
    <row r="903" spans="2:6" x14ac:dyDescent="0.3">
      <c r="B903" s="63" t="s">
        <v>426</v>
      </c>
      <c r="C903" s="63">
        <v>1757426703491</v>
      </c>
      <c r="D903" s="63" t="s">
        <v>2246</v>
      </c>
      <c r="E903" s="63" t="s">
        <v>428</v>
      </c>
      <c r="F903" s="63" t="s">
        <v>431</v>
      </c>
    </row>
    <row r="904" spans="2:6" x14ac:dyDescent="0.3">
      <c r="B904" s="63" t="s">
        <v>2084</v>
      </c>
      <c r="C904" s="63">
        <v>1757426707731</v>
      </c>
      <c r="D904" s="63" t="s">
        <v>2247</v>
      </c>
      <c r="E904" s="63" t="s">
        <v>520</v>
      </c>
      <c r="F904" s="63" t="s">
        <v>1975</v>
      </c>
    </row>
    <row r="905" spans="2:6" x14ac:dyDescent="0.3">
      <c r="B905" s="63" t="s">
        <v>426</v>
      </c>
      <c r="C905" s="63">
        <v>1757426718895</v>
      </c>
      <c r="D905" s="63" t="s">
        <v>2248</v>
      </c>
      <c r="E905" s="63" t="s">
        <v>428</v>
      </c>
      <c r="F905" s="63" t="s">
        <v>538</v>
      </c>
    </row>
    <row r="906" spans="2:6" x14ac:dyDescent="0.3">
      <c r="B906" s="63" t="s">
        <v>2084</v>
      </c>
      <c r="C906" s="63">
        <v>1757426729651</v>
      </c>
      <c r="D906" s="63" t="s">
        <v>2249</v>
      </c>
      <c r="E906" s="63" t="s">
        <v>525</v>
      </c>
      <c r="F906" s="63" t="s">
        <v>1977</v>
      </c>
    </row>
    <row r="907" spans="2:6" x14ac:dyDescent="0.3">
      <c r="B907" s="63" t="s">
        <v>426</v>
      </c>
      <c r="C907" s="63">
        <v>1757426736511</v>
      </c>
      <c r="D907" s="63" t="s">
        <v>2250</v>
      </c>
      <c r="E907" s="63" t="s">
        <v>428</v>
      </c>
      <c r="F907" s="63" t="s">
        <v>672</v>
      </c>
    </row>
    <row r="908" spans="2:6" x14ac:dyDescent="0.3">
      <c r="B908" s="63" t="s">
        <v>2084</v>
      </c>
      <c r="C908" s="63">
        <v>1757426749779</v>
      </c>
      <c r="D908" s="63" t="s">
        <v>2251</v>
      </c>
      <c r="E908" s="63" t="s">
        <v>520</v>
      </c>
      <c r="F908" s="63" t="s">
        <v>521</v>
      </c>
    </row>
    <row r="909" spans="2:6" x14ac:dyDescent="0.3">
      <c r="B909" s="63" t="s">
        <v>426</v>
      </c>
      <c r="C909" s="63">
        <v>1757426754197</v>
      </c>
      <c r="D909" s="63" t="s">
        <v>2252</v>
      </c>
      <c r="E909" s="63" t="s">
        <v>428</v>
      </c>
      <c r="F909" s="63" t="s">
        <v>453</v>
      </c>
    </row>
    <row r="910" spans="2:6" x14ac:dyDescent="0.3">
      <c r="B910" s="63" t="s">
        <v>2084</v>
      </c>
      <c r="C910" s="63">
        <v>1757426763281</v>
      </c>
      <c r="D910" s="63" t="s">
        <v>2253</v>
      </c>
      <c r="E910" s="63" t="s">
        <v>1438</v>
      </c>
      <c r="F910" s="63" t="s">
        <v>2254</v>
      </c>
    </row>
    <row r="911" spans="2:6" x14ac:dyDescent="0.3">
      <c r="B911" s="63" t="s">
        <v>426</v>
      </c>
      <c r="C911" s="63">
        <v>1757426769690</v>
      </c>
      <c r="D911" s="63" t="s">
        <v>2255</v>
      </c>
      <c r="E911" s="63" t="s">
        <v>428</v>
      </c>
      <c r="F911" s="63" t="s">
        <v>447</v>
      </c>
    </row>
    <row r="912" spans="2:6" x14ac:dyDescent="0.3">
      <c r="B912" s="63" t="s">
        <v>2084</v>
      </c>
      <c r="C912" s="63">
        <v>1757426786894</v>
      </c>
      <c r="D912" s="63" t="s">
        <v>2256</v>
      </c>
      <c r="E912" s="63" t="s">
        <v>525</v>
      </c>
      <c r="F912" s="63" t="s">
        <v>526</v>
      </c>
    </row>
    <row r="913" spans="2:6" x14ac:dyDescent="0.3">
      <c r="B913" s="63" t="s">
        <v>2084</v>
      </c>
      <c r="C913" s="63">
        <v>1757426807017</v>
      </c>
      <c r="D913" s="63" t="s">
        <v>2257</v>
      </c>
      <c r="E913" s="63" t="s">
        <v>520</v>
      </c>
      <c r="F913" s="63" t="s">
        <v>2258</v>
      </c>
    </row>
    <row r="914" spans="2:6" x14ac:dyDescent="0.3">
      <c r="B914" s="63" t="s">
        <v>2084</v>
      </c>
      <c r="C914" s="63">
        <v>1757426822060</v>
      </c>
      <c r="D914" s="63" t="s">
        <v>2259</v>
      </c>
      <c r="E914" s="63" t="s">
        <v>1438</v>
      </c>
      <c r="F914" s="63" t="s">
        <v>2260</v>
      </c>
    </row>
    <row r="915" spans="2:6" x14ac:dyDescent="0.3">
      <c r="B915" s="63" t="s">
        <v>2084</v>
      </c>
      <c r="C915" s="63">
        <v>1757426838881</v>
      </c>
      <c r="D915" s="63" t="s">
        <v>2261</v>
      </c>
      <c r="E915" s="63" t="s">
        <v>1438</v>
      </c>
      <c r="F915" s="63" t="s">
        <v>2262</v>
      </c>
    </row>
    <row r="916" spans="2:6" x14ac:dyDescent="0.3">
      <c r="B916" s="63" t="s">
        <v>2084</v>
      </c>
      <c r="C916" s="63">
        <v>1757426871827</v>
      </c>
      <c r="D916" s="63" t="s">
        <v>2263</v>
      </c>
      <c r="E916" s="63" t="s">
        <v>525</v>
      </c>
      <c r="F916" s="63" t="s">
        <v>2264</v>
      </c>
    </row>
    <row r="917" spans="2:6" x14ac:dyDescent="0.3">
      <c r="B917" s="63" t="s">
        <v>2084</v>
      </c>
      <c r="C917" s="63">
        <v>1757426891956</v>
      </c>
      <c r="D917" s="63" t="s">
        <v>2265</v>
      </c>
      <c r="E917" s="63" t="s">
        <v>520</v>
      </c>
      <c r="F917" s="63" t="s">
        <v>1987</v>
      </c>
    </row>
    <row r="918" spans="2:6" x14ac:dyDescent="0.3">
      <c r="B918" s="63" t="s">
        <v>2084</v>
      </c>
      <c r="C918" s="63">
        <v>1757426903877</v>
      </c>
      <c r="D918" s="63" t="s">
        <v>2266</v>
      </c>
      <c r="E918" s="63" t="s">
        <v>525</v>
      </c>
      <c r="F918" s="63" t="s">
        <v>1990</v>
      </c>
    </row>
    <row r="919" spans="2:6" x14ac:dyDescent="0.3">
      <c r="B919" s="63" t="s">
        <v>2084</v>
      </c>
      <c r="C919" s="63">
        <v>1757426923987</v>
      </c>
      <c r="D919" s="63" t="s">
        <v>2267</v>
      </c>
      <c r="E919" s="63" t="s">
        <v>520</v>
      </c>
      <c r="F919" s="63" t="s">
        <v>2268</v>
      </c>
    </row>
    <row r="920" spans="2:6" x14ac:dyDescent="0.3">
      <c r="B920" s="63" t="s">
        <v>2084</v>
      </c>
      <c r="C920" s="63">
        <v>1757426949291</v>
      </c>
      <c r="D920" s="63" t="s">
        <v>2269</v>
      </c>
      <c r="E920" s="63" t="s">
        <v>525</v>
      </c>
      <c r="F920" s="63" t="s">
        <v>2270</v>
      </c>
    </row>
    <row r="921" spans="2:6" x14ac:dyDescent="0.3">
      <c r="B921" s="63" t="s">
        <v>2084</v>
      </c>
      <c r="C921" s="63">
        <v>1757426953355</v>
      </c>
      <c r="D921" s="63" t="s">
        <v>2271</v>
      </c>
      <c r="E921" s="63" t="s">
        <v>424</v>
      </c>
      <c r="F921" s="63" t="s">
        <v>441</v>
      </c>
    </row>
    <row r="922" spans="2:6" x14ac:dyDescent="0.3">
      <c r="B922" s="63" t="s">
        <v>2084</v>
      </c>
      <c r="C922" s="63">
        <v>1757426953871</v>
      </c>
      <c r="D922" s="63" t="s">
        <v>2272</v>
      </c>
      <c r="E922" s="63" t="s">
        <v>424</v>
      </c>
      <c r="F922" s="63" t="s">
        <v>433</v>
      </c>
    </row>
    <row r="923" spans="2:6" x14ac:dyDescent="0.3">
      <c r="B923" s="63" t="s">
        <v>2084</v>
      </c>
      <c r="C923" s="63">
        <v>1757426954390</v>
      </c>
      <c r="D923" s="63" t="s">
        <v>2273</v>
      </c>
      <c r="E923" s="63" t="s">
        <v>424</v>
      </c>
      <c r="F923" s="63" t="s">
        <v>457</v>
      </c>
    </row>
    <row r="924" spans="2:6" x14ac:dyDescent="0.3">
      <c r="B924" s="63" t="s">
        <v>2084</v>
      </c>
      <c r="C924" s="63">
        <v>1757426957016</v>
      </c>
      <c r="D924" s="63" t="s">
        <v>2274</v>
      </c>
      <c r="E924" s="63" t="s">
        <v>424</v>
      </c>
      <c r="F924" s="63" t="s">
        <v>459</v>
      </c>
    </row>
    <row r="925" spans="2:6" x14ac:dyDescent="0.3">
      <c r="B925" s="63" t="s">
        <v>2084</v>
      </c>
      <c r="C925" s="63">
        <v>1757426958401</v>
      </c>
      <c r="D925" s="63" t="s">
        <v>2275</v>
      </c>
      <c r="E925" s="63" t="s">
        <v>424</v>
      </c>
      <c r="F925" s="63" t="s">
        <v>461</v>
      </c>
    </row>
    <row r="926" spans="2:6" x14ac:dyDescent="0.3">
      <c r="B926" s="63" t="s">
        <v>2084</v>
      </c>
      <c r="C926" s="63">
        <v>1757426959662</v>
      </c>
      <c r="D926" s="63" t="s">
        <v>2276</v>
      </c>
      <c r="E926" s="63" t="s">
        <v>424</v>
      </c>
      <c r="F926" s="63" t="s">
        <v>449</v>
      </c>
    </row>
    <row r="927" spans="2:6" x14ac:dyDescent="0.3">
      <c r="B927" s="63" t="s">
        <v>2084</v>
      </c>
      <c r="C927" s="63">
        <v>1757426960683</v>
      </c>
      <c r="D927" s="63" t="s">
        <v>2277</v>
      </c>
      <c r="E927" s="63" t="s">
        <v>424</v>
      </c>
      <c r="F927" s="63" t="s">
        <v>451</v>
      </c>
    </row>
    <row r="928" spans="2:6" x14ac:dyDescent="0.3">
      <c r="B928" s="63" t="s">
        <v>2084</v>
      </c>
      <c r="C928" s="63">
        <v>1757426964952</v>
      </c>
      <c r="D928" s="63" t="s">
        <v>2278</v>
      </c>
      <c r="E928" s="63" t="s">
        <v>463</v>
      </c>
      <c r="F928" s="63" t="s">
        <v>464</v>
      </c>
    </row>
    <row r="929" spans="2:6" x14ac:dyDescent="0.3">
      <c r="B929" s="58" t="s">
        <v>2119</v>
      </c>
      <c r="C929" s="58">
        <v>1757426981417</v>
      </c>
      <c r="D929" s="58" t="s">
        <v>2279</v>
      </c>
      <c r="E929" s="58" t="s">
        <v>416</v>
      </c>
      <c r="F929" s="58" t="s">
        <v>573</v>
      </c>
    </row>
    <row r="930" spans="2:6" x14ac:dyDescent="0.3">
      <c r="B930" s="58" t="s">
        <v>2119</v>
      </c>
      <c r="C930" s="58">
        <v>1757426981585</v>
      </c>
      <c r="D930" s="58" t="s">
        <v>2280</v>
      </c>
      <c r="E930" s="58" t="s">
        <v>468</v>
      </c>
      <c r="F930" s="58" t="s">
        <v>2281</v>
      </c>
    </row>
    <row r="931" spans="2:6" x14ac:dyDescent="0.3">
      <c r="B931" s="58" t="s">
        <v>2119</v>
      </c>
      <c r="C931" s="58">
        <v>1757426995830</v>
      </c>
      <c r="D931" s="58" t="s">
        <v>2282</v>
      </c>
      <c r="E931" s="58" t="s">
        <v>419</v>
      </c>
      <c r="F931" s="58" t="s">
        <v>420</v>
      </c>
    </row>
    <row r="932" spans="2:6" x14ac:dyDescent="0.3">
      <c r="B932" s="58" t="s">
        <v>2119</v>
      </c>
      <c r="C932" s="58">
        <v>1757427050748</v>
      </c>
      <c r="D932" s="58" t="s">
        <v>2283</v>
      </c>
      <c r="E932" s="58" t="s">
        <v>389</v>
      </c>
      <c r="F932" s="58" t="s">
        <v>811</v>
      </c>
    </row>
    <row r="933" spans="2:6" x14ac:dyDescent="0.3">
      <c r="B933" s="58" t="s">
        <v>2119</v>
      </c>
      <c r="C933" s="58">
        <v>1757427053868</v>
      </c>
      <c r="D933" s="58" t="s">
        <v>2284</v>
      </c>
      <c r="E933" s="58" t="s">
        <v>389</v>
      </c>
      <c r="F933" s="58" t="s">
        <v>2285</v>
      </c>
    </row>
    <row r="934" spans="2:6" x14ac:dyDescent="0.3">
      <c r="B934" s="58" t="s">
        <v>2119</v>
      </c>
      <c r="C934" s="58">
        <v>1757427053966</v>
      </c>
      <c r="D934" s="58" t="s">
        <v>2286</v>
      </c>
      <c r="E934" s="58" t="s">
        <v>389</v>
      </c>
      <c r="F934" s="58" t="s">
        <v>2287</v>
      </c>
    </row>
    <row r="935" spans="2:6" x14ac:dyDescent="0.3">
      <c r="B935" s="58" t="s">
        <v>2119</v>
      </c>
      <c r="C935" s="58">
        <v>1757427054078</v>
      </c>
      <c r="D935" s="58" t="s">
        <v>2288</v>
      </c>
      <c r="E935" s="58" t="s">
        <v>389</v>
      </c>
      <c r="F935" s="58" t="s">
        <v>2285</v>
      </c>
    </row>
    <row r="936" spans="2:6" x14ac:dyDescent="0.3">
      <c r="B936" s="58" t="s">
        <v>2119</v>
      </c>
      <c r="C936" s="58">
        <v>1757427054158</v>
      </c>
      <c r="D936" s="58" t="s">
        <v>2289</v>
      </c>
      <c r="E936" s="58" t="s">
        <v>389</v>
      </c>
      <c r="F936" s="58" t="s">
        <v>2287</v>
      </c>
    </row>
    <row r="937" spans="2:6" x14ac:dyDescent="0.3">
      <c r="B937" s="58" t="s">
        <v>2119</v>
      </c>
      <c r="C937" s="58">
        <v>1757427054249</v>
      </c>
      <c r="D937" s="58" t="s">
        <v>2290</v>
      </c>
      <c r="E937" s="58" t="s">
        <v>389</v>
      </c>
      <c r="F937" s="58" t="s">
        <v>2285</v>
      </c>
    </row>
    <row r="938" spans="2:6" x14ac:dyDescent="0.3">
      <c r="B938" s="58" t="s">
        <v>2119</v>
      </c>
      <c r="C938" s="58">
        <v>1757427054329</v>
      </c>
      <c r="D938" s="58" t="s">
        <v>2291</v>
      </c>
      <c r="E938" s="58" t="s">
        <v>389</v>
      </c>
      <c r="F938" s="58" t="s">
        <v>811</v>
      </c>
    </row>
    <row r="939" spans="2:6" x14ac:dyDescent="0.3">
      <c r="B939" s="58" t="s">
        <v>2119</v>
      </c>
      <c r="C939" s="58">
        <v>1757427054407</v>
      </c>
      <c r="D939" s="58" t="s">
        <v>2292</v>
      </c>
      <c r="E939" s="58" t="s">
        <v>389</v>
      </c>
      <c r="F939" s="58" t="s">
        <v>2285</v>
      </c>
    </row>
    <row r="940" spans="2:6" x14ac:dyDescent="0.3">
      <c r="B940" s="58" t="s">
        <v>2119</v>
      </c>
      <c r="C940" s="58">
        <v>1757427054483</v>
      </c>
      <c r="D940" s="58" t="s">
        <v>2293</v>
      </c>
      <c r="E940" s="58" t="s">
        <v>389</v>
      </c>
      <c r="F940" s="58" t="s">
        <v>811</v>
      </c>
    </row>
    <row r="941" spans="2:6" x14ac:dyDescent="0.3">
      <c r="B941" s="58" t="s">
        <v>2119</v>
      </c>
      <c r="C941" s="58">
        <v>1757427054582</v>
      </c>
      <c r="D941" s="58" t="s">
        <v>2294</v>
      </c>
      <c r="E941" s="58" t="s">
        <v>389</v>
      </c>
      <c r="F941" s="58" t="s">
        <v>2285</v>
      </c>
    </row>
    <row r="942" spans="2:6" x14ac:dyDescent="0.3">
      <c r="B942" s="58" t="s">
        <v>2119</v>
      </c>
      <c r="C942" s="58">
        <v>1757427054667</v>
      </c>
      <c r="D942" s="58" t="s">
        <v>2295</v>
      </c>
      <c r="E942" s="58" t="s">
        <v>389</v>
      </c>
      <c r="F942" s="58" t="s">
        <v>811</v>
      </c>
    </row>
    <row r="943" spans="2:6" x14ac:dyDescent="0.3">
      <c r="B943" s="58" t="s">
        <v>2119</v>
      </c>
      <c r="C943" s="58">
        <v>1757427054753</v>
      </c>
      <c r="D943" s="58" t="s">
        <v>2296</v>
      </c>
      <c r="E943" s="58" t="s">
        <v>389</v>
      </c>
      <c r="F943" s="58" t="s">
        <v>2285</v>
      </c>
    </row>
    <row r="944" spans="2:6" x14ac:dyDescent="0.3">
      <c r="B944" s="58" t="s">
        <v>2119</v>
      </c>
      <c r="C944" s="58">
        <v>1757427054870</v>
      </c>
      <c r="D944" s="58" t="s">
        <v>2297</v>
      </c>
      <c r="E944" s="58" t="s">
        <v>389</v>
      </c>
      <c r="F944" s="58" t="s">
        <v>811</v>
      </c>
    </row>
    <row r="945" spans="2:6" x14ac:dyDescent="0.3">
      <c r="B945" s="58" t="s">
        <v>2119</v>
      </c>
      <c r="C945" s="58">
        <v>1757427055027</v>
      </c>
      <c r="D945" s="58" t="s">
        <v>2298</v>
      </c>
      <c r="E945" s="58" t="s">
        <v>389</v>
      </c>
      <c r="F945" s="58" t="s">
        <v>2285</v>
      </c>
    </row>
    <row r="946" spans="2:6" x14ac:dyDescent="0.3">
      <c r="B946" s="58" t="s">
        <v>2119</v>
      </c>
      <c r="C946" s="58">
        <v>1757427055141</v>
      </c>
      <c r="D946" s="58" t="s">
        <v>2299</v>
      </c>
      <c r="E946" s="58" t="s">
        <v>389</v>
      </c>
      <c r="F946" s="58" t="s">
        <v>2287</v>
      </c>
    </row>
    <row r="947" spans="2:6" x14ac:dyDescent="0.3">
      <c r="B947" s="58" t="s">
        <v>2119</v>
      </c>
      <c r="C947" s="58">
        <v>1757427055243</v>
      </c>
      <c r="D947" s="58" t="s">
        <v>2300</v>
      </c>
      <c r="E947" s="58" t="s">
        <v>389</v>
      </c>
      <c r="F947" s="58" t="s">
        <v>811</v>
      </c>
    </row>
    <row r="948" spans="2:6" x14ac:dyDescent="0.3">
      <c r="B948" s="58" t="s">
        <v>2119</v>
      </c>
      <c r="C948" s="58">
        <v>1757427056425</v>
      </c>
      <c r="D948" s="58" t="s">
        <v>2301</v>
      </c>
      <c r="E948" s="58" t="s">
        <v>389</v>
      </c>
      <c r="F948" s="58" t="s">
        <v>410</v>
      </c>
    </row>
    <row r="949" spans="2:6" x14ac:dyDescent="0.3">
      <c r="B949" s="58" t="s">
        <v>2119</v>
      </c>
      <c r="C949" s="58">
        <v>1757427062544</v>
      </c>
      <c r="D949" s="58" t="s">
        <v>2302</v>
      </c>
      <c r="E949" s="58" t="s">
        <v>389</v>
      </c>
      <c r="F949" s="58" t="s">
        <v>811</v>
      </c>
    </row>
    <row r="950" spans="2:6" x14ac:dyDescent="0.3">
      <c r="B950" s="58" t="s">
        <v>2119</v>
      </c>
      <c r="C950" s="58">
        <v>1757427081647</v>
      </c>
      <c r="D950" s="58" t="s">
        <v>2303</v>
      </c>
      <c r="E950" s="58" t="s">
        <v>422</v>
      </c>
      <c r="F950" s="58" t="s">
        <v>420</v>
      </c>
    </row>
    <row r="951" spans="2:6" x14ac:dyDescent="0.3">
      <c r="B951" s="58" t="s">
        <v>426</v>
      </c>
      <c r="C951" s="58">
        <v>1757427101538</v>
      </c>
      <c r="D951" s="58" t="s">
        <v>2304</v>
      </c>
      <c r="E951" s="58" t="s">
        <v>428</v>
      </c>
      <c r="F951" s="58" t="s">
        <v>435</v>
      </c>
    </row>
    <row r="952" spans="2:6" x14ac:dyDescent="0.3">
      <c r="B952" s="58" t="s">
        <v>2119</v>
      </c>
      <c r="C952" s="58">
        <v>1757427101793</v>
      </c>
      <c r="D952" s="58" t="s">
        <v>2305</v>
      </c>
      <c r="E952" s="58" t="s">
        <v>520</v>
      </c>
      <c r="F952" s="58" t="s">
        <v>1435</v>
      </c>
    </row>
    <row r="953" spans="2:6" x14ac:dyDescent="0.3">
      <c r="B953" s="58" t="s">
        <v>426</v>
      </c>
      <c r="C953" s="58">
        <v>1757427120657</v>
      </c>
      <c r="D953" s="58" t="s">
        <v>2306</v>
      </c>
      <c r="E953" s="58" t="s">
        <v>428</v>
      </c>
      <c r="F953" s="58" t="s">
        <v>437</v>
      </c>
    </row>
    <row r="954" spans="2:6" x14ac:dyDescent="0.3">
      <c r="B954" s="58" t="s">
        <v>2119</v>
      </c>
      <c r="C954" s="58">
        <v>1757427138989</v>
      </c>
      <c r="D954" s="58" t="s">
        <v>2307</v>
      </c>
      <c r="E954" s="58" t="s">
        <v>525</v>
      </c>
      <c r="F954" s="58" t="s">
        <v>1443</v>
      </c>
    </row>
    <row r="955" spans="2:6" x14ac:dyDescent="0.3">
      <c r="B955" s="58" t="s">
        <v>426</v>
      </c>
      <c r="C955" s="58">
        <v>1757427139041</v>
      </c>
      <c r="D955" s="58" t="s">
        <v>2308</v>
      </c>
      <c r="E955" s="58" t="s">
        <v>428</v>
      </c>
      <c r="F955" s="58" t="s">
        <v>439</v>
      </c>
    </row>
    <row r="956" spans="2:6" x14ac:dyDescent="0.3">
      <c r="B956" s="58" t="s">
        <v>426</v>
      </c>
      <c r="C956" s="58">
        <v>1757427154490</v>
      </c>
      <c r="D956" s="58" t="s">
        <v>2309</v>
      </c>
      <c r="E956" s="58" t="s">
        <v>428</v>
      </c>
      <c r="F956" s="58" t="s">
        <v>429</v>
      </c>
    </row>
    <row r="957" spans="2:6" x14ac:dyDescent="0.3">
      <c r="B957" s="58" t="s">
        <v>2119</v>
      </c>
      <c r="C957" s="58">
        <v>1757427159114</v>
      </c>
      <c r="D957" s="58" t="s">
        <v>2310</v>
      </c>
      <c r="E957" s="58" t="s">
        <v>520</v>
      </c>
      <c r="F957" s="58" t="s">
        <v>2311</v>
      </c>
    </row>
    <row r="958" spans="2:6" x14ac:dyDescent="0.3">
      <c r="B958" s="58" t="s">
        <v>2119</v>
      </c>
      <c r="C958" s="58">
        <v>1757427169101</v>
      </c>
      <c r="D958" s="58" t="s">
        <v>2312</v>
      </c>
      <c r="E958" s="58" t="s">
        <v>525</v>
      </c>
      <c r="F958" s="58" t="s">
        <v>2313</v>
      </c>
    </row>
    <row r="959" spans="2:6" x14ac:dyDescent="0.3">
      <c r="B959" s="58" t="s">
        <v>426</v>
      </c>
      <c r="C959" s="58">
        <v>1757427169192</v>
      </c>
      <c r="D959" s="58" t="s">
        <v>2314</v>
      </c>
      <c r="E959" s="58" t="s">
        <v>428</v>
      </c>
      <c r="F959" s="58" t="s">
        <v>431</v>
      </c>
    </row>
    <row r="960" spans="2:6" x14ac:dyDescent="0.3">
      <c r="B960" s="58" t="s">
        <v>426</v>
      </c>
      <c r="C960" s="58">
        <v>1757427185432</v>
      </c>
      <c r="D960" s="58" t="s">
        <v>2315</v>
      </c>
      <c r="E960" s="58" t="s">
        <v>428</v>
      </c>
      <c r="F960" s="58" t="s">
        <v>538</v>
      </c>
    </row>
    <row r="961" spans="2:6" x14ac:dyDescent="0.3">
      <c r="B961" s="58" t="s">
        <v>2119</v>
      </c>
      <c r="C961" s="58">
        <v>1757427189245</v>
      </c>
      <c r="D961" s="58" t="s">
        <v>2316</v>
      </c>
      <c r="E961" s="58" t="s">
        <v>520</v>
      </c>
      <c r="F961" s="58" t="s">
        <v>1435</v>
      </c>
    </row>
    <row r="962" spans="2:6" x14ac:dyDescent="0.3">
      <c r="B962" s="58" t="s">
        <v>426</v>
      </c>
      <c r="C962" s="58">
        <v>1757427203175</v>
      </c>
      <c r="D962" s="58" t="s">
        <v>2317</v>
      </c>
      <c r="E962" s="58" t="s">
        <v>428</v>
      </c>
      <c r="F962" s="58" t="s">
        <v>672</v>
      </c>
    </row>
    <row r="963" spans="2:6" x14ac:dyDescent="0.3">
      <c r="B963" s="58" t="s">
        <v>2119</v>
      </c>
      <c r="C963" s="58">
        <v>1757427216128</v>
      </c>
      <c r="D963" s="58" t="s">
        <v>2318</v>
      </c>
      <c r="E963" s="58" t="s">
        <v>525</v>
      </c>
      <c r="F963" s="58" t="s">
        <v>1443</v>
      </c>
    </row>
    <row r="964" spans="2:6" x14ac:dyDescent="0.3">
      <c r="B964" s="58" t="s">
        <v>426</v>
      </c>
      <c r="C964" s="58">
        <v>1757427217947</v>
      </c>
      <c r="D964" s="58" t="s">
        <v>2319</v>
      </c>
      <c r="E964" s="58" t="s">
        <v>428</v>
      </c>
      <c r="F964" s="58" t="s">
        <v>453</v>
      </c>
    </row>
    <row r="965" spans="2:6" x14ac:dyDescent="0.3">
      <c r="B965" s="58" t="s">
        <v>2119</v>
      </c>
      <c r="C965" s="58">
        <v>1757427236261</v>
      </c>
      <c r="D965" s="58" t="s">
        <v>2320</v>
      </c>
      <c r="E965" s="58" t="s">
        <v>520</v>
      </c>
      <c r="F965" s="58" t="s">
        <v>1448</v>
      </c>
    </row>
    <row r="966" spans="2:6" x14ac:dyDescent="0.3">
      <c r="B966" s="58" t="s">
        <v>2119</v>
      </c>
      <c r="C966" s="58">
        <v>1757427258948</v>
      </c>
      <c r="D966" s="58" t="s">
        <v>2321</v>
      </c>
      <c r="E966" s="58" t="s">
        <v>525</v>
      </c>
      <c r="F966" s="58" t="s">
        <v>1450</v>
      </c>
    </row>
    <row r="967" spans="2:6" x14ac:dyDescent="0.3">
      <c r="B967" s="58" t="s">
        <v>2119</v>
      </c>
      <c r="C967" s="58">
        <v>1757427279081</v>
      </c>
      <c r="D967" s="58" t="s">
        <v>2322</v>
      </c>
      <c r="E967" s="58" t="s">
        <v>520</v>
      </c>
      <c r="F967" s="58" t="s">
        <v>559</v>
      </c>
    </row>
    <row r="968" spans="2:6" x14ac:dyDescent="0.3">
      <c r="B968" s="58" t="s">
        <v>2119</v>
      </c>
      <c r="C968" s="58">
        <v>1757427287156</v>
      </c>
      <c r="D968" s="58" t="s">
        <v>2323</v>
      </c>
      <c r="E968" s="58" t="s">
        <v>525</v>
      </c>
      <c r="F968" s="58" t="s">
        <v>561</v>
      </c>
    </row>
    <row r="969" spans="2:6" x14ac:dyDescent="0.3">
      <c r="B969" s="58" t="s">
        <v>2119</v>
      </c>
      <c r="C969" s="58">
        <v>1757427297288</v>
      </c>
      <c r="D969" s="58" t="s">
        <v>2324</v>
      </c>
      <c r="E969" s="58" t="s">
        <v>424</v>
      </c>
      <c r="F969" s="58" t="s">
        <v>570</v>
      </c>
    </row>
    <row r="970" spans="2:6" x14ac:dyDescent="0.3">
      <c r="B970" s="58" t="s">
        <v>2119</v>
      </c>
      <c r="C970" s="58">
        <v>1757427297735</v>
      </c>
      <c r="D970" s="58" t="s">
        <v>2325</v>
      </c>
      <c r="E970" s="58" t="s">
        <v>424</v>
      </c>
      <c r="F970" s="58" t="s">
        <v>425</v>
      </c>
    </row>
    <row r="971" spans="2:6" x14ac:dyDescent="0.3">
      <c r="B971" s="58" t="s">
        <v>2119</v>
      </c>
      <c r="C971" s="58">
        <v>1757427298073</v>
      </c>
      <c r="D971" s="58" t="s">
        <v>2326</v>
      </c>
      <c r="E971" s="58" t="s">
        <v>424</v>
      </c>
      <c r="F971" s="58" t="s">
        <v>841</v>
      </c>
    </row>
    <row r="972" spans="2:6" x14ac:dyDescent="0.3">
      <c r="B972" s="58" t="s">
        <v>2119</v>
      </c>
      <c r="C972" s="58">
        <v>1757427298500</v>
      </c>
      <c r="D972" s="58" t="s">
        <v>2327</v>
      </c>
      <c r="E972" s="58" t="s">
        <v>424</v>
      </c>
      <c r="F972" s="58" t="s">
        <v>449</v>
      </c>
    </row>
    <row r="973" spans="2:6" x14ac:dyDescent="0.3">
      <c r="B973" s="58" t="s">
        <v>2119</v>
      </c>
      <c r="C973" s="58">
        <v>1757427298914</v>
      </c>
      <c r="D973" s="58" t="s">
        <v>2328</v>
      </c>
      <c r="E973" s="58" t="s">
        <v>424</v>
      </c>
      <c r="F973" s="58" t="s">
        <v>451</v>
      </c>
    </row>
    <row r="974" spans="2:6" x14ac:dyDescent="0.3">
      <c r="B974" s="58" t="s">
        <v>2119</v>
      </c>
      <c r="C974" s="58">
        <v>1757427300114</v>
      </c>
      <c r="D974" s="58" t="s">
        <v>2329</v>
      </c>
      <c r="E974" s="58" t="s">
        <v>424</v>
      </c>
      <c r="F974" s="58" t="s">
        <v>441</v>
      </c>
    </row>
    <row r="975" spans="2:6" x14ac:dyDescent="0.3">
      <c r="B975" s="58" t="s">
        <v>2119</v>
      </c>
      <c r="C975" s="58">
        <v>1757427300753</v>
      </c>
      <c r="D975" s="58" t="s">
        <v>2330</v>
      </c>
      <c r="E975" s="58" t="s">
        <v>424</v>
      </c>
      <c r="F975" s="58" t="s">
        <v>433</v>
      </c>
    </row>
    <row r="976" spans="2:6" x14ac:dyDescent="0.3">
      <c r="B976" s="58" t="s">
        <v>2119</v>
      </c>
      <c r="C976" s="58">
        <v>1757427301718</v>
      </c>
      <c r="D976" s="58" t="s">
        <v>2331</v>
      </c>
      <c r="E976" s="58" t="s">
        <v>424</v>
      </c>
      <c r="F976" s="58" t="s">
        <v>457</v>
      </c>
    </row>
    <row r="977" spans="1:6" x14ac:dyDescent="0.3">
      <c r="B977" s="58" t="s">
        <v>2119</v>
      </c>
      <c r="C977" s="58">
        <v>1757427302812</v>
      </c>
      <c r="D977" s="58" t="s">
        <v>2332</v>
      </c>
      <c r="E977" s="58" t="s">
        <v>424</v>
      </c>
      <c r="F977" s="58" t="s">
        <v>459</v>
      </c>
    </row>
    <row r="978" spans="1:6" x14ac:dyDescent="0.3">
      <c r="B978" s="58" t="s">
        <v>2119</v>
      </c>
      <c r="C978" s="58">
        <v>1757427304005</v>
      </c>
      <c r="D978" s="58" t="s">
        <v>2333</v>
      </c>
      <c r="E978" s="58" t="s">
        <v>424</v>
      </c>
      <c r="F978" s="58" t="s">
        <v>461</v>
      </c>
    </row>
    <row r="979" spans="1:6" x14ac:dyDescent="0.3">
      <c r="B979" s="58" t="s">
        <v>2119</v>
      </c>
      <c r="C979" s="58">
        <v>1757427307301</v>
      </c>
      <c r="D979" s="58" t="s">
        <v>2334</v>
      </c>
      <c r="E979" s="58" t="s">
        <v>520</v>
      </c>
      <c r="F979" s="58" t="s">
        <v>1656</v>
      </c>
    </row>
    <row r="980" spans="1:6" x14ac:dyDescent="0.3">
      <c r="B980" s="58" t="s">
        <v>2119</v>
      </c>
      <c r="C980" s="58">
        <v>1757427341170</v>
      </c>
      <c r="D980" s="58" t="s">
        <v>2335</v>
      </c>
      <c r="E980" s="58" t="s">
        <v>1438</v>
      </c>
      <c r="F980" s="58" t="s">
        <v>2336</v>
      </c>
    </row>
    <row r="981" spans="1:6" x14ac:dyDescent="0.3">
      <c r="B981" s="58" t="s">
        <v>2119</v>
      </c>
      <c r="C981" s="58">
        <v>1757427362298</v>
      </c>
      <c r="D981" s="58" t="s">
        <v>2337</v>
      </c>
      <c r="E981" s="58" t="s">
        <v>1438</v>
      </c>
      <c r="F981" s="58" t="s">
        <v>2336</v>
      </c>
    </row>
    <row r="982" spans="1:6" x14ac:dyDescent="0.3">
      <c r="B982" s="58" t="s">
        <v>2119</v>
      </c>
      <c r="C982" s="58">
        <v>1757427386470</v>
      </c>
      <c r="D982" s="58" t="s">
        <v>2338</v>
      </c>
      <c r="E982" s="58" t="s">
        <v>1438</v>
      </c>
      <c r="F982" s="58" t="s">
        <v>2339</v>
      </c>
    </row>
    <row r="983" spans="1:6" x14ac:dyDescent="0.3">
      <c r="B983" s="58" t="s">
        <v>2119</v>
      </c>
      <c r="C983" s="58">
        <v>1757427405032</v>
      </c>
      <c r="D983" s="58" t="s">
        <v>2340</v>
      </c>
      <c r="E983" s="58" t="s">
        <v>525</v>
      </c>
      <c r="F983" s="58" t="s">
        <v>1658</v>
      </c>
    </row>
    <row r="984" spans="1:6" x14ac:dyDescent="0.3">
      <c r="B984" s="58" t="s">
        <v>2119</v>
      </c>
      <c r="C984" s="58">
        <v>1757427406965</v>
      </c>
      <c r="D984" s="58" t="s">
        <v>2341</v>
      </c>
      <c r="E984" s="58" t="s">
        <v>463</v>
      </c>
      <c r="F984" s="58" t="s">
        <v>464</v>
      </c>
    </row>
    <row r="985" spans="1:6" ht="21" x14ac:dyDescent="0.4">
      <c r="A985" s="69" t="s">
        <v>45</v>
      </c>
      <c r="B985" s="63" t="s">
        <v>2342</v>
      </c>
      <c r="C985" s="63">
        <v>1757429949552</v>
      </c>
      <c r="D985" s="63" t="s">
        <v>2343</v>
      </c>
      <c r="E985" s="63" t="s">
        <v>416</v>
      </c>
      <c r="F985" s="63" t="s">
        <v>492</v>
      </c>
    </row>
    <row r="986" spans="1:6" x14ac:dyDescent="0.3">
      <c r="B986" s="63" t="s">
        <v>2342</v>
      </c>
      <c r="C986" s="63">
        <v>1757429955466</v>
      </c>
      <c r="D986" s="63" t="s">
        <v>2344</v>
      </c>
      <c r="E986" s="63" t="s">
        <v>419</v>
      </c>
      <c r="F986" s="63" t="s">
        <v>420</v>
      </c>
    </row>
    <row r="987" spans="1:6" x14ac:dyDescent="0.3">
      <c r="B987" s="63" t="s">
        <v>2342</v>
      </c>
      <c r="C987" s="63">
        <v>1757429962568</v>
      </c>
      <c r="D987" s="63" t="s">
        <v>2345</v>
      </c>
      <c r="E987" s="63" t="s">
        <v>389</v>
      </c>
      <c r="F987" s="63" t="s">
        <v>396</v>
      </c>
    </row>
    <row r="988" spans="1:6" x14ac:dyDescent="0.3">
      <c r="B988" s="63" t="s">
        <v>2342</v>
      </c>
      <c r="C988" s="63">
        <v>1757429980068</v>
      </c>
      <c r="D988" s="63" t="s">
        <v>2346</v>
      </c>
      <c r="E988" s="63" t="s">
        <v>389</v>
      </c>
      <c r="F988" s="63" t="s">
        <v>504</v>
      </c>
    </row>
    <row r="989" spans="1:6" x14ac:dyDescent="0.3">
      <c r="B989" s="63" t="s">
        <v>2342</v>
      </c>
      <c r="C989" s="63">
        <v>1757429981459</v>
      </c>
      <c r="D989" s="63" t="s">
        <v>2347</v>
      </c>
      <c r="E989" s="63" t="s">
        <v>389</v>
      </c>
      <c r="F989" s="63" t="s">
        <v>2348</v>
      </c>
    </row>
    <row r="990" spans="1:6" x14ac:dyDescent="0.3">
      <c r="B990" s="63" t="s">
        <v>2342</v>
      </c>
      <c r="C990" s="63">
        <v>1757429981584</v>
      </c>
      <c r="D990" s="63" t="s">
        <v>2349</v>
      </c>
      <c r="E990" s="63" t="s">
        <v>389</v>
      </c>
      <c r="F990" s="63" t="s">
        <v>2350</v>
      </c>
    </row>
    <row r="991" spans="1:6" x14ac:dyDescent="0.3">
      <c r="B991" s="63" t="s">
        <v>2342</v>
      </c>
      <c r="C991" s="63">
        <v>1757429982119</v>
      </c>
      <c r="D991" s="63" t="s">
        <v>2351</v>
      </c>
      <c r="E991" s="63" t="s">
        <v>389</v>
      </c>
      <c r="F991" s="63" t="s">
        <v>2348</v>
      </c>
    </row>
    <row r="992" spans="1:6" x14ac:dyDescent="0.3">
      <c r="B992" s="63" t="s">
        <v>2342</v>
      </c>
      <c r="C992" s="63">
        <v>1757429984863</v>
      </c>
      <c r="D992" s="63" t="s">
        <v>2352</v>
      </c>
      <c r="E992" s="63" t="s">
        <v>389</v>
      </c>
      <c r="F992" s="63" t="s">
        <v>2350</v>
      </c>
    </row>
    <row r="993" spans="2:6" x14ac:dyDescent="0.3">
      <c r="B993" s="63" t="s">
        <v>2342</v>
      </c>
      <c r="C993" s="63">
        <v>1757429984982</v>
      </c>
      <c r="D993" s="63" t="s">
        <v>2353</v>
      </c>
      <c r="E993" s="63" t="s">
        <v>389</v>
      </c>
      <c r="F993" s="63" t="s">
        <v>2348</v>
      </c>
    </row>
    <row r="994" spans="2:6" x14ac:dyDescent="0.3">
      <c r="B994" s="63" t="s">
        <v>2342</v>
      </c>
      <c r="C994" s="63">
        <v>1757429986493</v>
      </c>
      <c r="D994" s="63" t="s">
        <v>2354</v>
      </c>
      <c r="E994" s="63" t="s">
        <v>389</v>
      </c>
      <c r="F994" s="63" t="s">
        <v>2350</v>
      </c>
    </row>
    <row r="995" spans="2:6" x14ac:dyDescent="0.3">
      <c r="B995" s="63" t="s">
        <v>2342</v>
      </c>
      <c r="C995" s="63">
        <v>1757430028181</v>
      </c>
      <c r="D995" s="63" t="s">
        <v>2355</v>
      </c>
      <c r="E995" s="63" t="s">
        <v>389</v>
      </c>
      <c r="F995" s="63" t="s">
        <v>390</v>
      </c>
    </row>
    <row r="996" spans="2:6" x14ac:dyDescent="0.3">
      <c r="B996" s="63" t="s">
        <v>2342</v>
      </c>
      <c r="C996" s="63">
        <v>1757430038364</v>
      </c>
      <c r="D996" s="63" t="s">
        <v>2356</v>
      </c>
      <c r="E996" s="63" t="s">
        <v>389</v>
      </c>
      <c r="F996" s="63" t="s">
        <v>659</v>
      </c>
    </row>
    <row r="997" spans="2:6" x14ac:dyDescent="0.3">
      <c r="B997" s="63" t="s">
        <v>2342</v>
      </c>
      <c r="C997" s="63">
        <v>1757430041589</v>
      </c>
      <c r="D997" s="63" t="s">
        <v>2357</v>
      </c>
      <c r="E997" s="63" t="s">
        <v>389</v>
      </c>
      <c r="F997" s="63" t="s">
        <v>398</v>
      </c>
    </row>
    <row r="998" spans="2:6" x14ac:dyDescent="0.3">
      <c r="B998" s="63" t="s">
        <v>2342</v>
      </c>
      <c r="C998" s="63">
        <v>1757430046179</v>
      </c>
      <c r="D998" s="63" t="s">
        <v>2358</v>
      </c>
      <c r="E998" s="63" t="s">
        <v>389</v>
      </c>
      <c r="F998" s="63" t="s">
        <v>1126</v>
      </c>
    </row>
    <row r="999" spans="2:6" x14ac:dyDescent="0.3">
      <c r="B999" s="63" t="s">
        <v>2342</v>
      </c>
      <c r="C999" s="63">
        <v>1757430047018</v>
      </c>
      <c r="D999" s="63" t="s">
        <v>2359</v>
      </c>
      <c r="E999" s="63" t="s">
        <v>389</v>
      </c>
      <c r="F999" s="63" t="s">
        <v>1464</v>
      </c>
    </row>
    <row r="1000" spans="2:6" x14ac:dyDescent="0.3">
      <c r="B1000" s="63" t="s">
        <v>2342</v>
      </c>
      <c r="C1000" s="63">
        <v>1757430062322</v>
      </c>
      <c r="D1000" s="63" t="s">
        <v>2360</v>
      </c>
      <c r="E1000" s="63" t="s">
        <v>389</v>
      </c>
      <c r="F1000" s="63" t="s">
        <v>2020</v>
      </c>
    </row>
    <row r="1001" spans="2:6" x14ac:dyDescent="0.3">
      <c r="B1001" s="63" t="s">
        <v>2342</v>
      </c>
      <c r="C1001" s="63">
        <v>1757430068270</v>
      </c>
      <c r="D1001" s="63" t="s">
        <v>2361</v>
      </c>
      <c r="E1001" s="63" t="s">
        <v>389</v>
      </c>
      <c r="F1001" s="63" t="s">
        <v>1599</v>
      </c>
    </row>
    <row r="1002" spans="2:6" x14ac:dyDescent="0.3">
      <c r="B1002" s="63" t="s">
        <v>2342</v>
      </c>
      <c r="C1002" s="63">
        <v>1757430068434</v>
      </c>
      <c r="D1002" s="63" t="s">
        <v>2362</v>
      </c>
      <c r="E1002" s="63" t="s">
        <v>389</v>
      </c>
      <c r="F1002" s="63" t="s">
        <v>508</v>
      </c>
    </row>
    <row r="1003" spans="2:6" x14ac:dyDescent="0.3">
      <c r="B1003" s="63" t="s">
        <v>2342</v>
      </c>
      <c r="C1003" s="63">
        <v>1757430068572</v>
      </c>
      <c r="D1003" s="63" t="s">
        <v>2363</v>
      </c>
      <c r="E1003" s="63" t="s">
        <v>389</v>
      </c>
      <c r="F1003" s="63" t="s">
        <v>1599</v>
      </c>
    </row>
    <row r="1004" spans="2:6" x14ac:dyDescent="0.3">
      <c r="B1004" s="63" t="s">
        <v>2342</v>
      </c>
      <c r="C1004" s="63">
        <v>1757430068691</v>
      </c>
      <c r="D1004" s="63" t="s">
        <v>2364</v>
      </c>
      <c r="E1004" s="63" t="s">
        <v>389</v>
      </c>
      <c r="F1004" s="63" t="s">
        <v>2020</v>
      </c>
    </row>
    <row r="1005" spans="2:6" x14ac:dyDescent="0.3">
      <c r="B1005" s="63" t="s">
        <v>2342</v>
      </c>
      <c r="C1005" s="63">
        <v>1757430069622</v>
      </c>
      <c r="D1005" s="63" t="s">
        <v>2365</v>
      </c>
      <c r="E1005" s="63" t="s">
        <v>389</v>
      </c>
      <c r="F1005" s="63" t="s">
        <v>1599</v>
      </c>
    </row>
    <row r="1006" spans="2:6" x14ac:dyDescent="0.3">
      <c r="B1006" s="63" t="s">
        <v>2342</v>
      </c>
      <c r="C1006" s="63">
        <v>1757430070405</v>
      </c>
      <c r="D1006" s="63" t="s">
        <v>2366</v>
      </c>
      <c r="E1006" s="63" t="s">
        <v>389</v>
      </c>
      <c r="F1006" s="63" t="s">
        <v>508</v>
      </c>
    </row>
    <row r="1007" spans="2:6" x14ac:dyDescent="0.3">
      <c r="B1007" s="63" t="s">
        <v>2342</v>
      </c>
      <c r="C1007" s="63">
        <v>1757430077344</v>
      </c>
      <c r="D1007" s="63" t="s">
        <v>2367</v>
      </c>
      <c r="E1007" s="63" t="s">
        <v>389</v>
      </c>
      <c r="F1007" s="63" t="s">
        <v>660</v>
      </c>
    </row>
    <row r="1008" spans="2:6" x14ac:dyDescent="0.3">
      <c r="B1008" s="63" t="s">
        <v>2342</v>
      </c>
      <c r="C1008" s="63">
        <v>1757430082827</v>
      </c>
      <c r="D1008" s="63" t="s">
        <v>2368</v>
      </c>
      <c r="E1008" s="63" t="s">
        <v>389</v>
      </c>
      <c r="F1008" s="63" t="s">
        <v>1601</v>
      </c>
    </row>
    <row r="1009" spans="2:6" x14ac:dyDescent="0.3">
      <c r="B1009" s="63" t="s">
        <v>2342</v>
      </c>
      <c r="C1009" s="63">
        <v>1757430113793</v>
      </c>
      <c r="D1009" s="63" t="s">
        <v>2369</v>
      </c>
      <c r="E1009" s="63" t="s">
        <v>389</v>
      </c>
      <c r="F1009" s="63" t="s">
        <v>410</v>
      </c>
    </row>
    <row r="1010" spans="2:6" x14ac:dyDescent="0.3">
      <c r="B1010" s="63" t="s">
        <v>2342</v>
      </c>
      <c r="C1010" s="63">
        <v>1757430116066</v>
      </c>
      <c r="D1010" s="63" t="s">
        <v>2370</v>
      </c>
      <c r="E1010" s="63" t="s">
        <v>389</v>
      </c>
      <c r="F1010" s="63" t="s">
        <v>495</v>
      </c>
    </row>
    <row r="1011" spans="2:6" x14ac:dyDescent="0.3">
      <c r="B1011" s="63" t="s">
        <v>2342</v>
      </c>
      <c r="C1011" s="63">
        <v>1757430117328</v>
      </c>
      <c r="D1011" s="63" t="s">
        <v>2371</v>
      </c>
      <c r="E1011" s="63" t="s">
        <v>389</v>
      </c>
      <c r="F1011" s="63" t="s">
        <v>414</v>
      </c>
    </row>
    <row r="1012" spans="2:6" x14ac:dyDescent="0.3">
      <c r="B1012" s="63" t="s">
        <v>2342</v>
      </c>
      <c r="C1012" s="63">
        <v>1757430144185</v>
      </c>
      <c r="D1012" s="63" t="s">
        <v>2372</v>
      </c>
      <c r="E1012" s="63" t="s">
        <v>389</v>
      </c>
      <c r="F1012" s="63" t="s">
        <v>511</v>
      </c>
    </row>
    <row r="1013" spans="2:6" x14ac:dyDescent="0.3">
      <c r="B1013" s="63" t="s">
        <v>2342</v>
      </c>
      <c r="C1013" s="63">
        <v>1757430153080</v>
      </c>
      <c r="D1013" s="63" t="s">
        <v>2373</v>
      </c>
      <c r="E1013" s="63" t="s">
        <v>422</v>
      </c>
      <c r="F1013" s="63" t="s">
        <v>420</v>
      </c>
    </row>
    <row r="1014" spans="2:6" x14ac:dyDescent="0.3">
      <c r="B1014" s="63" t="s">
        <v>426</v>
      </c>
      <c r="C1014" s="63">
        <v>1757430170753</v>
      </c>
      <c r="D1014" s="63" t="s">
        <v>2374</v>
      </c>
      <c r="E1014" s="63" t="s">
        <v>428</v>
      </c>
      <c r="F1014" s="63" t="s">
        <v>429</v>
      </c>
    </row>
    <row r="1015" spans="2:6" x14ac:dyDescent="0.3">
      <c r="B1015" s="63" t="s">
        <v>2342</v>
      </c>
      <c r="C1015" s="63">
        <v>1757430173079</v>
      </c>
      <c r="D1015" s="63" t="s">
        <v>2375</v>
      </c>
      <c r="E1015" s="63" t="s">
        <v>424</v>
      </c>
      <c r="F1015" s="63" t="s">
        <v>667</v>
      </c>
    </row>
    <row r="1016" spans="2:6" x14ac:dyDescent="0.3">
      <c r="B1016" s="63" t="s">
        <v>2342</v>
      </c>
      <c r="C1016" s="63">
        <v>1757430173227</v>
      </c>
      <c r="D1016" s="63" t="s">
        <v>2376</v>
      </c>
      <c r="E1016" s="63" t="s">
        <v>520</v>
      </c>
      <c r="F1016" s="63" t="s">
        <v>1606</v>
      </c>
    </row>
    <row r="1017" spans="2:6" x14ac:dyDescent="0.3">
      <c r="B1017" s="63" t="s">
        <v>2342</v>
      </c>
      <c r="C1017" s="63">
        <v>1757430179179</v>
      </c>
      <c r="D1017" s="63" t="s">
        <v>2377</v>
      </c>
      <c r="E1017" s="63" t="s">
        <v>525</v>
      </c>
      <c r="F1017" s="63" t="s">
        <v>1608</v>
      </c>
    </row>
    <row r="1018" spans="2:6" x14ac:dyDescent="0.3">
      <c r="B1018" s="63" t="s">
        <v>426</v>
      </c>
      <c r="C1018" s="63">
        <v>1757430186284</v>
      </c>
      <c r="D1018" s="63" t="s">
        <v>2378</v>
      </c>
      <c r="E1018" s="63" t="s">
        <v>428</v>
      </c>
      <c r="F1018" s="63" t="s">
        <v>435</v>
      </c>
    </row>
    <row r="1019" spans="2:6" x14ac:dyDescent="0.3">
      <c r="B1019" s="63" t="s">
        <v>2342</v>
      </c>
      <c r="C1019" s="63">
        <v>1757430188764</v>
      </c>
      <c r="D1019" s="63" t="s">
        <v>2379</v>
      </c>
      <c r="E1019" s="63" t="s">
        <v>424</v>
      </c>
      <c r="F1019" s="63" t="s">
        <v>433</v>
      </c>
    </row>
    <row r="1020" spans="2:6" x14ac:dyDescent="0.3">
      <c r="B1020" s="63" t="s">
        <v>2342</v>
      </c>
      <c r="C1020" s="63">
        <v>1757430199305</v>
      </c>
      <c r="D1020" s="63" t="s">
        <v>2380</v>
      </c>
      <c r="E1020" s="63" t="s">
        <v>520</v>
      </c>
      <c r="F1020" s="63" t="s">
        <v>2311</v>
      </c>
    </row>
    <row r="1021" spans="2:6" x14ac:dyDescent="0.3">
      <c r="B1021" s="63" t="s">
        <v>426</v>
      </c>
      <c r="C1021" s="63">
        <v>1757430201836</v>
      </c>
      <c r="D1021" s="63" t="s">
        <v>2381</v>
      </c>
      <c r="E1021" s="63" t="s">
        <v>428</v>
      </c>
      <c r="F1021" s="63" t="s">
        <v>437</v>
      </c>
    </row>
    <row r="1022" spans="2:6" x14ac:dyDescent="0.3">
      <c r="B1022" s="63" t="s">
        <v>2342</v>
      </c>
      <c r="C1022" s="63">
        <v>1757430205317</v>
      </c>
      <c r="D1022" s="63" t="s">
        <v>2382</v>
      </c>
      <c r="E1022" s="63" t="s">
        <v>525</v>
      </c>
      <c r="F1022" s="63" t="s">
        <v>2313</v>
      </c>
    </row>
    <row r="1023" spans="2:6" x14ac:dyDescent="0.3">
      <c r="B1023" s="63" t="s">
        <v>426</v>
      </c>
      <c r="C1023" s="63">
        <v>1757430218061</v>
      </c>
      <c r="D1023" s="63" t="s">
        <v>2383</v>
      </c>
      <c r="E1023" s="63" t="s">
        <v>428</v>
      </c>
      <c r="F1023" s="63" t="s">
        <v>439</v>
      </c>
    </row>
    <row r="1024" spans="2:6" x14ac:dyDescent="0.3">
      <c r="B1024" s="63" t="s">
        <v>2342</v>
      </c>
      <c r="C1024" s="63">
        <v>1757430225462</v>
      </c>
      <c r="D1024" s="63" t="s">
        <v>2384</v>
      </c>
      <c r="E1024" s="63" t="s">
        <v>520</v>
      </c>
      <c r="F1024" s="63" t="s">
        <v>529</v>
      </c>
    </row>
    <row r="1025" spans="2:6" x14ac:dyDescent="0.3">
      <c r="B1025" s="63" t="s">
        <v>426</v>
      </c>
      <c r="C1025" s="63">
        <v>1757430233590</v>
      </c>
      <c r="D1025" s="63" t="s">
        <v>2385</v>
      </c>
      <c r="E1025" s="63" t="s">
        <v>428</v>
      </c>
      <c r="F1025" s="63" t="s">
        <v>538</v>
      </c>
    </row>
    <row r="1026" spans="2:6" x14ac:dyDescent="0.3">
      <c r="B1026" s="63" t="s">
        <v>2342</v>
      </c>
      <c r="C1026" s="63">
        <v>1757430240570</v>
      </c>
      <c r="D1026" s="63" t="s">
        <v>2386</v>
      </c>
      <c r="E1026" s="63" t="s">
        <v>525</v>
      </c>
      <c r="F1026" s="63" t="s">
        <v>531</v>
      </c>
    </row>
    <row r="1027" spans="2:6" x14ac:dyDescent="0.3">
      <c r="B1027" s="63" t="s">
        <v>426</v>
      </c>
      <c r="C1027" s="63">
        <v>1757430250550</v>
      </c>
      <c r="D1027" s="63" t="s">
        <v>2387</v>
      </c>
      <c r="E1027" s="63" t="s">
        <v>428</v>
      </c>
      <c r="F1027" s="63" t="s">
        <v>672</v>
      </c>
    </row>
    <row r="1028" spans="2:6" x14ac:dyDescent="0.3">
      <c r="B1028" s="63" t="s">
        <v>2342</v>
      </c>
      <c r="C1028" s="63">
        <v>1757430257339</v>
      </c>
      <c r="D1028" s="63" t="s">
        <v>2388</v>
      </c>
      <c r="E1028" s="63" t="s">
        <v>424</v>
      </c>
      <c r="F1028" s="63" t="s">
        <v>441</v>
      </c>
    </row>
    <row r="1029" spans="2:6" x14ac:dyDescent="0.3">
      <c r="B1029" s="63" t="s">
        <v>2342</v>
      </c>
      <c r="C1029" s="63">
        <v>1757430260702</v>
      </c>
      <c r="D1029" s="63" t="s">
        <v>2389</v>
      </c>
      <c r="E1029" s="63" t="s">
        <v>520</v>
      </c>
      <c r="F1029" s="63" t="s">
        <v>2390</v>
      </c>
    </row>
    <row r="1030" spans="2:6" x14ac:dyDescent="0.3">
      <c r="B1030" s="63" t="s">
        <v>426</v>
      </c>
      <c r="C1030" s="63">
        <v>1757430271942</v>
      </c>
      <c r="D1030" s="63" t="s">
        <v>2391</v>
      </c>
      <c r="E1030" s="63" t="s">
        <v>428</v>
      </c>
      <c r="F1030" s="63" t="s">
        <v>455</v>
      </c>
    </row>
    <row r="1031" spans="2:6" x14ac:dyDescent="0.3">
      <c r="B1031" s="63" t="s">
        <v>2342</v>
      </c>
      <c r="C1031" s="63">
        <v>1757430277433</v>
      </c>
      <c r="D1031" s="63" t="s">
        <v>2392</v>
      </c>
      <c r="E1031" s="63" t="s">
        <v>525</v>
      </c>
      <c r="F1031" s="63" t="s">
        <v>2393</v>
      </c>
    </row>
    <row r="1032" spans="2:6" x14ac:dyDescent="0.3">
      <c r="B1032" s="63" t="s">
        <v>2342</v>
      </c>
      <c r="C1032" s="63">
        <v>1757430280685</v>
      </c>
      <c r="D1032" s="63" t="s">
        <v>2394</v>
      </c>
      <c r="E1032" s="63" t="s">
        <v>424</v>
      </c>
      <c r="F1032" s="63" t="s">
        <v>518</v>
      </c>
    </row>
    <row r="1033" spans="2:6" x14ac:dyDescent="0.3">
      <c r="B1033" s="63" t="s">
        <v>426</v>
      </c>
      <c r="C1033" s="63">
        <v>1757430288876</v>
      </c>
      <c r="D1033" s="63" t="s">
        <v>2395</v>
      </c>
      <c r="E1033" s="63" t="s">
        <v>428</v>
      </c>
      <c r="F1033" s="63" t="s">
        <v>523</v>
      </c>
    </row>
    <row r="1034" spans="2:6" x14ac:dyDescent="0.3">
      <c r="B1034" s="63" t="s">
        <v>2342</v>
      </c>
      <c r="C1034" s="63">
        <v>1757430297578</v>
      </c>
      <c r="D1034" s="63" t="s">
        <v>2396</v>
      </c>
      <c r="E1034" s="63" t="s">
        <v>520</v>
      </c>
      <c r="F1034" s="63" t="s">
        <v>675</v>
      </c>
    </row>
    <row r="1035" spans="2:6" x14ac:dyDescent="0.3">
      <c r="B1035" s="63" t="s">
        <v>426</v>
      </c>
      <c r="C1035" s="63">
        <v>1757430304381</v>
      </c>
      <c r="D1035" s="63" t="s">
        <v>2397</v>
      </c>
      <c r="E1035" s="63" t="s">
        <v>428</v>
      </c>
      <c r="F1035" s="63" t="s">
        <v>447</v>
      </c>
    </row>
    <row r="1036" spans="2:6" x14ac:dyDescent="0.3">
      <c r="B1036" s="63" t="s">
        <v>2342</v>
      </c>
      <c r="C1036" s="63">
        <v>1757430311739</v>
      </c>
      <c r="D1036" s="63" t="s">
        <v>2398</v>
      </c>
      <c r="E1036" s="63" t="s">
        <v>525</v>
      </c>
      <c r="F1036" s="63" t="s">
        <v>677</v>
      </c>
    </row>
    <row r="1037" spans="2:6" x14ac:dyDescent="0.3">
      <c r="B1037" s="63" t="s">
        <v>2342</v>
      </c>
      <c r="C1037" s="63">
        <v>1757430313839</v>
      </c>
      <c r="D1037" s="63" t="s">
        <v>2399</v>
      </c>
      <c r="E1037" s="63" t="s">
        <v>424</v>
      </c>
      <c r="F1037" s="63" t="s">
        <v>457</v>
      </c>
    </row>
    <row r="1038" spans="2:6" x14ac:dyDescent="0.3">
      <c r="B1038" s="63" t="s">
        <v>2342</v>
      </c>
      <c r="C1038" s="63">
        <v>1757430319216</v>
      </c>
      <c r="D1038" s="63" t="s">
        <v>2400</v>
      </c>
      <c r="E1038" s="63" t="s">
        <v>424</v>
      </c>
      <c r="F1038" s="63" t="s">
        <v>459</v>
      </c>
    </row>
    <row r="1039" spans="2:6" x14ac:dyDescent="0.3">
      <c r="B1039" s="63" t="s">
        <v>2342</v>
      </c>
      <c r="C1039" s="63">
        <v>1757430331865</v>
      </c>
      <c r="D1039" s="63" t="s">
        <v>2401</v>
      </c>
      <c r="E1039" s="63" t="s">
        <v>520</v>
      </c>
      <c r="F1039" s="63" t="s">
        <v>662</v>
      </c>
    </row>
    <row r="1040" spans="2:6" x14ac:dyDescent="0.3">
      <c r="B1040" s="63" t="s">
        <v>2342</v>
      </c>
      <c r="C1040" s="63">
        <v>1757430340984</v>
      </c>
      <c r="D1040" s="63" t="s">
        <v>2402</v>
      </c>
      <c r="E1040" s="63" t="s">
        <v>525</v>
      </c>
      <c r="F1040" s="63" t="s">
        <v>663</v>
      </c>
    </row>
    <row r="1041" spans="2:6" x14ac:dyDescent="0.3">
      <c r="B1041" s="63" t="s">
        <v>2342</v>
      </c>
      <c r="C1041" s="63">
        <v>1757430342716</v>
      </c>
      <c r="D1041" s="63" t="s">
        <v>2403</v>
      </c>
      <c r="E1041" s="63" t="s">
        <v>424</v>
      </c>
      <c r="F1041" s="63" t="s">
        <v>461</v>
      </c>
    </row>
    <row r="1042" spans="2:6" x14ac:dyDescent="0.3">
      <c r="B1042" s="63" t="s">
        <v>2342</v>
      </c>
      <c r="C1042" s="63">
        <v>1757430352016</v>
      </c>
      <c r="D1042" s="63" t="s">
        <v>2404</v>
      </c>
      <c r="E1042" s="63" t="s">
        <v>424</v>
      </c>
      <c r="F1042" s="63" t="s">
        <v>449</v>
      </c>
    </row>
    <row r="1043" spans="2:6" x14ac:dyDescent="0.3">
      <c r="B1043" s="63" t="s">
        <v>2342</v>
      </c>
      <c r="C1043" s="63">
        <v>1757430356896</v>
      </c>
      <c r="D1043" s="63" t="s">
        <v>2405</v>
      </c>
      <c r="E1043" s="63" t="s">
        <v>424</v>
      </c>
      <c r="F1043" s="63" t="s">
        <v>451</v>
      </c>
    </row>
    <row r="1044" spans="2:6" x14ac:dyDescent="0.3">
      <c r="B1044" s="63" t="s">
        <v>2342</v>
      </c>
      <c r="C1044" s="63">
        <v>1757430361074</v>
      </c>
      <c r="D1044" s="63" t="s">
        <v>2406</v>
      </c>
      <c r="E1044" s="63" t="s">
        <v>520</v>
      </c>
      <c r="F1044" s="63" t="s">
        <v>1409</v>
      </c>
    </row>
    <row r="1045" spans="2:6" x14ac:dyDescent="0.3">
      <c r="B1045" s="63" t="s">
        <v>2342</v>
      </c>
      <c r="C1045" s="63">
        <v>1757430372253</v>
      </c>
      <c r="D1045" s="63" t="s">
        <v>2407</v>
      </c>
      <c r="E1045" s="63" t="s">
        <v>525</v>
      </c>
      <c r="F1045" s="63" t="s">
        <v>1413</v>
      </c>
    </row>
    <row r="1046" spans="2:6" x14ac:dyDescent="0.3">
      <c r="B1046" s="63" t="s">
        <v>2342</v>
      </c>
      <c r="C1046" s="63">
        <v>1757430373836</v>
      </c>
      <c r="D1046" s="63" t="s">
        <v>2408</v>
      </c>
      <c r="E1046" s="63" t="s">
        <v>463</v>
      </c>
      <c r="F1046" s="63" t="s">
        <v>464</v>
      </c>
    </row>
    <row r="1047" spans="2:6" x14ac:dyDescent="0.3">
      <c r="B1047" s="58" t="s">
        <v>2409</v>
      </c>
      <c r="C1047" s="58">
        <v>1757430383333</v>
      </c>
      <c r="D1047" s="58" t="s">
        <v>2410</v>
      </c>
      <c r="E1047" s="58" t="s">
        <v>416</v>
      </c>
      <c r="F1047" t="s">
        <v>573</v>
      </c>
    </row>
    <row r="1048" spans="2:6" x14ac:dyDescent="0.3">
      <c r="B1048" s="58" t="s">
        <v>2409</v>
      </c>
      <c r="C1048" s="58">
        <v>1757430383529</v>
      </c>
      <c r="D1048" s="58" t="s">
        <v>2411</v>
      </c>
      <c r="E1048" s="58" t="s">
        <v>468</v>
      </c>
      <c r="F1048" t="s">
        <v>2412</v>
      </c>
    </row>
    <row r="1049" spans="2:6" x14ac:dyDescent="0.3">
      <c r="B1049" s="58" t="s">
        <v>2409</v>
      </c>
      <c r="C1049" s="58">
        <v>1757430384032</v>
      </c>
      <c r="D1049" s="58" t="s">
        <v>2413</v>
      </c>
      <c r="E1049" s="58" t="s">
        <v>419</v>
      </c>
      <c r="F1049" t="s">
        <v>420</v>
      </c>
    </row>
    <row r="1050" spans="2:6" x14ac:dyDescent="0.3">
      <c r="B1050" s="58" t="s">
        <v>2409</v>
      </c>
      <c r="C1050" s="58">
        <v>1757430402432</v>
      </c>
      <c r="D1050" s="58" t="s">
        <v>2414</v>
      </c>
      <c r="E1050" s="58" t="s">
        <v>389</v>
      </c>
      <c r="F1050" t="s">
        <v>406</v>
      </c>
    </row>
    <row r="1051" spans="2:6" x14ac:dyDescent="0.3">
      <c r="B1051" s="58" t="s">
        <v>2409</v>
      </c>
      <c r="C1051" s="58">
        <v>1757430405948</v>
      </c>
      <c r="D1051" s="58" t="s">
        <v>2415</v>
      </c>
      <c r="E1051" s="58" t="s">
        <v>422</v>
      </c>
      <c r="F1051" t="s">
        <v>420</v>
      </c>
    </row>
    <row r="1052" spans="2:6" x14ac:dyDescent="0.3">
      <c r="B1052" s="58" t="s">
        <v>426</v>
      </c>
      <c r="C1052" s="58">
        <v>1757430425791</v>
      </c>
      <c r="D1052" s="58" t="s">
        <v>2416</v>
      </c>
      <c r="E1052" s="58" t="s">
        <v>428</v>
      </c>
      <c r="F1052" t="s">
        <v>435</v>
      </c>
    </row>
    <row r="1053" spans="2:6" x14ac:dyDescent="0.3">
      <c r="B1053" s="58" t="s">
        <v>2409</v>
      </c>
      <c r="C1053" s="58">
        <v>1757430426093</v>
      </c>
      <c r="D1053" s="58" t="s">
        <v>2417</v>
      </c>
      <c r="E1053" s="58" t="s">
        <v>520</v>
      </c>
      <c r="F1053" t="s">
        <v>1281</v>
      </c>
    </row>
    <row r="1054" spans="2:6" x14ac:dyDescent="0.3">
      <c r="B1054" s="58" t="s">
        <v>2409</v>
      </c>
      <c r="C1054" s="58">
        <v>1757430433656</v>
      </c>
      <c r="D1054" s="58" t="s">
        <v>2418</v>
      </c>
      <c r="E1054" s="58" t="s">
        <v>525</v>
      </c>
      <c r="F1054" t="s">
        <v>1283</v>
      </c>
    </row>
    <row r="1055" spans="2:6" x14ac:dyDescent="0.3">
      <c r="B1055" s="58" t="s">
        <v>426</v>
      </c>
      <c r="C1055" s="58">
        <v>1757430445000</v>
      </c>
      <c r="D1055" s="58" t="s">
        <v>2419</v>
      </c>
      <c r="E1055" s="58" t="s">
        <v>428</v>
      </c>
      <c r="F1055" s="58" t="s">
        <v>437</v>
      </c>
    </row>
    <row r="1056" spans="2:6" x14ac:dyDescent="0.3">
      <c r="B1056" s="58" t="s">
        <v>2409</v>
      </c>
      <c r="C1056" s="58">
        <v>1757430453775</v>
      </c>
      <c r="D1056" s="58" t="s">
        <v>2420</v>
      </c>
      <c r="E1056" s="58" t="s">
        <v>520</v>
      </c>
      <c r="F1056" s="58" t="s">
        <v>2421</v>
      </c>
    </row>
    <row r="1057" spans="2:6" x14ac:dyDescent="0.3">
      <c r="B1057" s="58" t="s">
        <v>426</v>
      </c>
      <c r="C1057" s="58">
        <v>1757430463346</v>
      </c>
      <c r="D1057" s="58" t="s">
        <v>2422</v>
      </c>
      <c r="E1057" s="58" t="s">
        <v>428</v>
      </c>
      <c r="F1057" s="58" t="s">
        <v>439</v>
      </c>
    </row>
    <row r="1058" spans="2:6" x14ac:dyDescent="0.3">
      <c r="B1058" s="58" t="s">
        <v>2409</v>
      </c>
      <c r="C1058" s="58">
        <v>1757430468526</v>
      </c>
      <c r="D1058" s="58" t="s">
        <v>2423</v>
      </c>
      <c r="E1058" s="58" t="s">
        <v>525</v>
      </c>
      <c r="F1058" s="58" t="s">
        <v>2424</v>
      </c>
    </row>
    <row r="1059" spans="2:6" x14ac:dyDescent="0.3">
      <c r="B1059" s="58" t="s">
        <v>426</v>
      </c>
      <c r="C1059" s="58">
        <v>1757430478835</v>
      </c>
      <c r="D1059" s="58" t="s">
        <v>2425</v>
      </c>
      <c r="E1059" s="58" t="s">
        <v>428</v>
      </c>
      <c r="F1059" s="58" t="s">
        <v>429</v>
      </c>
    </row>
    <row r="1060" spans="2:6" x14ac:dyDescent="0.3">
      <c r="B1060" s="58" t="s">
        <v>2409</v>
      </c>
      <c r="C1060" s="58">
        <v>1757430485714</v>
      </c>
      <c r="D1060" s="58" t="s">
        <v>2426</v>
      </c>
      <c r="E1060" s="58" t="s">
        <v>424</v>
      </c>
      <c r="F1060" s="58" t="s">
        <v>441</v>
      </c>
    </row>
    <row r="1061" spans="2:6" x14ac:dyDescent="0.3">
      <c r="B1061" s="58" t="s">
        <v>2409</v>
      </c>
      <c r="C1061" s="58">
        <v>1757430488654</v>
      </c>
      <c r="D1061" s="58" t="s">
        <v>2427</v>
      </c>
      <c r="E1061" s="58" t="s">
        <v>520</v>
      </c>
      <c r="F1061" s="58" t="s">
        <v>589</v>
      </c>
    </row>
    <row r="1062" spans="2:6" x14ac:dyDescent="0.3">
      <c r="B1062" s="58" t="s">
        <v>426</v>
      </c>
      <c r="C1062" s="58">
        <v>1757430495042</v>
      </c>
      <c r="D1062" s="58" t="s">
        <v>2428</v>
      </c>
      <c r="E1062" s="58" t="s">
        <v>428</v>
      </c>
      <c r="F1062" s="58" t="s">
        <v>538</v>
      </c>
    </row>
    <row r="1063" spans="2:6" x14ac:dyDescent="0.3">
      <c r="B1063" s="58" t="s">
        <v>2409</v>
      </c>
      <c r="C1063" s="58">
        <v>1757430500724</v>
      </c>
      <c r="D1063" s="58" t="s">
        <v>2429</v>
      </c>
      <c r="E1063" s="58" t="s">
        <v>525</v>
      </c>
      <c r="F1063" s="58" t="s">
        <v>592</v>
      </c>
    </row>
    <row r="1064" spans="2:6" x14ac:dyDescent="0.3">
      <c r="B1064" s="58" t="s">
        <v>2409</v>
      </c>
      <c r="C1064" s="58">
        <v>1757430503242</v>
      </c>
      <c r="D1064" s="58" t="s">
        <v>2430</v>
      </c>
      <c r="E1064" s="58" t="s">
        <v>424</v>
      </c>
      <c r="F1064" s="58" t="s">
        <v>667</v>
      </c>
    </row>
    <row r="1065" spans="2:6" x14ac:dyDescent="0.3">
      <c r="B1065" s="58" t="s">
        <v>2409</v>
      </c>
      <c r="C1065" s="58">
        <v>1757430510802</v>
      </c>
      <c r="D1065" s="58" t="s">
        <v>2431</v>
      </c>
      <c r="E1065" s="58" t="s">
        <v>424</v>
      </c>
      <c r="F1065" s="58" t="s">
        <v>433</v>
      </c>
    </row>
    <row r="1066" spans="2:6" x14ac:dyDescent="0.3">
      <c r="B1066" s="58" t="s">
        <v>426</v>
      </c>
      <c r="C1066" s="58">
        <v>1757430512741</v>
      </c>
      <c r="D1066" s="58" t="s">
        <v>2432</v>
      </c>
      <c r="E1066" s="58" t="s">
        <v>428</v>
      </c>
      <c r="F1066" s="58" t="s">
        <v>672</v>
      </c>
    </row>
    <row r="1067" spans="2:6" x14ac:dyDescent="0.3">
      <c r="B1067" s="58" t="s">
        <v>2409</v>
      </c>
      <c r="C1067" s="58">
        <v>1757430520871</v>
      </c>
      <c r="D1067" s="58" t="s">
        <v>2433</v>
      </c>
      <c r="E1067" s="58" t="s">
        <v>520</v>
      </c>
      <c r="F1067" s="58" t="s">
        <v>675</v>
      </c>
    </row>
    <row r="1068" spans="2:6" x14ac:dyDescent="0.3">
      <c r="B1068" s="58" t="s">
        <v>426</v>
      </c>
      <c r="C1068" s="58">
        <v>1757430527467</v>
      </c>
      <c r="D1068" s="58" t="s">
        <v>2434</v>
      </c>
      <c r="E1068" s="58" t="s">
        <v>428</v>
      </c>
      <c r="F1068" s="58" t="s">
        <v>453</v>
      </c>
    </row>
    <row r="1069" spans="2:6" x14ac:dyDescent="0.3">
      <c r="B1069" s="58" t="s">
        <v>2409</v>
      </c>
      <c r="C1069" s="58">
        <v>1757430530791</v>
      </c>
      <c r="D1069" s="58" t="s">
        <v>2435</v>
      </c>
      <c r="E1069" s="58" t="s">
        <v>525</v>
      </c>
      <c r="F1069" s="58" t="s">
        <v>677</v>
      </c>
    </row>
    <row r="1070" spans="2:6" x14ac:dyDescent="0.3">
      <c r="B1070" s="58" t="s">
        <v>426</v>
      </c>
      <c r="C1070" s="58">
        <v>1757430544380</v>
      </c>
      <c r="D1070" s="58" t="s">
        <v>2436</v>
      </c>
      <c r="E1070" s="58" t="s">
        <v>428</v>
      </c>
      <c r="F1070" s="58" t="s">
        <v>523</v>
      </c>
    </row>
    <row r="1071" spans="2:6" x14ac:dyDescent="0.3">
      <c r="B1071" s="58" t="s">
        <v>2409</v>
      </c>
      <c r="C1071" s="58">
        <v>1757430548508</v>
      </c>
      <c r="D1071" s="58" t="s">
        <v>2437</v>
      </c>
      <c r="E1071" s="58" t="s">
        <v>424</v>
      </c>
      <c r="F1071" s="58" t="s">
        <v>457</v>
      </c>
    </row>
    <row r="1072" spans="2:6" x14ac:dyDescent="0.3">
      <c r="B1072" s="58" t="s">
        <v>2409</v>
      </c>
      <c r="C1072" s="58">
        <v>1757430550927</v>
      </c>
      <c r="D1072" s="58" t="s">
        <v>2438</v>
      </c>
      <c r="E1072" s="58" t="s">
        <v>520</v>
      </c>
      <c r="F1072" s="58" t="s">
        <v>2258</v>
      </c>
    </row>
    <row r="1073" spans="1:7" x14ac:dyDescent="0.3">
      <c r="B1073" s="58" t="s">
        <v>426</v>
      </c>
      <c r="C1073" s="58">
        <v>1757430559128</v>
      </c>
      <c r="D1073" s="58" t="s">
        <v>2439</v>
      </c>
      <c r="E1073" s="58" t="s">
        <v>428</v>
      </c>
      <c r="F1073" s="58" t="s">
        <v>447</v>
      </c>
    </row>
    <row r="1074" spans="1:7" x14ac:dyDescent="0.3">
      <c r="B1074" s="58" t="s">
        <v>2409</v>
      </c>
      <c r="C1074" s="58">
        <v>1757430564896</v>
      </c>
      <c r="D1074" s="58" t="s">
        <v>2440</v>
      </c>
      <c r="E1074" s="58" t="s">
        <v>525</v>
      </c>
      <c r="F1074" s="58" t="s">
        <v>2264</v>
      </c>
    </row>
    <row r="1075" spans="1:7" x14ac:dyDescent="0.3">
      <c r="B1075" s="58" t="s">
        <v>2409</v>
      </c>
      <c r="C1075" s="58">
        <v>1757430567467</v>
      </c>
      <c r="D1075" s="58" t="s">
        <v>2441</v>
      </c>
      <c r="E1075" s="58" t="s">
        <v>424</v>
      </c>
      <c r="F1075" s="58" t="s">
        <v>459</v>
      </c>
    </row>
    <row r="1076" spans="1:7" x14ac:dyDescent="0.3">
      <c r="B1076" s="58" t="s">
        <v>426</v>
      </c>
      <c r="C1076" s="58">
        <v>1757430579735</v>
      </c>
      <c r="D1076" s="58" t="s">
        <v>2442</v>
      </c>
      <c r="E1076" s="58" t="s">
        <v>428</v>
      </c>
      <c r="F1076" s="58" t="s">
        <v>455</v>
      </c>
    </row>
    <row r="1077" spans="1:7" x14ac:dyDescent="0.3">
      <c r="B1077" s="58" t="s">
        <v>2409</v>
      </c>
      <c r="C1077" s="58">
        <v>1757430585049</v>
      </c>
      <c r="D1077" s="58" t="s">
        <v>2443</v>
      </c>
      <c r="E1077" s="58" t="s">
        <v>520</v>
      </c>
      <c r="F1077" s="58" t="s">
        <v>664</v>
      </c>
    </row>
    <row r="1078" spans="1:7" x14ac:dyDescent="0.3">
      <c r="B1078" s="58" t="s">
        <v>2409</v>
      </c>
      <c r="C1078" s="58">
        <v>1757430591996</v>
      </c>
      <c r="D1078" s="58" t="s">
        <v>2444</v>
      </c>
      <c r="E1078" s="58" t="s">
        <v>525</v>
      </c>
      <c r="F1078" s="58" t="s">
        <v>665</v>
      </c>
    </row>
    <row r="1079" spans="1:7" x14ac:dyDescent="0.3">
      <c r="B1079" s="58" t="s">
        <v>2409</v>
      </c>
      <c r="C1079" s="58">
        <v>1757430593350</v>
      </c>
      <c r="D1079" s="58" t="s">
        <v>2445</v>
      </c>
      <c r="E1079" s="58" t="s">
        <v>424</v>
      </c>
      <c r="F1079" s="58" t="s">
        <v>461</v>
      </c>
    </row>
    <row r="1080" spans="1:7" x14ac:dyDescent="0.3">
      <c r="B1080" s="58" t="s">
        <v>2409</v>
      </c>
      <c r="C1080" s="58">
        <v>1757430598869</v>
      </c>
      <c r="D1080" s="58" t="s">
        <v>2446</v>
      </c>
      <c r="E1080" s="58" t="s">
        <v>424</v>
      </c>
      <c r="F1080" s="58" t="s">
        <v>449</v>
      </c>
    </row>
    <row r="1081" spans="1:7" x14ac:dyDescent="0.3">
      <c r="B1081" s="58" t="s">
        <v>2409</v>
      </c>
      <c r="C1081" s="58">
        <v>1757430605843</v>
      </c>
      <c r="D1081" s="58" t="s">
        <v>2447</v>
      </c>
      <c r="E1081" s="58" t="s">
        <v>424</v>
      </c>
      <c r="F1081" s="58" t="s">
        <v>451</v>
      </c>
    </row>
    <row r="1082" spans="1:7" x14ac:dyDescent="0.3">
      <c r="B1082" s="58" t="s">
        <v>2409</v>
      </c>
      <c r="C1082" s="58">
        <v>1757430612125</v>
      </c>
      <c r="D1082" s="58" t="s">
        <v>2448</v>
      </c>
      <c r="E1082" s="58" t="s">
        <v>520</v>
      </c>
      <c r="F1082" s="58" t="s">
        <v>1631</v>
      </c>
    </row>
    <row r="1083" spans="1:7" x14ac:dyDescent="0.3">
      <c r="B1083" s="58" t="s">
        <v>2409</v>
      </c>
      <c r="C1083" s="58">
        <v>1757430617376</v>
      </c>
      <c r="D1083" s="58" t="s">
        <v>2449</v>
      </c>
      <c r="E1083" s="58" t="s">
        <v>525</v>
      </c>
      <c r="F1083" s="58" t="s">
        <v>1633</v>
      </c>
    </row>
    <row r="1084" spans="1:7" x14ac:dyDescent="0.3">
      <c r="B1084" s="58" t="s">
        <v>2409</v>
      </c>
      <c r="C1084" s="58">
        <v>1757430618217</v>
      </c>
      <c r="D1084" s="58" t="s">
        <v>2450</v>
      </c>
      <c r="E1084" s="58" t="s">
        <v>463</v>
      </c>
      <c r="F1084" s="58" t="s">
        <v>464</v>
      </c>
    </row>
    <row r="1085" spans="1:7" ht="21" x14ac:dyDescent="0.4">
      <c r="A1085" s="69" t="s">
        <v>46</v>
      </c>
      <c r="B1085" s="63" t="s">
        <v>2604</v>
      </c>
      <c r="C1085" s="63">
        <v>1757434661589</v>
      </c>
      <c r="D1085" s="63" t="s">
        <v>2605</v>
      </c>
      <c r="E1085" s="63" t="s">
        <v>416</v>
      </c>
      <c r="F1085" s="63" t="s">
        <v>492</v>
      </c>
      <c r="G1085" s="63"/>
    </row>
    <row r="1086" spans="1:7" x14ac:dyDescent="0.3">
      <c r="B1086" s="63" t="s">
        <v>2604</v>
      </c>
      <c r="C1086" s="63">
        <v>1757434675971</v>
      </c>
      <c r="D1086" s="63" t="s">
        <v>2606</v>
      </c>
      <c r="E1086" s="63" t="s">
        <v>419</v>
      </c>
      <c r="F1086" s="63" t="s">
        <v>420</v>
      </c>
      <c r="G1086" s="63"/>
    </row>
    <row r="1087" spans="1:7" x14ac:dyDescent="0.3">
      <c r="B1087" s="63" t="s">
        <v>2604</v>
      </c>
      <c r="C1087" s="63">
        <v>1757434687245</v>
      </c>
      <c r="D1087" s="63" t="s">
        <v>2607</v>
      </c>
      <c r="E1087" s="63" t="s">
        <v>389</v>
      </c>
      <c r="F1087" s="63" t="s">
        <v>396</v>
      </c>
      <c r="G1087" s="63"/>
    </row>
    <row r="1088" spans="1:7" x14ac:dyDescent="0.3">
      <c r="B1088" s="63" t="s">
        <v>2604</v>
      </c>
      <c r="C1088" s="63">
        <v>1757434687967</v>
      </c>
      <c r="D1088" s="63" t="s">
        <v>2608</v>
      </c>
      <c r="E1088" s="63" t="s">
        <v>389</v>
      </c>
      <c r="F1088" s="63" t="s">
        <v>398</v>
      </c>
      <c r="G1088" s="63"/>
    </row>
    <row r="1089" spans="2:7" x14ac:dyDescent="0.3">
      <c r="B1089" s="63" t="s">
        <v>2604</v>
      </c>
      <c r="C1089" s="63">
        <v>1757434688888</v>
      </c>
      <c r="D1089" s="63" t="s">
        <v>2609</v>
      </c>
      <c r="E1089" s="63" t="s">
        <v>389</v>
      </c>
      <c r="F1089" s="63" t="s">
        <v>400</v>
      </c>
      <c r="G1089" s="63"/>
    </row>
    <row r="1090" spans="2:7" x14ac:dyDescent="0.3">
      <c r="B1090" s="63" t="s">
        <v>2604</v>
      </c>
      <c r="C1090" s="63">
        <v>1757434690719</v>
      </c>
      <c r="D1090" s="63" t="s">
        <v>2610</v>
      </c>
      <c r="E1090" s="63" t="s">
        <v>389</v>
      </c>
      <c r="F1090" s="63" t="s">
        <v>390</v>
      </c>
      <c r="G1090" s="63"/>
    </row>
    <row r="1091" spans="2:7" x14ac:dyDescent="0.3">
      <c r="B1091" s="63" t="s">
        <v>2604</v>
      </c>
      <c r="C1091" s="63">
        <v>1757434691453</v>
      </c>
      <c r="D1091" s="63" t="s">
        <v>2611</v>
      </c>
      <c r="E1091" s="63" t="s">
        <v>389</v>
      </c>
      <c r="F1091" s="63" t="s">
        <v>392</v>
      </c>
      <c r="G1091" s="63"/>
    </row>
    <row r="1092" spans="2:7" x14ac:dyDescent="0.3">
      <c r="B1092" s="63" t="s">
        <v>2604</v>
      </c>
      <c r="C1092" s="63">
        <v>1757434693667</v>
      </c>
      <c r="D1092" s="63" t="s">
        <v>2612</v>
      </c>
      <c r="E1092" s="63" t="s">
        <v>389</v>
      </c>
      <c r="F1092" s="63" t="s">
        <v>508</v>
      </c>
      <c r="G1092" s="63"/>
    </row>
    <row r="1093" spans="2:7" x14ac:dyDescent="0.3">
      <c r="B1093" s="63" t="s">
        <v>2604</v>
      </c>
      <c r="C1093" s="63">
        <v>1757434694370</v>
      </c>
      <c r="D1093" s="63" t="s">
        <v>2613</v>
      </c>
      <c r="E1093" s="63" t="s">
        <v>389</v>
      </c>
      <c r="F1093" s="63" t="s">
        <v>660</v>
      </c>
      <c r="G1093" s="63"/>
    </row>
    <row r="1094" spans="2:7" x14ac:dyDescent="0.3">
      <c r="B1094" s="63" t="s">
        <v>2604</v>
      </c>
      <c r="C1094" s="63">
        <v>1757434695870</v>
      </c>
      <c r="D1094" s="63" t="s">
        <v>2614</v>
      </c>
      <c r="E1094" s="63" t="s">
        <v>389</v>
      </c>
      <c r="F1094" s="63" t="s">
        <v>394</v>
      </c>
      <c r="G1094" s="63"/>
    </row>
    <row r="1095" spans="2:7" x14ac:dyDescent="0.3">
      <c r="B1095" s="63" t="s">
        <v>2604</v>
      </c>
      <c r="C1095" s="63">
        <v>1757434697441</v>
      </c>
      <c r="D1095" s="63" t="s">
        <v>2615</v>
      </c>
      <c r="E1095" s="63" t="s">
        <v>389</v>
      </c>
      <c r="F1095" s="63" t="s">
        <v>515</v>
      </c>
      <c r="G1095" s="63"/>
    </row>
    <row r="1096" spans="2:7" x14ac:dyDescent="0.3">
      <c r="B1096" s="63" t="s">
        <v>2604</v>
      </c>
      <c r="C1096" s="63">
        <v>1757434699163</v>
      </c>
      <c r="D1096" s="63" t="s">
        <v>2616</v>
      </c>
      <c r="E1096" s="63" t="s">
        <v>389</v>
      </c>
      <c r="F1096" s="63" t="s">
        <v>410</v>
      </c>
      <c r="G1096" s="63"/>
    </row>
    <row r="1097" spans="2:7" x14ac:dyDescent="0.3">
      <c r="B1097" s="63" t="s">
        <v>2604</v>
      </c>
      <c r="C1097" s="63">
        <v>1757434700896</v>
      </c>
      <c r="D1097" s="63" t="s">
        <v>2617</v>
      </c>
      <c r="E1097" s="63" t="s">
        <v>389</v>
      </c>
      <c r="F1097" s="63" t="s">
        <v>406</v>
      </c>
      <c r="G1097" s="63"/>
    </row>
    <row r="1098" spans="2:7" x14ac:dyDescent="0.3">
      <c r="B1098" s="63" t="s">
        <v>2604</v>
      </c>
      <c r="C1098" s="63">
        <v>1757434847887</v>
      </c>
      <c r="D1098" s="63" t="s">
        <v>2618</v>
      </c>
      <c r="E1098" s="63" t="s">
        <v>422</v>
      </c>
      <c r="F1098" s="63" t="s">
        <v>420</v>
      </c>
      <c r="G1098" s="63"/>
    </row>
    <row r="1099" spans="2:7" x14ac:dyDescent="0.3">
      <c r="B1099" s="63" t="s">
        <v>426</v>
      </c>
      <c r="C1099" s="63">
        <v>1757434863292</v>
      </c>
      <c r="D1099" s="63" t="s">
        <v>2619</v>
      </c>
      <c r="E1099" s="63" t="s">
        <v>428</v>
      </c>
      <c r="F1099" s="63" t="s">
        <v>447</v>
      </c>
      <c r="G1099" s="63"/>
    </row>
    <row r="1100" spans="2:7" x14ac:dyDescent="0.3">
      <c r="B1100" s="63" t="s">
        <v>2604</v>
      </c>
      <c r="C1100" s="63">
        <v>1757434868138</v>
      </c>
      <c r="D1100" s="63" t="s">
        <v>2620</v>
      </c>
      <c r="E1100" s="63" t="s">
        <v>520</v>
      </c>
      <c r="F1100" s="63" t="s">
        <v>2390</v>
      </c>
      <c r="G1100" s="63"/>
    </row>
    <row r="1101" spans="2:7" x14ac:dyDescent="0.3">
      <c r="B1101" s="63" t="s">
        <v>426</v>
      </c>
      <c r="C1101" s="63">
        <v>1757434880271</v>
      </c>
      <c r="D1101" s="63" t="s">
        <v>2621</v>
      </c>
      <c r="E1101" s="63" t="s">
        <v>428</v>
      </c>
      <c r="F1101" s="63" t="s">
        <v>453</v>
      </c>
      <c r="G1101" s="63"/>
    </row>
    <row r="1102" spans="2:7" x14ac:dyDescent="0.3">
      <c r="B1102" s="63" t="s">
        <v>2604</v>
      </c>
      <c r="C1102" s="63">
        <v>1757434886287</v>
      </c>
      <c r="D1102" s="63" t="s">
        <v>2622</v>
      </c>
      <c r="E1102" s="63" t="s">
        <v>525</v>
      </c>
      <c r="F1102" s="63" t="s">
        <v>2393</v>
      </c>
      <c r="G1102" s="63"/>
    </row>
    <row r="1103" spans="2:7" x14ac:dyDescent="0.3">
      <c r="B1103" s="63" t="s">
        <v>2604</v>
      </c>
      <c r="C1103" s="63">
        <v>1757434894119</v>
      </c>
      <c r="D1103" s="63" t="s">
        <v>2623</v>
      </c>
      <c r="E1103" s="63" t="s">
        <v>424</v>
      </c>
      <c r="F1103" s="63" t="s">
        <v>449</v>
      </c>
      <c r="G1103" s="63"/>
    </row>
    <row r="1104" spans="2:7" x14ac:dyDescent="0.3">
      <c r="B1104" s="63" t="s">
        <v>426</v>
      </c>
      <c r="C1104" s="63">
        <v>1757434897997</v>
      </c>
      <c r="D1104" s="63" t="s">
        <v>2624</v>
      </c>
      <c r="E1104" s="63" t="s">
        <v>428</v>
      </c>
      <c r="F1104" s="63" t="s">
        <v>429</v>
      </c>
      <c r="G1104" s="63"/>
    </row>
    <row r="1105" spans="2:7" x14ac:dyDescent="0.3">
      <c r="B1105" s="63" t="s">
        <v>2604</v>
      </c>
      <c r="C1105" s="63">
        <v>1757434906432</v>
      </c>
      <c r="D1105" s="63" t="s">
        <v>2625</v>
      </c>
      <c r="E1105" s="63" t="s">
        <v>520</v>
      </c>
      <c r="F1105" s="63" t="s">
        <v>2390</v>
      </c>
      <c r="G1105" s="63"/>
    </row>
    <row r="1106" spans="2:7" x14ac:dyDescent="0.3">
      <c r="B1106" s="63" t="s">
        <v>2604</v>
      </c>
      <c r="C1106" s="63">
        <v>1757434913730</v>
      </c>
      <c r="D1106" s="63" t="s">
        <v>2626</v>
      </c>
      <c r="E1106" s="63" t="s">
        <v>525</v>
      </c>
      <c r="F1106" s="63" t="s">
        <v>2393</v>
      </c>
      <c r="G1106" s="63"/>
    </row>
    <row r="1107" spans="2:7" x14ac:dyDescent="0.3">
      <c r="B1107" s="63" t="s">
        <v>426</v>
      </c>
      <c r="C1107" s="63">
        <v>1757434915704</v>
      </c>
      <c r="D1107" s="63" t="s">
        <v>2627</v>
      </c>
      <c r="E1107" s="63" t="s">
        <v>428</v>
      </c>
      <c r="F1107" s="63" t="s">
        <v>431</v>
      </c>
      <c r="G1107" s="63"/>
    </row>
    <row r="1108" spans="2:7" x14ac:dyDescent="0.3">
      <c r="B1108" s="63" t="s">
        <v>2604</v>
      </c>
      <c r="C1108" s="63">
        <v>1757434927452</v>
      </c>
      <c r="D1108" s="63" t="s">
        <v>2628</v>
      </c>
      <c r="E1108" s="63" t="s">
        <v>424</v>
      </c>
      <c r="F1108" s="63" t="s">
        <v>451</v>
      </c>
      <c r="G1108" s="63"/>
    </row>
    <row r="1109" spans="2:7" x14ac:dyDescent="0.3">
      <c r="B1109" s="63" t="s">
        <v>2604</v>
      </c>
      <c r="C1109" s="63">
        <v>1757434927937</v>
      </c>
      <c r="D1109" s="63" t="s">
        <v>2629</v>
      </c>
      <c r="E1109" s="63" t="s">
        <v>424</v>
      </c>
      <c r="F1109" s="63" t="s">
        <v>457</v>
      </c>
      <c r="G1109" s="63"/>
    </row>
    <row r="1110" spans="2:7" x14ac:dyDescent="0.3">
      <c r="B1110" s="63" t="s">
        <v>2604</v>
      </c>
      <c r="C1110" s="63">
        <v>1757434929000</v>
      </c>
      <c r="D1110" s="63" t="s">
        <v>2630</v>
      </c>
      <c r="E1110" s="63" t="s">
        <v>424</v>
      </c>
      <c r="F1110" s="63" t="s">
        <v>459</v>
      </c>
      <c r="G1110" s="63"/>
    </row>
    <row r="1111" spans="2:7" x14ac:dyDescent="0.3">
      <c r="B1111" s="63" t="s">
        <v>426</v>
      </c>
      <c r="C1111" s="63">
        <v>1757434931195</v>
      </c>
      <c r="D1111" s="63" t="s">
        <v>2631</v>
      </c>
      <c r="E1111" s="63" t="s">
        <v>428</v>
      </c>
      <c r="F1111" s="63" t="s">
        <v>538</v>
      </c>
      <c r="G1111" s="63"/>
    </row>
    <row r="1112" spans="2:7" x14ac:dyDescent="0.3">
      <c r="B1112" s="63" t="s">
        <v>2604</v>
      </c>
      <c r="C1112" s="63">
        <v>1757434933873</v>
      </c>
      <c r="D1112" s="63" t="s">
        <v>2632</v>
      </c>
      <c r="E1112" s="63" t="s">
        <v>520</v>
      </c>
      <c r="F1112" s="63" t="s">
        <v>2258</v>
      </c>
      <c r="G1112" s="63"/>
    </row>
    <row r="1113" spans="2:7" x14ac:dyDescent="0.3">
      <c r="B1113" s="63" t="s">
        <v>2604</v>
      </c>
      <c r="C1113" s="63">
        <v>1757434939546</v>
      </c>
      <c r="D1113" s="63" t="s">
        <v>2633</v>
      </c>
      <c r="E1113" s="63" t="s">
        <v>525</v>
      </c>
      <c r="F1113" s="63" t="s">
        <v>2264</v>
      </c>
      <c r="G1113" s="63"/>
    </row>
    <row r="1114" spans="2:7" x14ac:dyDescent="0.3">
      <c r="B1114" s="63" t="s">
        <v>426</v>
      </c>
      <c r="C1114" s="63">
        <v>1757434948892</v>
      </c>
      <c r="D1114" s="63" t="s">
        <v>2634</v>
      </c>
      <c r="E1114" s="63" t="s">
        <v>428</v>
      </c>
      <c r="F1114" s="63" t="s">
        <v>672</v>
      </c>
      <c r="G1114" s="63"/>
    </row>
    <row r="1115" spans="2:7" x14ac:dyDescent="0.3">
      <c r="B1115" s="63" t="s">
        <v>2604</v>
      </c>
      <c r="C1115" s="63">
        <v>1757434959683</v>
      </c>
      <c r="D1115" s="63" t="s">
        <v>2635</v>
      </c>
      <c r="E1115" s="63" t="s">
        <v>520</v>
      </c>
      <c r="F1115" s="63" t="s">
        <v>949</v>
      </c>
      <c r="G1115" s="63"/>
    </row>
    <row r="1116" spans="2:7" x14ac:dyDescent="0.3">
      <c r="B1116" s="63" t="s">
        <v>2604</v>
      </c>
      <c r="C1116" s="63">
        <v>1757434963855</v>
      </c>
      <c r="D1116" s="63" t="s">
        <v>2636</v>
      </c>
      <c r="E1116" s="63" t="s">
        <v>525</v>
      </c>
      <c r="F1116" s="63" t="s">
        <v>951</v>
      </c>
      <c r="G1116" s="63"/>
    </row>
    <row r="1117" spans="2:7" x14ac:dyDescent="0.3">
      <c r="B1117" s="63" t="s">
        <v>426</v>
      </c>
      <c r="C1117" s="63">
        <v>1757434964408</v>
      </c>
      <c r="D1117" s="63" t="s">
        <v>2637</v>
      </c>
      <c r="E1117" s="63" t="s">
        <v>428</v>
      </c>
      <c r="F1117" s="63" t="s">
        <v>435</v>
      </c>
      <c r="G1117" s="63"/>
    </row>
    <row r="1118" spans="2:7" x14ac:dyDescent="0.3">
      <c r="B1118" s="63" t="s">
        <v>2604</v>
      </c>
      <c r="C1118" s="63">
        <v>1757434971631</v>
      </c>
      <c r="D1118" s="63" t="s">
        <v>2638</v>
      </c>
      <c r="E1118" s="63" t="s">
        <v>424</v>
      </c>
      <c r="F1118" s="63" t="s">
        <v>461</v>
      </c>
      <c r="G1118" s="63"/>
    </row>
    <row r="1119" spans="2:7" x14ac:dyDescent="0.3">
      <c r="B1119" s="63" t="s">
        <v>2604</v>
      </c>
      <c r="C1119" s="63">
        <v>1757434978970</v>
      </c>
      <c r="D1119" s="63" t="s">
        <v>2639</v>
      </c>
      <c r="E1119" s="63" t="s">
        <v>424</v>
      </c>
      <c r="F1119" s="63" t="s">
        <v>433</v>
      </c>
      <c r="G1119" s="63"/>
    </row>
    <row r="1120" spans="2:7" x14ac:dyDescent="0.3">
      <c r="B1120" s="63" t="s">
        <v>426</v>
      </c>
      <c r="C1120" s="63">
        <v>1757434979193</v>
      </c>
      <c r="D1120" s="63" t="s">
        <v>2640</v>
      </c>
      <c r="E1120" s="63" t="s">
        <v>428</v>
      </c>
      <c r="F1120" s="63" t="s">
        <v>437</v>
      </c>
      <c r="G1120" s="63"/>
    </row>
    <row r="1121" spans="2:7" x14ac:dyDescent="0.3">
      <c r="B1121" s="63" t="s">
        <v>2604</v>
      </c>
      <c r="C1121" s="63">
        <v>1757434984006</v>
      </c>
      <c r="D1121" s="63" t="s">
        <v>2641</v>
      </c>
      <c r="E1121" s="63" t="s">
        <v>520</v>
      </c>
      <c r="F1121" s="63" t="s">
        <v>1975</v>
      </c>
      <c r="G1121" s="63"/>
    </row>
    <row r="1122" spans="2:7" x14ac:dyDescent="0.3">
      <c r="B1122" s="63" t="s">
        <v>426</v>
      </c>
      <c r="C1122" s="63">
        <v>1757434995507</v>
      </c>
      <c r="D1122" s="63" t="s">
        <v>2642</v>
      </c>
      <c r="E1122" s="63" t="s">
        <v>428</v>
      </c>
      <c r="F1122" s="63" t="s">
        <v>439</v>
      </c>
      <c r="G1122" s="63"/>
    </row>
    <row r="1123" spans="2:7" x14ac:dyDescent="0.3">
      <c r="B1123" s="63" t="s">
        <v>2604</v>
      </c>
      <c r="C1123" s="63">
        <v>1757434996158</v>
      </c>
      <c r="D1123" s="63" t="s">
        <v>2643</v>
      </c>
      <c r="E1123" s="63" t="s">
        <v>525</v>
      </c>
      <c r="F1123" s="63" t="s">
        <v>1977</v>
      </c>
      <c r="G1123" s="63"/>
    </row>
    <row r="1124" spans="2:7" x14ac:dyDescent="0.3">
      <c r="B1124" s="63" t="s">
        <v>2604</v>
      </c>
      <c r="C1124" s="63">
        <v>1757435000293</v>
      </c>
      <c r="D1124" s="63" t="s">
        <v>2644</v>
      </c>
      <c r="E1124" s="63" t="s">
        <v>424</v>
      </c>
      <c r="F1124" s="63" t="s">
        <v>425</v>
      </c>
      <c r="G1124" s="63"/>
    </row>
    <row r="1125" spans="2:7" x14ac:dyDescent="0.3">
      <c r="B1125" s="63" t="s">
        <v>2604</v>
      </c>
      <c r="C1125" s="63">
        <v>1757435004157</v>
      </c>
      <c r="D1125" s="63" t="s">
        <v>2645</v>
      </c>
      <c r="E1125" s="63" t="s">
        <v>424</v>
      </c>
      <c r="F1125" s="63" t="s">
        <v>570</v>
      </c>
      <c r="G1125" s="63"/>
    </row>
    <row r="1126" spans="2:7" x14ac:dyDescent="0.3">
      <c r="B1126" s="63" t="s">
        <v>2604</v>
      </c>
      <c r="C1126" s="63">
        <v>1757435016293</v>
      </c>
      <c r="D1126" s="63" t="s">
        <v>2646</v>
      </c>
      <c r="E1126" s="63" t="s">
        <v>520</v>
      </c>
      <c r="F1126" s="63" t="s">
        <v>1631</v>
      </c>
      <c r="G1126" s="63"/>
    </row>
    <row r="1127" spans="2:7" x14ac:dyDescent="0.3">
      <c r="B1127" s="63" t="s">
        <v>2604</v>
      </c>
      <c r="C1127" s="63">
        <v>1757435024120</v>
      </c>
      <c r="D1127" s="63" t="s">
        <v>2647</v>
      </c>
      <c r="E1127" s="63" t="s">
        <v>525</v>
      </c>
      <c r="F1127" s="63" t="s">
        <v>1633</v>
      </c>
      <c r="G1127" s="63"/>
    </row>
    <row r="1128" spans="2:7" x14ac:dyDescent="0.3">
      <c r="B1128" s="63" t="s">
        <v>2604</v>
      </c>
      <c r="C1128" s="63">
        <v>1757435025669</v>
      </c>
      <c r="D1128" s="63" t="s">
        <v>2648</v>
      </c>
      <c r="E1128" s="63" t="s">
        <v>424</v>
      </c>
      <c r="F1128" s="63" t="s">
        <v>441</v>
      </c>
      <c r="G1128" s="63"/>
    </row>
    <row r="1129" spans="2:7" x14ac:dyDescent="0.3">
      <c r="B1129" s="63" t="s">
        <v>2604</v>
      </c>
      <c r="C1129" s="63">
        <v>1757435026927</v>
      </c>
      <c r="D1129" s="63" t="s">
        <v>2649</v>
      </c>
      <c r="E1129" s="63" t="s">
        <v>463</v>
      </c>
      <c r="F1129" s="63" t="s">
        <v>464</v>
      </c>
      <c r="G1129" s="63"/>
    </row>
    <row r="1130" spans="2:7" x14ac:dyDescent="0.3">
      <c r="B1130" s="58" t="s">
        <v>2650</v>
      </c>
      <c r="C1130" s="58">
        <v>1757435035642</v>
      </c>
      <c r="D1130" s="58" t="s">
        <v>2651</v>
      </c>
      <c r="E1130" s="58" t="s">
        <v>416</v>
      </c>
      <c r="F1130" s="58" t="s">
        <v>573</v>
      </c>
      <c r="G1130" s="58"/>
    </row>
    <row r="1131" spans="2:7" x14ac:dyDescent="0.3">
      <c r="B1131" s="58" t="s">
        <v>2650</v>
      </c>
      <c r="C1131" s="58">
        <v>1757435035842</v>
      </c>
      <c r="D1131" s="58" t="s">
        <v>2652</v>
      </c>
      <c r="E1131" s="58" t="s">
        <v>468</v>
      </c>
      <c r="F1131" s="58" t="s">
        <v>2653</v>
      </c>
      <c r="G1131" s="58"/>
    </row>
    <row r="1132" spans="2:7" x14ac:dyDescent="0.3">
      <c r="B1132" s="58" t="s">
        <v>2650</v>
      </c>
      <c r="C1132" s="58">
        <v>1757435036346</v>
      </c>
      <c r="D1132" s="58" t="s">
        <v>2654</v>
      </c>
      <c r="E1132" s="58" t="s">
        <v>419</v>
      </c>
      <c r="F1132" s="58" t="s">
        <v>420</v>
      </c>
      <c r="G1132" s="58"/>
    </row>
    <row r="1133" spans="2:7" x14ac:dyDescent="0.3">
      <c r="B1133" s="58" t="s">
        <v>2650</v>
      </c>
      <c r="C1133" s="58">
        <v>1757435050219</v>
      </c>
      <c r="D1133" s="58" t="s">
        <v>2655</v>
      </c>
      <c r="E1133" s="58" t="s">
        <v>389</v>
      </c>
      <c r="F1133" s="58" t="s">
        <v>495</v>
      </c>
      <c r="G1133" s="58"/>
    </row>
    <row r="1134" spans="2:7" x14ac:dyDescent="0.3">
      <c r="B1134" s="58" t="s">
        <v>2650</v>
      </c>
      <c r="C1134" s="58">
        <v>1757435054885</v>
      </c>
      <c r="D1134" s="58" t="s">
        <v>2656</v>
      </c>
      <c r="E1134" s="58" t="s">
        <v>389</v>
      </c>
      <c r="F1134" s="58" t="s">
        <v>414</v>
      </c>
      <c r="G1134" s="58"/>
    </row>
    <row r="1135" spans="2:7" x14ac:dyDescent="0.3">
      <c r="B1135" s="58" t="s">
        <v>2650</v>
      </c>
      <c r="C1135" s="58">
        <v>1757435104576</v>
      </c>
      <c r="D1135" s="58" t="s">
        <v>2657</v>
      </c>
      <c r="E1135" s="58" t="s">
        <v>422</v>
      </c>
      <c r="F1135" s="58" t="s">
        <v>420</v>
      </c>
      <c r="G1135" s="58"/>
    </row>
    <row r="1136" spans="2:7" x14ac:dyDescent="0.3">
      <c r="B1136" s="58" t="s">
        <v>426</v>
      </c>
      <c r="C1136" s="58">
        <v>1757435119274</v>
      </c>
      <c r="D1136" s="58" t="s">
        <v>2658</v>
      </c>
      <c r="E1136" s="58" t="s">
        <v>428</v>
      </c>
      <c r="F1136" s="58" t="s">
        <v>453</v>
      </c>
      <c r="G1136" s="58"/>
    </row>
    <row r="1137" spans="2:7" x14ac:dyDescent="0.3">
      <c r="B1137" s="58" t="s">
        <v>2650</v>
      </c>
      <c r="C1137" s="58">
        <v>1757435124733</v>
      </c>
      <c r="D1137" s="58" t="s">
        <v>2659</v>
      </c>
      <c r="E1137" s="58" t="s">
        <v>520</v>
      </c>
      <c r="F1137" s="58" t="s">
        <v>664</v>
      </c>
      <c r="G1137" s="58"/>
    </row>
    <row r="1138" spans="2:7" x14ac:dyDescent="0.3">
      <c r="B1138" s="58" t="s">
        <v>2650</v>
      </c>
      <c r="C1138" s="58">
        <v>1757435133487</v>
      </c>
      <c r="D1138" s="58" t="s">
        <v>2660</v>
      </c>
      <c r="E1138" s="58" t="s">
        <v>525</v>
      </c>
      <c r="F1138" s="58" t="s">
        <v>665</v>
      </c>
      <c r="G1138" s="58"/>
    </row>
    <row r="1139" spans="2:7" x14ac:dyDescent="0.3">
      <c r="B1139" s="58" t="s">
        <v>426</v>
      </c>
      <c r="C1139" s="58">
        <v>1757435134070</v>
      </c>
      <c r="D1139" s="58" t="s">
        <v>2661</v>
      </c>
      <c r="E1139" s="58" t="s">
        <v>428</v>
      </c>
      <c r="F1139" s="58" t="s">
        <v>429</v>
      </c>
      <c r="G1139" s="58"/>
    </row>
    <row r="1140" spans="2:7" x14ac:dyDescent="0.3">
      <c r="B1140" s="58" t="s">
        <v>2650</v>
      </c>
      <c r="C1140" s="58">
        <v>1757435142247</v>
      </c>
      <c r="D1140" s="58" t="s">
        <v>2662</v>
      </c>
      <c r="E1140" s="58" t="s">
        <v>424</v>
      </c>
      <c r="F1140" s="58" t="s">
        <v>457</v>
      </c>
      <c r="G1140" s="58"/>
    </row>
    <row r="1141" spans="2:7" x14ac:dyDescent="0.3">
      <c r="B1141" s="58" t="s">
        <v>2650</v>
      </c>
      <c r="C1141" s="58">
        <v>1757435146954</v>
      </c>
      <c r="D1141" s="58" t="s">
        <v>2663</v>
      </c>
      <c r="E1141" s="58" t="s">
        <v>424</v>
      </c>
      <c r="F1141" s="58" t="s">
        <v>459</v>
      </c>
      <c r="G1141" s="58"/>
    </row>
    <row r="1142" spans="2:7" x14ac:dyDescent="0.3">
      <c r="B1142" s="58" t="s">
        <v>426</v>
      </c>
      <c r="C1142" s="58">
        <v>1757435148909</v>
      </c>
      <c r="D1142" s="58" t="s">
        <v>2664</v>
      </c>
      <c r="E1142" s="58" t="s">
        <v>428</v>
      </c>
      <c r="F1142" s="58" t="s">
        <v>431</v>
      </c>
      <c r="G1142" s="58"/>
    </row>
    <row r="1143" spans="2:7" x14ac:dyDescent="0.3">
      <c r="B1143" s="58" t="s">
        <v>2650</v>
      </c>
      <c r="C1143" s="58">
        <v>1757435153627</v>
      </c>
      <c r="D1143" s="58" t="s">
        <v>2665</v>
      </c>
      <c r="E1143" s="58" t="s">
        <v>520</v>
      </c>
      <c r="F1143" s="58" t="s">
        <v>589</v>
      </c>
      <c r="G1143" s="58"/>
    </row>
    <row r="1144" spans="2:7" x14ac:dyDescent="0.3">
      <c r="B1144" s="58" t="s">
        <v>2650</v>
      </c>
      <c r="C1144" s="58">
        <v>1757435160819</v>
      </c>
      <c r="D1144" s="58" t="s">
        <v>2666</v>
      </c>
      <c r="E1144" s="58" t="s">
        <v>525</v>
      </c>
      <c r="F1144" s="58" t="s">
        <v>592</v>
      </c>
      <c r="G1144" s="58"/>
    </row>
    <row r="1145" spans="2:7" x14ac:dyDescent="0.3">
      <c r="B1145" s="58" t="s">
        <v>426</v>
      </c>
      <c r="C1145" s="58">
        <v>1757435165146</v>
      </c>
      <c r="D1145" s="58" t="s">
        <v>2667</v>
      </c>
      <c r="E1145" s="58" t="s">
        <v>428</v>
      </c>
      <c r="F1145" s="58" t="s">
        <v>538</v>
      </c>
      <c r="G1145" s="58"/>
    </row>
    <row r="1146" spans="2:7" x14ac:dyDescent="0.3">
      <c r="B1146" s="58" t="s">
        <v>2650</v>
      </c>
      <c r="C1146" s="58">
        <v>1757435176521</v>
      </c>
      <c r="D1146" s="58" t="s">
        <v>2668</v>
      </c>
      <c r="E1146" s="58" t="s">
        <v>424</v>
      </c>
      <c r="F1146" s="58" t="s">
        <v>461</v>
      </c>
      <c r="G1146" s="58"/>
    </row>
    <row r="1147" spans="2:7" x14ac:dyDescent="0.3">
      <c r="B1147" s="58" t="s">
        <v>2650</v>
      </c>
      <c r="C1147" s="58">
        <v>1757435180940</v>
      </c>
      <c r="D1147" s="58" t="s">
        <v>2669</v>
      </c>
      <c r="E1147" s="58" t="s">
        <v>520</v>
      </c>
      <c r="F1147" s="58" t="s">
        <v>1631</v>
      </c>
      <c r="G1147" s="58"/>
    </row>
    <row r="1148" spans="2:7" x14ac:dyDescent="0.3">
      <c r="B1148" s="58" t="s">
        <v>426</v>
      </c>
      <c r="C1148" s="58">
        <v>1757435182900</v>
      </c>
      <c r="D1148" s="58" t="s">
        <v>2670</v>
      </c>
      <c r="E1148" s="58" t="s">
        <v>428</v>
      </c>
      <c r="F1148" s="58" t="s">
        <v>672</v>
      </c>
      <c r="G1148" s="58"/>
    </row>
    <row r="1149" spans="2:7" x14ac:dyDescent="0.3">
      <c r="B1149" s="58" t="s">
        <v>2650</v>
      </c>
      <c r="C1149" s="58">
        <v>1757435188232</v>
      </c>
      <c r="D1149" s="58" t="s">
        <v>2671</v>
      </c>
      <c r="E1149" s="58" t="s">
        <v>525</v>
      </c>
      <c r="F1149" s="58" t="s">
        <v>1633</v>
      </c>
      <c r="G1149" s="58"/>
    </row>
    <row r="1150" spans="2:7" x14ac:dyDescent="0.3">
      <c r="B1150" s="58" t="s">
        <v>2650</v>
      </c>
      <c r="C1150" s="58">
        <v>1757435190330</v>
      </c>
      <c r="D1150" s="58" t="s">
        <v>2672</v>
      </c>
      <c r="E1150" s="58" t="s">
        <v>424</v>
      </c>
      <c r="F1150" s="58" t="s">
        <v>433</v>
      </c>
      <c r="G1150" s="58"/>
    </row>
    <row r="1151" spans="2:7" x14ac:dyDescent="0.3">
      <c r="B1151" s="58" t="s">
        <v>426</v>
      </c>
      <c r="C1151" s="58">
        <v>1757435199845</v>
      </c>
      <c r="D1151" s="58" t="s">
        <v>2673</v>
      </c>
      <c r="E1151" s="58" t="s">
        <v>428</v>
      </c>
      <c r="F1151" s="58" t="s">
        <v>523</v>
      </c>
      <c r="G1151" s="58"/>
    </row>
    <row r="1152" spans="2:7" x14ac:dyDescent="0.3">
      <c r="B1152" s="58" t="s">
        <v>2650</v>
      </c>
      <c r="C1152" s="58">
        <v>1757435208377</v>
      </c>
      <c r="D1152" s="58" t="s">
        <v>2674</v>
      </c>
      <c r="E1152" s="58" t="s">
        <v>520</v>
      </c>
      <c r="F1152" s="58" t="s">
        <v>1448</v>
      </c>
      <c r="G1152" s="58"/>
    </row>
    <row r="1153" spans="2:7" x14ac:dyDescent="0.3">
      <c r="B1153" s="58" t="s">
        <v>2650</v>
      </c>
      <c r="C1153" s="58">
        <v>1757435213634</v>
      </c>
      <c r="D1153" s="58" t="s">
        <v>2675</v>
      </c>
      <c r="E1153" s="58" t="s">
        <v>525</v>
      </c>
      <c r="F1153" s="58" t="s">
        <v>1450</v>
      </c>
      <c r="G1153" s="58"/>
    </row>
    <row r="1154" spans="2:7" x14ac:dyDescent="0.3">
      <c r="B1154" s="58" t="s">
        <v>426</v>
      </c>
      <c r="C1154" s="58">
        <v>1757435214634</v>
      </c>
      <c r="D1154" s="58" t="s">
        <v>2676</v>
      </c>
      <c r="E1154" s="58" t="s">
        <v>428</v>
      </c>
      <c r="F1154" s="58" t="s">
        <v>447</v>
      </c>
      <c r="G1154" s="58"/>
    </row>
    <row r="1155" spans="2:7" x14ac:dyDescent="0.3">
      <c r="B1155" s="58" t="s">
        <v>2650</v>
      </c>
      <c r="C1155" s="58">
        <v>1757435219034</v>
      </c>
      <c r="D1155" s="58" t="s">
        <v>2677</v>
      </c>
      <c r="E1155" s="58" t="s">
        <v>424</v>
      </c>
      <c r="F1155" s="58" t="s">
        <v>449</v>
      </c>
      <c r="G1155" s="58"/>
    </row>
    <row r="1156" spans="2:7" x14ac:dyDescent="0.3">
      <c r="B1156" s="58" t="s">
        <v>2650</v>
      </c>
      <c r="C1156" s="58">
        <v>1757435223767</v>
      </c>
      <c r="D1156" s="58" t="s">
        <v>2678</v>
      </c>
      <c r="E1156" s="58" t="s">
        <v>424</v>
      </c>
      <c r="F1156" s="58" t="s">
        <v>451</v>
      </c>
      <c r="G1156" s="58"/>
    </row>
    <row r="1157" spans="2:7" x14ac:dyDescent="0.3">
      <c r="B1157" s="58" t="s">
        <v>2650</v>
      </c>
      <c r="C1157" s="58">
        <v>1757435233774</v>
      </c>
      <c r="D1157" s="58" t="s">
        <v>2679</v>
      </c>
      <c r="E1157" s="58" t="s">
        <v>520</v>
      </c>
      <c r="F1157" s="58" t="s">
        <v>559</v>
      </c>
      <c r="G1157" s="58"/>
    </row>
    <row r="1158" spans="2:7" x14ac:dyDescent="0.3">
      <c r="B1158" s="58" t="s">
        <v>426</v>
      </c>
      <c r="C1158" s="58">
        <v>1757435235986</v>
      </c>
      <c r="D1158" s="58" t="s">
        <v>2680</v>
      </c>
      <c r="E1158" s="58" t="s">
        <v>428</v>
      </c>
      <c r="F1158" s="58" t="s">
        <v>455</v>
      </c>
      <c r="G1158" s="58"/>
    </row>
    <row r="1159" spans="2:7" x14ac:dyDescent="0.3">
      <c r="B1159" s="58" t="s">
        <v>2650</v>
      </c>
      <c r="C1159" s="58">
        <v>1757435240906</v>
      </c>
      <c r="D1159" s="58" t="s">
        <v>2681</v>
      </c>
      <c r="E1159" s="58" t="s">
        <v>525</v>
      </c>
      <c r="F1159" s="58" t="s">
        <v>561</v>
      </c>
      <c r="G1159" s="58"/>
    </row>
    <row r="1160" spans="2:7" x14ac:dyDescent="0.3">
      <c r="B1160" s="58" t="s">
        <v>426</v>
      </c>
      <c r="C1160" s="58">
        <v>1757435255883</v>
      </c>
      <c r="D1160" s="58" t="s">
        <v>2682</v>
      </c>
      <c r="E1160" s="58" t="s">
        <v>428</v>
      </c>
      <c r="F1160" s="58" t="s">
        <v>435</v>
      </c>
      <c r="G1160" s="58"/>
    </row>
    <row r="1161" spans="2:7" x14ac:dyDescent="0.3">
      <c r="B1161" s="58" t="s">
        <v>2650</v>
      </c>
      <c r="C1161" s="58">
        <v>1757435261053</v>
      </c>
      <c r="D1161" s="58" t="s">
        <v>2683</v>
      </c>
      <c r="E1161" s="58" t="s">
        <v>520</v>
      </c>
      <c r="F1161" s="58" t="s">
        <v>1409</v>
      </c>
      <c r="G1161" s="58"/>
    </row>
    <row r="1162" spans="2:7" x14ac:dyDescent="0.3">
      <c r="B1162" s="58" t="s">
        <v>2650</v>
      </c>
      <c r="C1162" s="58">
        <v>1757435272850</v>
      </c>
      <c r="D1162" s="58" t="s">
        <v>2684</v>
      </c>
      <c r="E1162" s="58" t="s">
        <v>525</v>
      </c>
      <c r="F1162" s="58" t="s">
        <v>1413</v>
      </c>
      <c r="G1162" s="58"/>
    </row>
    <row r="1163" spans="2:7" x14ac:dyDescent="0.3">
      <c r="B1163" s="58" t="s">
        <v>426</v>
      </c>
      <c r="C1163" s="58">
        <v>1757435275028</v>
      </c>
      <c r="D1163" s="58" t="s">
        <v>2685</v>
      </c>
      <c r="E1163" s="58" t="s">
        <v>428</v>
      </c>
      <c r="F1163" s="58" t="s">
        <v>437</v>
      </c>
      <c r="G1163" s="58"/>
    </row>
    <row r="1164" spans="2:7" x14ac:dyDescent="0.3">
      <c r="B1164" s="58" t="s">
        <v>2650</v>
      </c>
      <c r="C1164" s="58">
        <v>1757435292998</v>
      </c>
      <c r="D1164" s="58" t="s">
        <v>2686</v>
      </c>
      <c r="E1164" s="58" t="s">
        <v>520</v>
      </c>
      <c r="F1164" s="58" t="s">
        <v>2687</v>
      </c>
      <c r="G1164" s="58"/>
    </row>
    <row r="1165" spans="2:7" x14ac:dyDescent="0.3">
      <c r="B1165" s="58" t="s">
        <v>426</v>
      </c>
      <c r="C1165" s="58">
        <v>1757435293507</v>
      </c>
      <c r="D1165" s="58" t="s">
        <v>2688</v>
      </c>
      <c r="E1165" s="58" t="s">
        <v>428</v>
      </c>
      <c r="F1165" s="58" t="s">
        <v>439</v>
      </c>
      <c r="G1165" s="58"/>
    </row>
    <row r="1166" spans="2:7" x14ac:dyDescent="0.3">
      <c r="B1166" s="58" t="s">
        <v>2650</v>
      </c>
      <c r="C1166" s="58">
        <v>1757435296671</v>
      </c>
      <c r="D1166" s="58" t="s">
        <v>2689</v>
      </c>
      <c r="E1166" s="58" t="s">
        <v>525</v>
      </c>
      <c r="F1166" s="58" t="s">
        <v>2690</v>
      </c>
      <c r="G1166" s="58"/>
    </row>
    <row r="1167" spans="2:7" x14ac:dyDescent="0.3">
      <c r="B1167" s="58" t="s">
        <v>2650</v>
      </c>
      <c r="C1167" s="58">
        <v>1757435311249</v>
      </c>
      <c r="D1167" s="58" t="s">
        <v>2691</v>
      </c>
      <c r="E1167" s="58" t="s">
        <v>424</v>
      </c>
      <c r="F1167" s="58" t="s">
        <v>441</v>
      </c>
      <c r="G1167" s="58"/>
    </row>
    <row r="1168" spans="2:7" x14ac:dyDescent="0.3">
      <c r="B1168" s="58" t="s">
        <v>2650</v>
      </c>
      <c r="C1168" s="58">
        <v>1757435312011</v>
      </c>
      <c r="D1168" s="58" t="s">
        <v>2692</v>
      </c>
      <c r="E1168" s="58" t="s">
        <v>463</v>
      </c>
      <c r="F1168" s="58" t="s">
        <v>464</v>
      </c>
      <c r="G1168" s="58"/>
    </row>
    <row r="1169" spans="1:6" ht="21" x14ac:dyDescent="0.4">
      <c r="A1169" s="69" t="s">
        <v>47</v>
      </c>
      <c r="B1169" s="63" t="s">
        <v>2693</v>
      </c>
      <c r="C1169" s="63">
        <v>1757505786419</v>
      </c>
      <c r="D1169" s="63" t="s">
        <v>2694</v>
      </c>
      <c r="E1169" s="63" t="s">
        <v>416</v>
      </c>
      <c r="F1169" s="63" t="s">
        <v>492</v>
      </c>
    </row>
    <row r="1170" spans="1:6" x14ac:dyDescent="0.3">
      <c r="B1170" s="63" t="s">
        <v>2693</v>
      </c>
      <c r="C1170" s="63">
        <v>1757505792269</v>
      </c>
      <c r="D1170" s="63" t="s">
        <v>2695</v>
      </c>
      <c r="E1170" s="63" t="s">
        <v>419</v>
      </c>
      <c r="F1170" s="63" t="s">
        <v>420</v>
      </c>
    </row>
    <row r="1171" spans="1:6" x14ac:dyDescent="0.3">
      <c r="B1171" s="63" t="s">
        <v>2693</v>
      </c>
      <c r="C1171" s="63">
        <v>1757505792337</v>
      </c>
      <c r="D1171" s="63" t="s">
        <v>2696</v>
      </c>
      <c r="E1171" s="63" t="s">
        <v>389</v>
      </c>
      <c r="F1171" s="63" t="s">
        <v>1216</v>
      </c>
    </row>
    <row r="1172" spans="1:6" x14ac:dyDescent="0.3">
      <c r="B1172" s="63" t="s">
        <v>2693</v>
      </c>
      <c r="C1172" s="63">
        <v>1757505792388</v>
      </c>
      <c r="D1172" s="63" t="s">
        <v>2697</v>
      </c>
      <c r="E1172" s="63" t="s">
        <v>389</v>
      </c>
      <c r="F1172" s="63" t="s">
        <v>1230</v>
      </c>
    </row>
    <row r="1173" spans="1:6" x14ac:dyDescent="0.3">
      <c r="B1173" s="63" t="s">
        <v>2693</v>
      </c>
      <c r="C1173" s="63">
        <v>1757505792461</v>
      </c>
      <c r="D1173" s="63" t="s">
        <v>2698</v>
      </c>
      <c r="E1173" s="63" t="s">
        <v>389</v>
      </c>
      <c r="F1173" s="63" t="s">
        <v>1218</v>
      </c>
    </row>
    <row r="1174" spans="1:6" x14ac:dyDescent="0.3">
      <c r="B1174" s="63" t="s">
        <v>2693</v>
      </c>
      <c r="C1174" s="63">
        <v>1757505792539</v>
      </c>
      <c r="D1174" s="63" t="s">
        <v>2699</v>
      </c>
      <c r="E1174" s="63" t="s">
        <v>389</v>
      </c>
      <c r="F1174" s="63" t="s">
        <v>1218</v>
      </c>
    </row>
    <row r="1175" spans="1:6" x14ac:dyDescent="0.3">
      <c r="B1175" s="63" t="s">
        <v>2693</v>
      </c>
      <c r="C1175" s="63">
        <v>1757505792601</v>
      </c>
      <c r="D1175" s="63" t="s">
        <v>2700</v>
      </c>
      <c r="E1175" s="63" t="s">
        <v>389</v>
      </c>
      <c r="F1175" s="63" t="s">
        <v>1230</v>
      </c>
    </row>
    <row r="1176" spans="1:6" x14ac:dyDescent="0.3">
      <c r="B1176" s="63" t="s">
        <v>2693</v>
      </c>
      <c r="C1176" s="63">
        <v>1757505792681</v>
      </c>
      <c r="D1176" s="63" t="s">
        <v>2701</v>
      </c>
      <c r="E1176" s="63" t="s">
        <v>389</v>
      </c>
      <c r="F1176" s="63" t="s">
        <v>1218</v>
      </c>
    </row>
    <row r="1177" spans="1:6" x14ac:dyDescent="0.3">
      <c r="B1177" s="63" t="s">
        <v>2693</v>
      </c>
      <c r="C1177" s="63">
        <v>1757505792755</v>
      </c>
      <c r="D1177" s="63" t="s">
        <v>2702</v>
      </c>
      <c r="E1177" s="63" t="s">
        <v>389</v>
      </c>
      <c r="F1177" s="63" t="s">
        <v>1216</v>
      </c>
    </row>
    <row r="1178" spans="1:6" x14ac:dyDescent="0.3">
      <c r="B1178" s="63" t="s">
        <v>2693</v>
      </c>
      <c r="C1178" s="63">
        <v>1757505792819</v>
      </c>
      <c r="D1178" s="63" t="s">
        <v>2703</v>
      </c>
      <c r="E1178" s="63" t="s">
        <v>389</v>
      </c>
      <c r="F1178" s="63" t="s">
        <v>1221</v>
      </c>
    </row>
    <row r="1179" spans="1:6" x14ac:dyDescent="0.3">
      <c r="B1179" s="63" t="s">
        <v>2693</v>
      </c>
      <c r="C1179" s="63">
        <v>1757505792875</v>
      </c>
      <c r="D1179" s="63" t="s">
        <v>2704</v>
      </c>
      <c r="E1179" s="63" t="s">
        <v>389</v>
      </c>
      <c r="F1179" s="63" t="s">
        <v>1216</v>
      </c>
    </row>
    <row r="1180" spans="1:6" x14ac:dyDescent="0.3">
      <c r="B1180" s="63" t="s">
        <v>2693</v>
      </c>
      <c r="C1180" s="63">
        <v>1757505793189</v>
      </c>
      <c r="D1180" s="63" t="s">
        <v>2705</v>
      </c>
      <c r="E1180" s="63" t="s">
        <v>389</v>
      </c>
      <c r="F1180" s="63" t="s">
        <v>396</v>
      </c>
    </row>
    <row r="1181" spans="1:6" x14ac:dyDescent="0.3">
      <c r="B1181" s="63" t="s">
        <v>2693</v>
      </c>
      <c r="C1181" s="63">
        <v>1757505804387</v>
      </c>
      <c r="D1181" s="63" t="s">
        <v>2706</v>
      </c>
      <c r="E1181" s="63" t="s">
        <v>389</v>
      </c>
      <c r="F1181" s="63" t="s">
        <v>1462</v>
      </c>
    </row>
    <row r="1182" spans="1:6" x14ac:dyDescent="0.3">
      <c r="B1182" s="63" t="s">
        <v>2693</v>
      </c>
      <c r="C1182" s="63">
        <v>1757505806561</v>
      </c>
      <c r="D1182" s="63" t="s">
        <v>2707</v>
      </c>
      <c r="E1182" s="63" t="s">
        <v>389</v>
      </c>
      <c r="F1182" s="63" t="s">
        <v>400</v>
      </c>
    </row>
    <row r="1183" spans="1:6" x14ac:dyDescent="0.3">
      <c r="B1183" s="63" t="s">
        <v>2693</v>
      </c>
      <c r="C1183" s="63">
        <v>1757505819124</v>
      </c>
      <c r="D1183" s="63" t="s">
        <v>2708</v>
      </c>
      <c r="E1183" s="63" t="s">
        <v>389</v>
      </c>
      <c r="F1183" s="63" t="s">
        <v>1559</v>
      </c>
    </row>
    <row r="1184" spans="1:6" x14ac:dyDescent="0.3">
      <c r="B1184" s="63" t="s">
        <v>2693</v>
      </c>
      <c r="C1184" s="63">
        <v>1757505819223</v>
      </c>
      <c r="D1184" s="63" t="s">
        <v>2709</v>
      </c>
      <c r="E1184" s="63" t="s">
        <v>389</v>
      </c>
      <c r="F1184" s="63" t="s">
        <v>1559</v>
      </c>
    </row>
    <row r="1185" spans="2:6" x14ac:dyDescent="0.3">
      <c r="B1185" s="63" t="s">
        <v>2693</v>
      </c>
      <c r="C1185" s="63">
        <v>1757505819297</v>
      </c>
      <c r="D1185" s="63" t="s">
        <v>2710</v>
      </c>
      <c r="E1185" s="63" t="s">
        <v>389</v>
      </c>
      <c r="F1185" s="63" t="s">
        <v>1564</v>
      </c>
    </row>
    <row r="1186" spans="2:6" x14ac:dyDescent="0.3">
      <c r="B1186" s="63" t="s">
        <v>2693</v>
      </c>
      <c r="C1186" s="63">
        <v>1757505819360</v>
      </c>
      <c r="D1186" s="63" t="s">
        <v>2711</v>
      </c>
      <c r="E1186" s="63" t="s">
        <v>389</v>
      </c>
      <c r="F1186" s="63" t="s">
        <v>1562</v>
      </c>
    </row>
    <row r="1187" spans="2:6" x14ac:dyDescent="0.3">
      <c r="B1187" s="63" t="s">
        <v>2693</v>
      </c>
      <c r="C1187" s="63">
        <v>1757505819428</v>
      </c>
      <c r="D1187" s="63" t="s">
        <v>2712</v>
      </c>
      <c r="E1187" s="63" t="s">
        <v>389</v>
      </c>
      <c r="F1187" s="63" t="s">
        <v>1564</v>
      </c>
    </row>
    <row r="1188" spans="2:6" x14ac:dyDescent="0.3">
      <c r="B1188" s="63" t="s">
        <v>2693</v>
      </c>
      <c r="C1188" s="63">
        <v>1757505819480</v>
      </c>
      <c r="D1188" s="63" t="s">
        <v>2713</v>
      </c>
      <c r="E1188" s="63" t="s">
        <v>389</v>
      </c>
      <c r="F1188" s="63" t="s">
        <v>1559</v>
      </c>
    </row>
    <row r="1189" spans="2:6" x14ac:dyDescent="0.3">
      <c r="B1189" s="63" t="s">
        <v>2693</v>
      </c>
      <c r="C1189" s="63">
        <v>1757505819534</v>
      </c>
      <c r="D1189" s="63" t="s">
        <v>2714</v>
      </c>
      <c r="E1189" s="63" t="s">
        <v>389</v>
      </c>
      <c r="F1189" s="63" t="s">
        <v>1559</v>
      </c>
    </row>
    <row r="1190" spans="2:6" x14ac:dyDescent="0.3">
      <c r="B1190" s="63" t="s">
        <v>2693</v>
      </c>
      <c r="C1190" s="63">
        <v>1757505819594</v>
      </c>
      <c r="D1190" s="63" t="s">
        <v>2715</v>
      </c>
      <c r="E1190" s="63" t="s">
        <v>389</v>
      </c>
      <c r="F1190" s="63" t="s">
        <v>1559</v>
      </c>
    </row>
    <row r="1191" spans="2:6" x14ac:dyDescent="0.3">
      <c r="B1191" s="63" t="s">
        <v>2693</v>
      </c>
      <c r="C1191" s="63">
        <v>1757505819653</v>
      </c>
      <c r="D1191" s="63" t="s">
        <v>2716</v>
      </c>
      <c r="E1191" s="63" t="s">
        <v>389</v>
      </c>
      <c r="F1191" s="63" t="s">
        <v>1559</v>
      </c>
    </row>
    <row r="1192" spans="2:6" x14ac:dyDescent="0.3">
      <c r="B1192" s="63" t="s">
        <v>2693</v>
      </c>
      <c r="C1192" s="63">
        <v>1757505819717</v>
      </c>
      <c r="D1192" s="63" t="s">
        <v>2717</v>
      </c>
      <c r="E1192" s="63" t="s">
        <v>389</v>
      </c>
      <c r="F1192" s="63" t="s">
        <v>1559</v>
      </c>
    </row>
    <row r="1193" spans="2:6" x14ac:dyDescent="0.3">
      <c r="B1193" s="63" t="s">
        <v>2693</v>
      </c>
      <c r="C1193" s="63">
        <v>1757505819773</v>
      </c>
      <c r="D1193" s="63" t="s">
        <v>2718</v>
      </c>
      <c r="E1193" s="63" t="s">
        <v>389</v>
      </c>
      <c r="F1193" s="63" t="s">
        <v>1559</v>
      </c>
    </row>
    <row r="1194" spans="2:6" x14ac:dyDescent="0.3">
      <c r="B1194" s="63" t="s">
        <v>2693</v>
      </c>
      <c r="C1194" s="63">
        <v>1757505819831</v>
      </c>
      <c r="D1194" s="63" t="s">
        <v>2719</v>
      </c>
      <c r="E1194" s="63" t="s">
        <v>389</v>
      </c>
      <c r="F1194" s="63" t="s">
        <v>1566</v>
      </c>
    </row>
    <row r="1195" spans="2:6" x14ac:dyDescent="0.3">
      <c r="B1195" s="63" t="s">
        <v>2693</v>
      </c>
      <c r="C1195" s="63">
        <v>1757505819888</v>
      </c>
      <c r="D1195" s="63" t="s">
        <v>2720</v>
      </c>
      <c r="E1195" s="63" t="s">
        <v>389</v>
      </c>
      <c r="F1195" s="63" t="s">
        <v>1566</v>
      </c>
    </row>
    <row r="1196" spans="2:6" x14ac:dyDescent="0.3">
      <c r="B1196" s="63" t="s">
        <v>2693</v>
      </c>
      <c r="C1196" s="63">
        <v>1757505819964</v>
      </c>
      <c r="D1196" s="63" t="s">
        <v>2721</v>
      </c>
      <c r="E1196" s="63" t="s">
        <v>389</v>
      </c>
      <c r="F1196" s="63" t="s">
        <v>1566</v>
      </c>
    </row>
    <row r="1197" spans="2:6" x14ac:dyDescent="0.3">
      <c r="B1197" s="63" t="s">
        <v>2693</v>
      </c>
      <c r="C1197" s="63">
        <v>1757505820027</v>
      </c>
      <c r="D1197" s="63" t="s">
        <v>2722</v>
      </c>
      <c r="E1197" s="63" t="s">
        <v>389</v>
      </c>
      <c r="F1197" s="63" t="s">
        <v>1566</v>
      </c>
    </row>
    <row r="1198" spans="2:6" x14ac:dyDescent="0.3">
      <c r="B1198" s="63" t="s">
        <v>2693</v>
      </c>
      <c r="C1198" s="63">
        <v>1757505820103</v>
      </c>
      <c r="D1198" s="63" t="s">
        <v>2723</v>
      </c>
      <c r="E1198" s="63" t="s">
        <v>389</v>
      </c>
      <c r="F1198" s="63" t="s">
        <v>1566</v>
      </c>
    </row>
    <row r="1199" spans="2:6" x14ac:dyDescent="0.3">
      <c r="B1199" s="63" t="s">
        <v>2693</v>
      </c>
      <c r="C1199" s="63">
        <v>1757505820191</v>
      </c>
      <c r="D1199" s="63" t="s">
        <v>2724</v>
      </c>
      <c r="E1199" s="63" t="s">
        <v>389</v>
      </c>
      <c r="F1199" s="63" t="s">
        <v>1566</v>
      </c>
    </row>
    <row r="1200" spans="2:6" x14ac:dyDescent="0.3">
      <c r="B1200" s="63" t="s">
        <v>2693</v>
      </c>
      <c r="C1200" s="63">
        <v>1757505820287</v>
      </c>
      <c r="D1200" s="63" t="s">
        <v>2725</v>
      </c>
      <c r="E1200" s="63" t="s">
        <v>389</v>
      </c>
      <c r="F1200" s="63" t="s">
        <v>1566</v>
      </c>
    </row>
    <row r="1201" spans="2:6" x14ac:dyDescent="0.3">
      <c r="B1201" s="63" t="s">
        <v>2693</v>
      </c>
      <c r="C1201" s="63">
        <v>1757505820361</v>
      </c>
      <c r="D1201" s="63" t="s">
        <v>2726</v>
      </c>
      <c r="E1201" s="63" t="s">
        <v>389</v>
      </c>
      <c r="F1201" s="63" t="s">
        <v>1566</v>
      </c>
    </row>
    <row r="1202" spans="2:6" x14ac:dyDescent="0.3">
      <c r="B1202" s="63" t="s">
        <v>2693</v>
      </c>
      <c r="C1202" s="63">
        <v>1757505820527</v>
      </c>
      <c r="D1202" s="63" t="s">
        <v>2727</v>
      </c>
      <c r="E1202" s="63" t="s">
        <v>389</v>
      </c>
      <c r="F1202" s="63" t="s">
        <v>1559</v>
      </c>
    </row>
    <row r="1203" spans="2:6" x14ac:dyDescent="0.3">
      <c r="B1203" s="63" t="s">
        <v>2693</v>
      </c>
      <c r="C1203" s="63">
        <v>1757505820612</v>
      </c>
      <c r="D1203" s="63" t="s">
        <v>2728</v>
      </c>
      <c r="E1203" s="63" t="s">
        <v>389</v>
      </c>
      <c r="F1203" s="63" t="s">
        <v>1559</v>
      </c>
    </row>
    <row r="1204" spans="2:6" x14ac:dyDescent="0.3">
      <c r="B1204" s="63" t="s">
        <v>2693</v>
      </c>
      <c r="C1204" s="63">
        <v>1757505820691</v>
      </c>
      <c r="D1204" s="63" t="s">
        <v>2729</v>
      </c>
      <c r="E1204" s="63" t="s">
        <v>389</v>
      </c>
      <c r="F1204" s="63" t="s">
        <v>1559</v>
      </c>
    </row>
    <row r="1205" spans="2:6" x14ac:dyDescent="0.3">
      <c r="B1205" s="63" t="s">
        <v>2693</v>
      </c>
      <c r="C1205" s="63">
        <v>1757505830430</v>
      </c>
      <c r="D1205" s="63" t="s">
        <v>2730</v>
      </c>
      <c r="E1205" s="63" t="s">
        <v>389</v>
      </c>
      <c r="F1205" s="63" t="s">
        <v>2731</v>
      </c>
    </row>
    <row r="1206" spans="2:6" x14ac:dyDescent="0.3">
      <c r="B1206" s="63" t="s">
        <v>2693</v>
      </c>
      <c r="C1206" s="63">
        <v>1757505830504</v>
      </c>
      <c r="D1206" s="63" t="s">
        <v>2732</v>
      </c>
      <c r="E1206" s="63" t="s">
        <v>389</v>
      </c>
      <c r="F1206" s="63" t="s">
        <v>2733</v>
      </c>
    </row>
    <row r="1207" spans="2:6" x14ac:dyDescent="0.3">
      <c r="B1207" s="63" t="s">
        <v>2693</v>
      </c>
      <c r="C1207" s="63">
        <v>1757505830572</v>
      </c>
      <c r="D1207" s="63" t="s">
        <v>2734</v>
      </c>
      <c r="E1207" s="63" t="s">
        <v>389</v>
      </c>
      <c r="F1207" s="63" t="s">
        <v>2735</v>
      </c>
    </row>
    <row r="1208" spans="2:6" x14ac:dyDescent="0.3">
      <c r="B1208" s="63" t="s">
        <v>2693</v>
      </c>
      <c r="C1208" s="63">
        <v>1757505831283</v>
      </c>
      <c r="D1208" s="63" t="s">
        <v>2736</v>
      </c>
      <c r="E1208" s="63" t="s">
        <v>389</v>
      </c>
      <c r="F1208" s="63" t="s">
        <v>2737</v>
      </c>
    </row>
    <row r="1209" spans="2:6" x14ac:dyDescent="0.3">
      <c r="B1209" s="63" t="s">
        <v>2693</v>
      </c>
      <c r="C1209" s="63">
        <v>1757505831355</v>
      </c>
      <c r="D1209" s="63" t="s">
        <v>2738</v>
      </c>
      <c r="E1209" s="63" t="s">
        <v>389</v>
      </c>
      <c r="F1209" s="63" t="s">
        <v>2739</v>
      </c>
    </row>
    <row r="1210" spans="2:6" x14ac:dyDescent="0.3">
      <c r="B1210" s="63" t="s">
        <v>2693</v>
      </c>
      <c r="C1210" s="63">
        <v>1757505831419</v>
      </c>
      <c r="D1210" s="63" t="s">
        <v>2740</v>
      </c>
      <c r="E1210" s="63" t="s">
        <v>389</v>
      </c>
      <c r="F1210" s="63" t="s">
        <v>2735</v>
      </c>
    </row>
    <row r="1211" spans="2:6" x14ac:dyDescent="0.3">
      <c r="B1211" s="63" t="s">
        <v>2693</v>
      </c>
      <c r="C1211" s="63">
        <v>1757505831493</v>
      </c>
      <c r="D1211" s="63" t="s">
        <v>2741</v>
      </c>
      <c r="E1211" s="63" t="s">
        <v>389</v>
      </c>
      <c r="F1211" s="63" t="s">
        <v>2737</v>
      </c>
    </row>
    <row r="1212" spans="2:6" x14ac:dyDescent="0.3">
      <c r="B1212" s="63" t="s">
        <v>2693</v>
      </c>
      <c r="C1212" s="63">
        <v>1757505831557</v>
      </c>
      <c r="D1212" s="63" t="s">
        <v>2742</v>
      </c>
      <c r="E1212" s="63" t="s">
        <v>389</v>
      </c>
      <c r="F1212" s="63" t="s">
        <v>2735</v>
      </c>
    </row>
    <row r="1213" spans="2:6" x14ac:dyDescent="0.3">
      <c r="B1213" s="63" t="s">
        <v>2693</v>
      </c>
      <c r="C1213" s="63">
        <v>1757505833052</v>
      </c>
      <c r="D1213" s="63" t="s">
        <v>2743</v>
      </c>
      <c r="E1213" s="63" t="s">
        <v>389</v>
      </c>
      <c r="F1213" s="63" t="s">
        <v>406</v>
      </c>
    </row>
    <row r="1214" spans="2:6" x14ac:dyDescent="0.3">
      <c r="B1214" s="63" t="s">
        <v>2693</v>
      </c>
      <c r="C1214" s="63">
        <v>1757505840619</v>
      </c>
      <c r="D1214" s="63" t="s">
        <v>2744</v>
      </c>
      <c r="E1214" s="63" t="s">
        <v>389</v>
      </c>
      <c r="F1214" s="63" t="s">
        <v>414</v>
      </c>
    </row>
    <row r="1215" spans="2:6" x14ac:dyDescent="0.3">
      <c r="B1215" s="63" t="s">
        <v>2693</v>
      </c>
      <c r="C1215" s="63">
        <v>1757505843860</v>
      </c>
      <c r="D1215" s="63" t="s">
        <v>2745</v>
      </c>
      <c r="E1215" s="63" t="s">
        <v>389</v>
      </c>
      <c r="F1215" s="63" t="s">
        <v>508</v>
      </c>
    </row>
    <row r="1216" spans="2:6" x14ac:dyDescent="0.3">
      <c r="B1216" s="63" t="s">
        <v>2693</v>
      </c>
      <c r="C1216" s="63">
        <v>1757505845074</v>
      </c>
      <c r="D1216" s="63" t="s">
        <v>2746</v>
      </c>
      <c r="E1216" s="63" t="s">
        <v>389</v>
      </c>
      <c r="F1216" s="63" t="s">
        <v>404</v>
      </c>
    </row>
    <row r="1217" spans="2:6" x14ac:dyDescent="0.3">
      <c r="B1217" s="63" t="s">
        <v>2693</v>
      </c>
      <c r="C1217" s="63">
        <v>1757505847324</v>
      </c>
      <c r="D1217" s="63" t="s">
        <v>2747</v>
      </c>
      <c r="E1217" s="63" t="s">
        <v>389</v>
      </c>
      <c r="F1217" s="63" t="s">
        <v>2748</v>
      </c>
    </row>
    <row r="1218" spans="2:6" x14ac:dyDescent="0.3">
      <c r="B1218" s="63" t="s">
        <v>2693</v>
      </c>
      <c r="C1218" s="63">
        <v>1757505848531</v>
      </c>
      <c r="D1218" s="63" t="s">
        <v>2749</v>
      </c>
      <c r="E1218" s="63" t="s">
        <v>389</v>
      </c>
      <c r="F1218" s="63" t="s">
        <v>2750</v>
      </c>
    </row>
    <row r="1219" spans="2:6" x14ac:dyDescent="0.3">
      <c r="B1219" s="63" t="s">
        <v>2693</v>
      </c>
      <c r="C1219" s="63">
        <v>1757505856130</v>
      </c>
      <c r="D1219" s="63" t="s">
        <v>2751</v>
      </c>
      <c r="E1219" s="63" t="s">
        <v>389</v>
      </c>
      <c r="F1219" s="63" t="s">
        <v>1126</v>
      </c>
    </row>
    <row r="1220" spans="2:6" x14ac:dyDescent="0.3">
      <c r="B1220" s="63" t="s">
        <v>2693</v>
      </c>
      <c r="C1220" s="63">
        <v>1757505863523</v>
      </c>
      <c r="D1220" s="63" t="s">
        <v>2752</v>
      </c>
      <c r="E1220" s="63" t="s">
        <v>389</v>
      </c>
      <c r="F1220" s="63" t="s">
        <v>1763</v>
      </c>
    </row>
    <row r="1221" spans="2:6" x14ac:dyDescent="0.3">
      <c r="B1221" s="63" t="s">
        <v>2693</v>
      </c>
      <c r="C1221" s="63">
        <v>1757505863592</v>
      </c>
      <c r="D1221" s="63" t="s">
        <v>2753</v>
      </c>
      <c r="E1221" s="63" t="s">
        <v>389</v>
      </c>
      <c r="F1221" s="63" t="s">
        <v>1767</v>
      </c>
    </row>
    <row r="1222" spans="2:6" x14ac:dyDescent="0.3">
      <c r="B1222" s="63" t="s">
        <v>2693</v>
      </c>
      <c r="C1222" s="63">
        <v>1757505863666</v>
      </c>
      <c r="D1222" s="63" t="s">
        <v>2754</v>
      </c>
      <c r="E1222" s="63" t="s">
        <v>389</v>
      </c>
      <c r="F1222" s="63" t="s">
        <v>1763</v>
      </c>
    </row>
    <row r="1223" spans="2:6" x14ac:dyDescent="0.3">
      <c r="B1223" s="63" t="s">
        <v>2693</v>
      </c>
      <c r="C1223" s="63">
        <v>1757505863721</v>
      </c>
      <c r="D1223" s="63" t="s">
        <v>2755</v>
      </c>
      <c r="E1223" s="63" t="s">
        <v>389</v>
      </c>
      <c r="F1223" s="63" t="s">
        <v>2756</v>
      </c>
    </row>
    <row r="1224" spans="2:6" x14ac:dyDescent="0.3">
      <c r="B1224" s="63" t="s">
        <v>2693</v>
      </c>
      <c r="C1224" s="63">
        <v>1757505863831</v>
      </c>
      <c r="D1224" s="63" t="s">
        <v>2757</v>
      </c>
      <c r="E1224" s="63" t="s">
        <v>389</v>
      </c>
      <c r="F1224" s="63" t="s">
        <v>1763</v>
      </c>
    </row>
    <row r="1225" spans="2:6" x14ac:dyDescent="0.3">
      <c r="B1225" s="63" t="s">
        <v>2693</v>
      </c>
      <c r="C1225" s="63">
        <v>1757505863881</v>
      </c>
      <c r="D1225" s="63" t="s">
        <v>2758</v>
      </c>
      <c r="E1225" s="63" t="s">
        <v>389</v>
      </c>
      <c r="F1225" s="63" t="s">
        <v>2756</v>
      </c>
    </row>
    <row r="1226" spans="2:6" x14ac:dyDescent="0.3">
      <c r="B1226" s="63" t="s">
        <v>2693</v>
      </c>
      <c r="C1226" s="63">
        <v>1757505864070</v>
      </c>
      <c r="D1226" s="63" t="s">
        <v>2759</v>
      </c>
      <c r="E1226" s="63" t="s">
        <v>389</v>
      </c>
      <c r="F1226" s="63" t="s">
        <v>1765</v>
      </c>
    </row>
    <row r="1227" spans="2:6" x14ac:dyDescent="0.3">
      <c r="B1227" s="63" t="s">
        <v>2693</v>
      </c>
      <c r="C1227" s="63">
        <v>1757505864140</v>
      </c>
      <c r="D1227" s="63" t="s">
        <v>2760</v>
      </c>
      <c r="E1227" s="63" t="s">
        <v>389</v>
      </c>
      <c r="F1227" s="63" t="s">
        <v>2756</v>
      </c>
    </row>
    <row r="1228" spans="2:6" x14ac:dyDescent="0.3">
      <c r="B1228" s="63" t="s">
        <v>2693</v>
      </c>
      <c r="C1228" s="63">
        <v>1757505864211</v>
      </c>
      <c r="D1228" s="63" t="s">
        <v>2761</v>
      </c>
      <c r="E1228" s="63" t="s">
        <v>389</v>
      </c>
      <c r="F1228" s="63" t="s">
        <v>1776</v>
      </c>
    </row>
    <row r="1229" spans="2:6" x14ac:dyDescent="0.3">
      <c r="B1229" s="63" t="s">
        <v>2693</v>
      </c>
      <c r="C1229" s="63">
        <v>1757505864275</v>
      </c>
      <c r="D1229" s="63" t="s">
        <v>2762</v>
      </c>
      <c r="E1229" s="63" t="s">
        <v>389</v>
      </c>
      <c r="F1229" s="63" t="s">
        <v>2756</v>
      </c>
    </row>
    <row r="1230" spans="2:6" x14ac:dyDescent="0.3">
      <c r="B1230" s="63" t="s">
        <v>2693</v>
      </c>
      <c r="C1230" s="63">
        <v>1757505864913</v>
      </c>
      <c r="D1230" s="63" t="s">
        <v>2763</v>
      </c>
      <c r="E1230" s="63" t="s">
        <v>389</v>
      </c>
      <c r="F1230" s="63" t="s">
        <v>410</v>
      </c>
    </row>
    <row r="1231" spans="2:6" x14ac:dyDescent="0.3">
      <c r="B1231" s="63" t="s">
        <v>2693</v>
      </c>
      <c r="C1231" s="63">
        <v>1757505871054</v>
      </c>
      <c r="D1231" s="63" t="s">
        <v>2764</v>
      </c>
      <c r="E1231" s="63" t="s">
        <v>389</v>
      </c>
      <c r="F1231" s="63" t="s">
        <v>979</v>
      </c>
    </row>
    <row r="1232" spans="2:6" x14ac:dyDescent="0.3">
      <c r="B1232" s="63" t="s">
        <v>2693</v>
      </c>
      <c r="C1232" s="63">
        <v>1757505885988</v>
      </c>
      <c r="D1232" s="63" t="s">
        <v>2765</v>
      </c>
      <c r="E1232" s="63" t="s">
        <v>389</v>
      </c>
      <c r="F1232" s="63" t="s">
        <v>495</v>
      </c>
    </row>
    <row r="1233" spans="2:6" x14ac:dyDescent="0.3">
      <c r="B1233" s="63" t="s">
        <v>2693</v>
      </c>
      <c r="C1233" s="63">
        <v>1757505887145</v>
      </c>
      <c r="D1233" s="63" t="s">
        <v>2766</v>
      </c>
      <c r="E1233" s="63" t="s">
        <v>389</v>
      </c>
      <c r="F1233" s="63" t="s">
        <v>1728</v>
      </c>
    </row>
    <row r="1234" spans="2:6" x14ac:dyDescent="0.3">
      <c r="B1234" s="63" t="s">
        <v>2693</v>
      </c>
      <c r="C1234" s="63">
        <v>1757505913049</v>
      </c>
      <c r="D1234" s="63" t="s">
        <v>2767</v>
      </c>
      <c r="E1234" s="63" t="s">
        <v>389</v>
      </c>
      <c r="F1234" s="63" t="s">
        <v>2768</v>
      </c>
    </row>
    <row r="1235" spans="2:6" x14ac:dyDescent="0.3">
      <c r="B1235" s="63" t="s">
        <v>2693</v>
      </c>
      <c r="C1235" s="63">
        <v>1757505914278</v>
      </c>
      <c r="D1235" s="63" t="s">
        <v>2769</v>
      </c>
      <c r="E1235" s="63" t="s">
        <v>389</v>
      </c>
      <c r="F1235" s="63" t="s">
        <v>2017</v>
      </c>
    </row>
    <row r="1236" spans="2:6" x14ac:dyDescent="0.3">
      <c r="B1236" s="63" t="s">
        <v>2693</v>
      </c>
      <c r="C1236" s="63">
        <v>1757505923258</v>
      </c>
      <c r="D1236" s="63" t="s">
        <v>2770</v>
      </c>
      <c r="E1236" s="63" t="s">
        <v>422</v>
      </c>
      <c r="F1236" s="63" t="s">
        <v>420</v>
      </c>
    </row>
    <row r="1237" spans="2:6" x14ac:dyDescent="0.3">
      <c r="B1237" s="63" t="s">
        <v>426</v>
      </c>
      <c r="C1237" s="63">
        <v>1757505940916</v>
      </c>
      <c r="D1237" s="63" t="s">
        <v>2771</v>
      </c>
      <c r="E1237" s="63" t="s">
        <v>428</v>
      </c>
      <c r="F1237" s="63" t="s">
        <v>453</v>
      </c>
    </row>
    <row r="1238" spans="2:6" x14ac:dyDescent="0.3">
      <c r="B1238" s="63" t="s">
        <v>2693</v>
      </c>
      <c r="C1238" s="63">
        <v>1757505943419</v>
      </c>
      <c r="D1238" s="63" t="s">
        <v>2772</v>
      </c>
      <c r="E1238" s="63" t="s">
        <v>520</v>
      </c>
      <c r="F1238" s="63" t="s">
        <v>559</v>
      </c>
    </row>
    <row r="1239" spans="2:6" x14ac:dyDescent="0.3">
      <c r="B1239" s="63" t="s">
        <v>2693</v>
      </c>
      <c r="C1239" s="63">
        <v>1757505950020</v>
      </c>
      <c r="D1239" s="63" t="s">
        <v>2773</v>
      </c>
      <c r="E1239" s="63" t="s">
        <v>525</v>
      </c>
      <c r="F1239" s="63" t="s">
        <v>561</v>
      </c>
    </row>
    <row r="1240" spans="2:6" x14ac:dyDescent="0.3">
      <c r="B1240" s="63" t="s">
        <v>2693</v>
      </c>
      <c r="C1240" s="63">
        <v>1757505959675</v>
      </c>
      <c r="D1240" s="63" t="s">
        <v>2774</v>
      </c>
      <c r="E1240" s="63" t="s">
        <v>424</v>
      </c>
      <c r="F1240" s="63" t="s">
        <v>457</v>
      </c>
    </row>
    <row r="1241" spans="2:6" x14ac:dyDescent="0.3">
      <c r="B1241" s="63" t="s">
        <v>426</v>
      </c>
      <c r="C1241" s="63">
        <v>1757505962316</v>
      </c>
      <c r="D1241" s="63" t="s">
        <v>2775</v>
      </c>
      <c r="E1241" s="63" t="s">
        <v>428</v>
      </c>
      <c r="F1241" s="63" t="s">
        <v>455</v>
      </c>
    </row>
    <row r="1242" spans="2:6" x14ac:dyDescent="0.3">
      <c r="B1242" s="63" t="s">
        <v>2693</v>
      </c>
      <c r="C1242" s="63">
        <v>1757505970154</v>
      </c>
      <c r="D1242" s="63" t="s">
        <v>2776</v>
      </c>
      <c r="E1242" s="63" t="s">
        <v>520</v>
      </c>
      <c r="F1242" s="63" t="s">
        <v>555</v>
      </c>
    </row>
    <row r="1243" spans="2:6" x14ac:dyDescent="0.3">
      <c r="B1243" s="63" t="s">
        <v>2693</v>
      </c>
      <c r="C1243" s="63">
        <v>1757505977885</v>
      </c>
      <c r="D1243" s="63" t="s">
        <v>2777</v>
      </c>
      <c r="E1243" s="63" t="s">
        <v>1438</v>
      </c>
      <c r="F1243" s="63" t="s">
        <v>2778</v>
      </c>
    </row>
    <row r="1244" spans="2:6" x14ac:dyDescent="0.3">
      <c r="B1244" s="63" t="s">
        <v>426</v>
      </c>
      <c r="C1244" s="63">
        <v>1757505978545</v>
      </c>
      <c r="D1244" s="63" t="s">
        <v>2779</v>
      </c>
      <c r="E1244" s="63" t="s">
        <v>428</v>
      </c>
      <c r="F1244" s="63" t="s">
        <v>523</v>
      </c>
    </row>
    <row r="1245" spans="2:6" x14ac:dyDescent="0.3">
      <c r="B1245" s="63" t="s">
        <v>2693</v>
      </c>
      <c r="C1245" s="63">
        <v>1757505986182</v>
      </c>
      <c r="D1245" s="63" t="s">
        <v>2780</v>
      </c>
      <c r="E1245" s="63" t="s">
        <v>525</v>
      </c>
      <c r="F1245" s="63" t="s">
        <v>557</v>
      </c>
    </row>
    <row r="1246" spans="2:6" x14ac:dyDescent="0.3">
      <c r="B1246" s="63" t="s">
        <v>426</v>
      </c>
      <c r="C1246" s="63">
        <v>1757505994067</v>
      </c>
      <c r="D1246" s="63" t="s">
        <v>2781</v>
      </c>
      <c r="E1246" s="63" t="s">
        <v>428</v>
      </c>
      <c r="F1246" s="63" t="s">
        <v>538</v>
      </c>
    </row>
    <row r="1247" spans="2:6" x14ac:dyDescent="0.3">
      <c r="B1247" s="63" t="s">
        <v>2693</v>
      </c>
      <c r="C1247" s="63">
        <v>1757505999891</v>
      </c>
      <c r="D1247" s="63" t="s">
        <v>2782</v>
      </c>
      <c r="E1247" s="63" t="s">
        <v>424</v>
      </c>
      <c r="F1247" s="63" t="s">
        <v>459</v>
      </c>
    </row>
    <row r="1248" spans="2:6" x14ac:dyDescent="0.3">
      <c r="B1248" s="63" t="s">
        <v>2693</v>
      </c>
      <c r="C1248" s="63">
        <v>1757506000984</v>
      </c>
      <c r="D1248" s="63" t="s">
        <v>2783</v>
      </c>
      <c r="E1248" s="63" t="s">
        <v>424</v>
      </c>
      <c r="F1248" s="63" t="s">
        <v>461</v>
      </c>
    </row>
    <row r="1249" spans="2:6" x14ac:dyDescent="0.3">
      <c r="B1249" s="63" t="s">
        <v>2693</v>
      </c>
      <c r="C1249" s="63">
        <v>1757506006324</v>
      </c>
      <c r="D1249" s="63" t="s">
        <v>2784</v>
      </c>
      <c r="E1249" s="63" t="s">
        <v>520</v>
      </c>
      <c r="F1249" s="63" t="s">
        <v>1435</v>
      </c>
    </row>
    <row r="1250" spans="2:6" x14ac:dyDescent="0.3">
      <c r="B1250" s="63" t="s">
        <v>426</v>
      </c>
      <c r="C1250" s="63">
        <v>1757506009606</v>
      </c>
      <c r="D1250" s="63" t="s">
        <v>2785</v>
      </c>
      <c r="E1250" s="63" t="s">
        <v>428</v>
      </c>
      <c r="F1250" s="63" t="s">
        <v>447</v>
      </c>
    </row>
    <row r="1251" spans="2:6" x14ac:dyDescent="0.3">
      <c r="B1251" s="63" t="s">
        <v>426</v>
      </c>
      <c r="C1251" s="63">
        <v>1757506025116</v>
      </c>
      <c r="D1251" s="63" t="s">
        <v>2786</v>
      </c>
      <c r="E1251" s="63" t="s">
        <v>428</v>
      </c>
      <c r="F1251" s="63" t="s">
        <v>435</v>
      </c>
    </row>
    <row r="1252" spans="2:6" x14ac:dyDescent="0.3">
      <c r="B1252" s="63" t="s">
        <v>2693</v>
      </c>
      <c r="C1252" s="63">
        <v>1757506026717</v>
      </c>
      <c r="D1252" s="63" t="s">
        <v>2787</v>
      </c>
      <c r="E1252" s="63" t="s">
        <v>1438</v>
      </c>
      <c r="F1252" s="63" t="s">
        <v>2788</v>
      </c>
    </row>
    <row r="1253" spans="2:6" x14ac:dyDescent="0.3">
      <c r="B1253" s="63" t="s">
        <v>2693</v>
      </c>
      <c r="C1253" s="63">
        <v>1757506034065</v>
      </c>
      <c r="D1253" s="63" t="s">
        <v>2789</v>
      </c>
      <c r="E1253" s="63" t="s">
        <v>525</v>
      </c>
      <c r="F1253" s="63" t="s">
        <v>1443</v>
      </c>
    </row>
    <row r="1254" spans="2:6" x14ac:dyDescent="0.3">
      <c r="B1254" s="63" t="s">
        <v>2693</v>
      </c>
      <c r="C1254" s="63">
        <v>1757506037668</v>
      </c>
      <c r="D1254" s="63" t="s">
        <v>2790</v>
      </c>
      <c r="E1254" s="63" t="s">
        <v>424</v>
      </c>
      <c r="F1254" s="63" t="s">
        <v>445</v>
      </c>
    </row>
    <row r="1255" spans="2:6" x14ac:dyDescent="0.3">
      <c r="B1255" s="63" t="s">
        <v>426</v>
      </c>
      <c r="C1255" s="63">
        <v>1757506040612</v>
      </c>
      <c r="D1255" s="63" t="s">
        <v>2791</v>
      </c>
      <c r="E1255" s="63" t="s">
        <v>428</v>
      </c>
      <c r="F1255" s="63" t="s">
        <v>437</v>
      </c>
    </row>
    <row r="1256" spans="2:6" x14ac:dyDescent="0.3">
      <c r="B1256" s="63" t="s">
        <v>2693</v>
      </c>
      <c r="C1256" s="63">
        <v>1757506043815</v>
      </c>
      <c r="D1256" s="63" t="s">
        <v>2792</v>
      </c>
      <c r="E1256" s="63" t="s">
        <v>424</v>
      </c>
      <c r="F1256" s="63" t="s">
        <v>449</v>
      </c>
    </row>
    <row r="1257" spans="2:6" x14ac:dyDescent="0.3">
      <c r="B1257" s="63" t="s">
        <v>2693</v>
      </c>
      <c r="C1257" s="63">
        <v>1757506054212</v>
      </c>
      <c r="D1257" s="63" t="s">
        <v>2793</v>
      </c>
      <c r="E1257" s="63" t="s">
        <v>520</v>
      </c>
      <c r="F1257" s="63" t="s">
        <v>994</v>
      </c>
    </row>
    <row r="1258" spans="2:6" x14ac:dyDescent="0.3">
      <c r="B1258" s="63" t="s">
        <v>426</v>
      </c>
      <c r="C1258" s="63">
        <v>1757506056883</v>
      </c>
      <c r="D1258" s="63" t="s">
        <v>2794</v>
      </c>
      <c r="E1258" s="63" t="s">
        <v>428</v>
      </c>
      <c r="F1258" s="63" t="s">
        <v>439</v>
      </c>
    </row>
    <row r="1259" spans="2:6" x14ac:dyDescent="0.3">
      <c r="B1259" s="63" t="s">
        <v>2693</v>
      </c>
      <c r="C1259" s="63">
        <v>1757506061710</v>
      </c>
      <c r="D1259" s="63" t="s">
        <v>2795</v>
      </c>
      <c r="E1259" s="63" t="s">
        <v>525</v>
      </c>
      <c r="F1259" s="63" t="s">
        <v>997</v>
      </c>
    </row>
    <row r="1260" spans="2:6" x14ac:dyDescent="0.3">
      <c r="B1260" s="63" t="s">
        <v>2693</v>
      </c>
      <c r="C1260" s="63">
        <v>1757506063862</v>
      </c>
      <c r="D1260" s="63" t="s">
        <v>2796</v>
      </c>
      <c r="E1260" s="63" t="s">
        <v>424</v>
      </c>
      <c r="F1260" s="63" t="s">
        <v>451</v>
      </c>
    </row>
    <row r="1261" spans="2:6" x14ac:dyDescent="0.3">
      <c r="B1261" s="63" t="s">
        <v>426</v>
      </c>
      <c r="C1261" s="63">
        <v>1757506075277</v>
      </c>
      <c r="D1261" s="63" t="s">
        <v>2797</v>
      </c>
      <c r="E1261" s="63" t="s">
        <v>428</v>
      </c>
      <c r="F1261" s="63" t="s">
        <v>429</v>
      </c>
    </row>
    <row r="1262" spans="2:6" x14ac:dyDescent="0.3">
      <c r="B1262" s="63" t="s">
        <v>2693</v>
      </c>
      <c r="C1262" s="63">
        <v>1757506081831</v>
      </c>
      <c r="D1262" s="63" t="s">
        <v>2798</v>
      </c>
      <c r="E1262" s="63" t="s">
        <v>520</v>
      </c>
      <c r="F1262" s="63" t="s">
        <v>1425</v>
      </c>
    </row>
    <row r="1263" spans="2:6" x14ac:dyDescent="0.3">
      <c r="B1263" s="63" t="s">
        <v>2693</v>
      </c>
      <c r="C1263" s="63">
        <v>1757506087302</v>
      </c>
      <c r="D1263" s="63" t="s">
        <v>2799</v>
      </c>
      <c r="E1263" s="63" t="s">
        <v>525</v>
      </c>
      <c r="F1263" s="63" t="s">
        <v>1429</v>
      </c>
    </row>
    <row r="1264" spans="2:6" x14ac:dyDescent="0.3">
      <c r="B1264" s="63" t="s">
        <v>2693</v>
      </c>
      <c r="C1264" s="63">
        <v>1757506090381</v>
      </c>
      <c r="D1264" s="63" t="s">
        <v>2800</v>
      </c>
      <c r="E1264" s="63" t="s">
        <v>424</v>
      </c>
      <c r="F1264" s="63" t="s">
        <v>441</v>
      </c>
    </row>
    <row r="1265" spans="2:6" x14ac:dyDescent="0.3">
      <c r="B1265" s="63" t="s">
        <v>426</v>
      </c>
      <c r="C1265" s="63">
        <v>1757506093271</v>
      </c>
      <c r="D1265" s="63" t="s">
        <v>2801</v>
      </c>
      <c r="E1265" s="63" t="s">
        <v>428</v>
      </c>
      <c r="F1265" s="63" t="s">
        <v>431</v>
      </c>
    </row>
    <row r="1266" spans="2:6" x14ac:dyDescent="0.3">
      <c r="B1266" s="63" t="s">
        <v>2693</v>
      </c>
      <c r="C1266" s="63">
        <v>1757506105257</v>
      </c>
      <c r="D1266" s="63" t="s">
        <v>2802</v>
      </c>
      <c r="E1266" s="63" t="s">
        <v>424</v>
      </c>
      <c r="F1266" s="63" t="s">
        <v>433</v>
      </c>
    </row>
    <row r="1267" spans="2:6" x14ac:dyDescent="0.3">
      <c r="B1267" s="63" t="s">
        <v>2693</v>
      </c>
      <c r="C1267" s="63">
        <v>1757506107436</v>
      </c>
      <c r="D1267" s="63" t="s">
        <v>2803</v>
      </c>
      <c r="E1267" s="63" t="s">
        <v>520</v>
      </c>
      <c r="F1267" s="63" t="s">
        <v>1631</v>
      </c>
    </row>
    <row r="1268" spans="2:6" x14ac:dyDescent="0.3">
      <c r="B1268" s="63" t="s">
        <v>2693</v>
      </c>
      <c r="C1268" s="63">
        <v>1757506111100</v>
      </c>
      <c r="D1268" s="63" t="s">
        <v>2804</v>
      </c>
      <c r="E1268" s="63" t="s">
        <v>525</v>
      </c>
      <c r="F1268" s="63" t="s">
        <v>1633</v>
      </c>
    </row>
    <row r="1269" spans="2:6" x14ac:dyDescent="0.3">
      <c r="B1269" s="63" t="s">
        <v>2693</v>
      </c>
      <c r="C1269" s="63">
        <v>1757506113073</v>
      </c>
      <c r="D1269" s="63" t="s">
        <v>2805</v>
      </c>
      <c r="E1269" s="63" t="s">
        <v>463</v>
      </c>
      <c r="F1269" s="63" t="s">
        <v>464</v>
      </c>
    </row>
    <row r="1270" spans="2:6" x14ac:dyDescent="0.3">
      <c r="B1270" s="76" t="s">
        <v>2806</v>
      </c>
      <c r="C1270" s="76">
        <v>1757506125255</v>
      </c>
      <c r="D1270" s="76" t="s">
        <v>2807</v>
      </c>
      <c r="E1270" s="76" t="s">
        <v>416</v>
      </c>
      <c r="F1270" s="76" t="s">
        <v>573</v>
      </c>
    </row>
    <row r="1271" spans="2:6" x14ac:dyDescent="0.3">
      <c r="B1271" s="76" t="s">
        <v>2806</v>
      </c>
      <c r="C1271" s="76">
        <v>1757506125379</v>
      </c>
      <c r="D1271" s="76" t="s">
        <v>2808</v>
      </c>
      <c r="E1271" s="76" t="s">
        <v>468</v>
      </c>
      <c r="F1271" s="76" t="s">
        <v>2809</v>
      </c>
    </row>
    <row r="1272" spans="2:6" x14ac:dyDescent="0.3">
      <c r="B1272" s="76" t="s">
        <v>2806</v>
      </c>
      <c r="C1272" s="76">
        <v>1757506125896</v>
      </c>
      <c r="D1272" s="76" t="s">
        <v>2810</v>
      </c>
      <c r="E1272" s="76" t="s">
        <v>419</v>
      </c>
      <c r="F1272" s="76" t="s">
        <v>420</v>
      </c>
    </row>
    <row r="1273" spans="2:6" x14ac:dyDescent="0.3">
      <c r="B1273" s="76" t="s">
        <v>2806</v>
      </c>
      <c r="C1273" s="76">
        <v>1757506197660</v>
      </c>
      <c r="D1273" s="76" t="s">
        <v>2811</v>
      </c>
      <c r="E1273" s="76" t="s">
        <v>389</v>
      </c>
      <c r="F1273" s="76" t="s">
        <v>1146</v>
      </c>
    </row>
    <row r="1274" spans="2:6" x14ac:dyDescent="0.3">
      <c r="B1274" s="76" t="s">
        <v>2806</v>
      </c>
      <c r="C1274" s="76">
        <v>1757506198551</v>
      </c>
      <c r="D1274" s="76" t="s">
        <v>2812</v>
      </c>
      <c r="E1274" s="76" t="s">
        <v>389</v>
      </c>
      <c r="F1274" s="76" t="s">
        <v>1139</v>
      </c>
    </row>
    <row r="1275" spans="2:6" x14ac:dyDescent="0.3">
      <c r="B1275" s="76" t="s">
        <v>2806</v>
      </c>
      <c r="C1275" s="76">
        <v>1757506198634</v>
      </c>
      <c r="D1275" s="76" t="s">
        <v>2813</v>
      </c>
      <c r="E1275" s="76" t="s">
        <v>389</v>
      </c>
      <c r="F1275" s="76" t="s">
        <v>1141</v>
      </c>
    </row>
    <row r="1276" spans="2:6" x14ac:dyDescent="0.3">
      <c r="B1276" s="76" t="s">
        <v>2806</v>
      </c>
      <c r="C1276" s="76">
        <v>1757506198741</v>
      </c>
      <c r="D1276" s="76" t="s">
        <v>2814</v>
      </c>
      <c r="E1276" s="76" t="s">
        <v>389</v>
      </c>
      <c r="F1276" s="76" t="s">
        <v>1139</v>
      </c>
    </row>
    <row r="1277" spans="2:6" x14ac:dyDescent="0.3">
      <c r="B1277" s="76" t="s">
        <v>2806</v>
      </c>
      <c r="C1277" s="76">
        <v>1757506210633</v>
      </c>
      <c r="D1277" s="76" t="s">
        <v>2815</v>
      </c>
      <c r="E1277" s="76" t="s">
        <v>389</v>
      </c>
      <c r="F1277" s="76" t="s">
        <v>1926</v>
      </c>
    </row>
    <row r="1278" spans="2:6" x14ac:dyDescent="0.3">
      <c r="B1278" s="76" t="s">
        <v>2806</v>
      </c>
      <c r="C1278" s="76">
        <v>1757506210712</v>
      </c>
      <c r="D1278" s="76" t="s">
        <v>2816</v>
      </c>
      <c r="E1278" s="76" t="s">
        <v>389</v>
      </c>
      <c r="F1278" s="76" t="s">
        <v>2817</v>
      </c>
    </row>
    <row r="1279" spans="2:6" x14ac:dyDescent="0.3">
      <c r="B1279" s="76" t="s">
        <v>2806</v>
      </c>
      <c r="C1279" s="76">
        <v>1757506210778</v>
      </c>
      <c r="D1279" s="76" t="s">
        <v>2818</v>
      </c>
      <c r="E1279" s="76" t="s">
        <v>389</v>
      </c>
      <c r="F1279" s="76" t="s">
        <v>2017</v>
      </c>
    </row>
    <row r="1280" spans="2:6" x14ac:dyDescent="0.3">
      <c r="B1280" s="76" t="s">
        <v>2806</v>
      </c>
      <c r="C1280" s="76">
        <v>1757506210899</v>
      </c>
      <c r="D1280" s="76" t="s">
        <v>2819</v>
      </c>
      <c r="E1280" s="76" t="s">
        <v>389</v>
      </c>
      <c r="F1280" s="76" t="s">
        <v>1926</v>
      </c>
    </row>
    <row r="1281" spans="2:6" x14ac:dyDescent="0.3">
      <c r="B1281" s="76" t="s">
        <v>2806</v>
      </c>
      <c r="C1281" s="76">
        <v>1757506211331</v>
      </c>
      <c r="D1281" s="76" t="s">
        <v>2820</v>
      </c>
      <c r="E1281" s="76" t="s">
        <v>389</v>
      </c>
      <c r="F1281" s="76" t="s">
        <v>2017</v>
      </c>
    </row>
    <row r="1282" spans="2:6" x14ac:dyDescent="0.3">
      <c r="B1282" s="76" t="s">
        <v>2806</v>
      </c>
      <c r="C1282" s="76">
        <v>1757506211419</v>
      </c>
      <c r="D1282" s="76" t="s">
        <v>2821</v>
      </c>
      <c r="E1282" s="76" t="s">
        <v>389</v>
      </c>
      <c r="F1282" s="76" t="s">
        <v>1689</v>
      </c>
    </row>
    <row r="1283" spans="2:6" x14ac:dyDescent="0.3">
      <c r="B1283" s="76" t="s">
        <v>2806</v>
      </c>
      <c r="C1283" s="76">
        <v>1757506211490</v>
      </c>
      <c r="D1283" s="76" t="s">
        <v>2822</v>
      </c>
      <c r="E1283" s="76" t="s">
        <v>389</v>
      </c>
      <c r="F1283" s="76" t="s">
        <v>2017</v>
      </c>
    </row>
    <row r="1284" spans="2:6" x14ac:dyDescent="0.3">
      <c r="B1284" s="76" t="s">
        <v>2806</v>
      </c>
      <c r="C1284" s="76">
        <v>1757506220797</v>
      </c>
      <c r="D1284" s="76" t="s">
        <v>2823</v>
      </c>
      <c r="E1284" s="76" t="s">
        <v>422</v>
      </c>
      <c r="F1284" s="76" t="s">
        <v>420</v>
      </c>
    </row>
    <row r="1285" spans="2:6" x14ac:dyDescent="0.3">
      <c r="B1285" s="76" t="s">
        <v>426</v>
      </c>
      <c r="C1285" s="76">
        <v>1757506235527</v>
      </c>
      <c r="D1285" s="76" t="s">
        <v>2824</v>
      </c>
      <c r="E1285" s="76" t="s">
        <v>428</v>
      </c>
      <c r="F1285" s="76" t="s">
        <v>453</v>
      </c>
    </row>
    <row r="1286" spans="2:6" x14ac:dyDescent="0.3">
      <c r="B1286" s="76" t="s">
        <v>2806</v>
      </c>
      <c r="C1286" s="76">
        <v>1757506240944</v>
      </c>
      <c r="D1286" s="76" t="s">
        <v>2825</v>
      </c>
      <c r="E1286" s="76" t="s">
        <v>520</v>
      </c>
      <c r="F1286" s="76" t="s">
        <v>521</v>
      </c>
    </row>
    <row r="1287" spans="2:6" x14ac:dyDescent="0.3">
      <c r="B1287" s="76" t="s">
        <v>2806</v>
      </c>
      <c r="C1287" s="76">
        <v>1757506249374</v>
      </c>
      <c r="D1287" s="76" t="s">
        <v>2826</v>
      </c>
      <c r="E1287" s="76" t="s">
        <v>525</v>
      </c>
      <c r="F1287" s="76" t="s">
        <v>526</v>
      </c>
    </row>
    <row r="1288" spans="2:6" x14ac:dyDescent="0.3">
      <c r="B1288" s="76" t="s">
        <v>2806</v>
      </c>
      <c r="C1288" s="76">
        <v>1757506251485</v>
      </c>
      <c r="D1288" s="76" t="s">
        <v>2827</v>
      </c>
      <c r="E1288" s="76" t="s">
        <v>424</v>
      </c>
      <c r="F1288" s="76" t="s">
        <v>457</v>
      </c>
    </row>
    <row r="1289" spans="2:6" x14ac:dyDescent="0.3">
      <c r="B1289" s="76" t="s">
        <v>426</v>
      </c>
      <c r="C1289" s="76">
        <v>1757506256907</v>
      </c>
      <c r="D1289" s="76" t="s">
        <v>2828</v>
      </c>
      <c r="E1289" s="76" t="s">
        <v>428</v>
      </c>
      <c r="F1289" s="76" t="s">
        <v>455</v>
      </c>
    </row>
    <row r="1290" spans="2:6" x14ac:dyDescent="0.3">
      <c r="B1290" s="76" t="s">
        <v>2806</v>
      </c>
      <c r="C1290" s="76">
        <v>1757506269498</v>
      </c>
      <c r="D1290" s="76" t="s">
        <v>2829</v>
      </c>
      <c r="E1290" s="76" t="s">
        <v>520</v>
      </c>
      <c r="F1290" s="76" t="s">
        <v>1975</v>
      </c>
    </row>
    <row r="1291" spans="2:6" x14ac:dyDescent="0.3">
      <c r="B1291" s="76" t="s">
        <v>426</v>
      </c>
      <c r="C1291" s="76">
        <v>1757506271738</v>
      </c>
      <c r="D1291" s="76" t="s">
        <v>2830</v>
      </c>
      <c r="E1291" s="76" t="s">
        <v>428</v>
      </c>
      <c r="F1291" s="76" t="s">
        <v>447</v>
      </c>
    </row>
    <row r="1292" spans="2:6" x14ac:dyDescent="0.3">
      <c r="B1292" s="76" t="s">
        <v>2806</v>
      </c>
      <c r="C1292" s="76">
        <v>1757506281077</v>
      </c>
      <c r="D1292" s="76" t="s">
        <v>2831</v>
      </c>
      <c r="E1292" s="76" t="s">
        <v>525</v>
      </c>
      <c r="F1292" s="76" t="s">
        <v>1977</v>
      </c>
    </row>
    <row r="1293" spans="2:6" x14ac:dyDescent="0.3">
      <c r="B1293" s="76" t="s">
        <v>426</v>
      </c>
      <c r="C1293" s="76">
        <v>1757506290907</v>
      </c>
      <c r="D1293" s="76" t="s">
        <v>2832</v>
      </c>
      <c r="E1293" s="76" t="s">
        <v>428</v>
      </c>
      <c r="F1293" s="76" t="s">
        <v>435</v>
      </c>
    </row>
    <row r="1294" spans="2:6" x14ac:dyDescent="0.3">
      <c r="B1294" s="76" t="s">
        <v>2806</v>
      </c>
      <c r="C1294" s="76">
        <v>1757506292339</v>
      </c>
      <c r="D1294" s="76" t="s">
        <v>2833</v>
      </c>
      <c r="E1294" s="76" t="s">
        <v>424</v>
      </c>
      <c r="F1294" s="76" t="s">
        <v>459</v>
      </c>
    </row>
    <row r="1295" spans="2:6" x14ac:dyDescent="0.3">
      <c r="B1295" s="76" t="s">
        <v>2806</v>
      </c>
      <c r="C1295" s="76">
        <v>1757506294574</v>
      </c>
      <c r="D1295" s="76" t="s">
        <v>2834</v>
      </c>
      <c r="E1295" s="76" t="s">
        <v>424</v>
      </c>
      <c r="F1295" s="76" t="s">
        <v>461</v>
      </c>
    </row>
    <row r="1296" spans="2:6" x14ac:dyDescent="0.3">
      <c r="B1296" s="76" t="s">
        <v>2806</v>
      </c>
      <c r="C1296" s="76">
        <v>1757506301200</v>
      </c>
      <c r="D1296" s="76" t="s">
        <v>2835</v>
      </c>
      <c r="E1296" s="76" t="s">
        <v>520</v>
      </c>
      <c r="F1296" s="76" t="s">
        <v>1448</v>
      </c>
    </row>
    <row r="1297" spans="2:6" x14ac:dyDescent="0.3">
      <c r="B1297" s="76" t="s">
        <v>2806</v>
      </c>
      <c r="C1297" s="76">
        <v>1757506305759</v>
      </c>
      <c r="D1297" s="76" t="s">
        <v>2836</v>
      </c>
      <c r="E1297" s="76" t="s">
        <v>525</v>
      </c>
      <c r="F1297" s="76" t="s">
        <v>1450</v>
      </c>
    </row>
    <row r="1298" spans="2:6" x14ac:dyDescent="0.3">
      <c r="B1298" s="76" t="s">
        <v>2806</v>
      </c>
      <c r="C1298" s="76">
        <v>1757506306936</v>
      </c>
      <c r="D1298" s="76" t="s">
        <v>2837</v>
      </c>
      <c r="E1298" s="76" t="s">
        <v>424</v>
      </c>
      <c r="F1298" s="76" t="s">
        <v>449</v>
      </c>
    </row>
    <row r="1299" spans="2:6" x14ac:dyDescent="0.3">
      <c r="B1299" s="76" t="s">
        <v>426</v>
      </c>
      <c r="C1299" s="76">
        <v>1757506310044</v>
      </c>
      <c r="D1299" s="76" t="s">
        <v>2838</v>
      </c>
      <c r="E1299" s="76" t="s">
        <v>428</v>
      </c>
      <c r="F1299" s="76" t="s">
        <v>437</v>
      </c>
    </row>
    <row r="1300" spans="2:6" x14ac:dyDescent="0.3">
      <c r="B1300" s="76" t="s">
        <v>2806</v>
      </c>
      <c r="C1300" s="76">
        <v>1757506313234</v>
      </c>
      <c r="D1300" s="76" t="s">
        <v>2839</v>
      </c>
      <c r="E1300" s="76" t="s">
        <v>424</v>
      </c>
      <c r="F1300" s="76" t="s">
        <v>451</v>
      </c>
    </row>
    <row r="1301" spans="2:6" x14ac:dyDescent="0.3">
      <c r="B1301" s="76" t="s">
        <v>2806</v>
      </c>
      <c r="C1301" s="76">
        <v>1757506322948</v>
      </c>
      <c r="D1301" s="76" t="s">
        <v>2840</v>
      </c>
      <c r="E1301" s="76" t="s">
        <v>424</v>
      </c>
      <c r="F1301" s="76" t="s">
        <v>553</v>
      </c>
    </row>
    <row r="1302" spans="2:6" x14ac:dyDescent="0.3">
      <c r="B1302" s="76" t="s">
        <v>2806</v>
      </c>
      <c r="C1302" s="76">
        <v>1757506325883</v>
      </c>
      <c r="D1302" s="76" t="s">
        <v>2841</v>
      </c>
      <c r="E1302" s="76" t="s">
        <v>520</v>
      </c>
      <c r="F1302" s="76" t="s">
        <v>2268</v>
      </c>
    </row>
    <row r="1303" spans="2:6" x14ac:dyDescent="0.3">
      <c r="B1303" s="76" t="s">
        <v>426</v>
      </c>
      <c r="C1303" s="76">
        <v>1757506326970</v>
      </c>
      <c r="D1303" s="76" t="s">
        <v>2842</v>
      </c>
      <c r="E1303" s="76" t="s">
        <v>428</v>
      </c>
      <c r="F1303" s="76" t="s">
        <v>523</v>
      </c>
    </row>
    <row r="1304" spans="2:6" x14ac:dyDescent="0.3">
      <c r="B1304" s="76" t="s">
        <v>426</v>
      </c>
      <c r="C1304" s="76">
        <v>1757506343194</v>
      </c>
      <c r="D1304" s="76" t="s">
        <v>2843</v>
      </c>
      <c r="E1304" s="76" t="s">
        <v>428</v>
      </c>
      <c r="F1304" s="76" t="s">
        <v>538</v>
      </c>
    </row>
    <row r="1305" spans="2:6" x14ac:dyDescent="0.3">
      <c r="B1305" s="76" t="s">
        <v>2806</v>
      </c>
      <c r="C1305" s="76">
        <v>1757506345399</v>
      </c>
      <c r="D1305" s="76" t="s">
        <v>2844</v>
      </c>
      <c r="E1305" s="76" t="s">
        <v>525</v>
      </c>
      <c r="F1305" s="76" t="s">
        <v>2270</v>
      </c>
    </row>
    <row r="1306" spans="2:6" x14ac:dyDescent="0.3">
      <c r="B1306" s="76" t="s">
        <v>426</v>
      </c>
      <c r="C1306" s="76">
        <v>1757506358747</v>
      </c>
      <c r="D1306" s="76" t="s">
        <v>2845</v>
      </c>
      <c r="E1306" s="76" t="s">
        <v>428</v>
      </c>
      <c r="F1306" s="76" t="s">
        <v>429</v>
      </c>
    </row>
    <row r="1307" spans="2:6" x14ac:dyDescent="0.3">
      <c r="B1307" s="76" t="s">
        <v>2806</v>
      </c>
      <c r="C1307" s="76">
        <v>1757506360471</v>
      </c>
      <c r="D1307" s="76" t="s">
        <v>2846</v>
      </c>
      <c r="E1307" s="76" t="s">
        <v>424</v>
      </c>
      <c r="F1307" s="76" t="s">
        <v>441</v>
      </c>
    </row>
    <row r="1308" spans="2:6" x14ac:dyDescent="0.3">
      <c r="B1308" s="76" t="s">
        <v>2806</v>
      </c>
      <c r="C1308" s="76">
        <v>1757506365531</v>
      </c>
      <c r="D1308" s="76" t="s">
        <v>2847</v>
      </c>
      <c r="E1308" s="76" t="s">
        <v>520</v>
      </c>
      <c r="F1308" s="76" t="s">
        <v>2421</v>
      </c>
    </row>
    <row r="1309" spans="2:6" x14ac:dyDescent="0.3">
      <c r="B1309" s="76" t="s">
        <v>2806</v>
      </c>
      <c r="C1309" s="76">
        <v>1757506373172</v>
      </c>
      <c r="D1309" s="76" t="s">
        <v>2848</v>
      </c>
      <c r="E1309" s="76" t="s">
        <v>525</v>
      </c>
      <c r="F1309" s="76" t="s">
        <v>2424</v>
      </c>
    </row>
    <row r="1310" spans="2:6" x14ac:dyDescent="0.3">
      <c r="B1310" s="76" t="s">
        <v>426</v>
      </c>
      <c r="C1310" s="76">
        <v>1757506374258</v>
      </c>
      <c r="D1310" s="76" t="s">
        <v>2849</v>
      </c>
      <c r="E1310" s="76" t="s">
        <v>428</v>
      </c>
      <c r="F1310" s="76" t="s">
        <v>431</v>
      </c>
    </row>
    <row r="1311" spans="2:6" x14ac:dyDescent="0.3">
      <c r="B1311" s="76" t="s">
        <v>2806</v>
      </c>
      <c r="C1311" s="76">
        <v>1757506375234</v>
      </c>
      <c r="D1311" s="76" t="s">
        <v>2850</v>
      </c>
      <c r="E1311" s="76" t="s">
        <v>424</v>
      </c>
      <c r="F1311" s="76" t="s">
        <v>445</v>
      </c>
    </row>
    <row r="1312" spans="2:6" x14ac:dyDescent="0.3">
      <c r="B1312" s="76" t="s">
        <v>2806</v>
      </c>
      <c r="C1312" s="76">
        <v>1757506385034</v>
      </c>
      <c r="D1312" s="76" t="s">
        <v>2851</v>
      </c>
      <c r="E1312" s="76" t="s">
        <v>424</v>
      </c>
      <c r="F1312" s="76" t="s">
        <v>433</v>
      </c>
    </row>
    <row r="1313" spans="1:6" x14ac:dyDescent="0.3">
      <c r="B1313" s="76" t="s">
        <v>2806</v>
      </c>
      <c r="C1313" s="76">
        <v>1757506386269</v>
      </c>
      <c r="D1313" s="76" t="s">
        <v>2852</v>
      </c>
      <c r="E1313" s="76" t="s">
        <v>463</v>
      </c>
      <c r="F1313" s="76" t="s">
        <v>464</v>
      </c>
    </row>
    <row r="1314" spans="1:6" ht="21" x14ac:dyDescent="0.4">
      <c r="A1314" s="69" t="s">
        <v>48</v>
      </c>
      <c r="B1314" s="63" t="s">
        <v>2948</v>
      </c>
      <c r="C1314" s="63">
        <v>1757515016267</v>
      </c>
      <c r="D1314" s="63" t="s">
        <v>2949</v>
      </c>
      <c r="E1314" s="63" t="s">
        <v>416</v>
      </c>
      <c r="F1314" t="s">
        <v>492</v>
      </c>
    </row>
    <row r="1315" spans="1:6" x14ac:dyDescent="0.3">
      <c r="B1315" s="63" t="s">
        <v>2948</v>
      </c>
      <c r="C1315" s="63">
        <v>1757515016769</v>
      </c>
      <c r="D1315" s="63" t="s">
        <v>2950</v>
      </c>
      <c r="E1315" s="63" t="s">
        <v>419</v>
      </c>
      <c r="F1315" t="s">
        <v>420</v>
      </c>
    </row>
    <row r="1316" spans="1:6" x14ac:dyDescent="0.3">
      <c r="B1316" s="63" t="s">
        <v>2948</v>
      </c>
      <c r="C1316" s="63">
        <v>1757515090884</v>
      </c>
      <c r="D1316" s="63" t="s">
        <v>2951</v>
      </c>
      <c r="E1316" s="63" t="s">
        <v>389</v>
      </c>
      <c r="F1316" t="s">
        <v>2737</v>
      </c>
    </row>
    <row r="1317" spans="1:6" x14ac:dyDescent="0.3">
      <c r="B1317" s="63" t="s">
        <v>2948</v>
      </c>
      <c r="C1317" s="63">
        <v>1757515091003</v>
      </c>
      <c r="D1317" s="63" t="s">
        <v>2952</v>
      </c>
      <c r="E1317" s="63" t="s">
        <v>389</v>
      </c>
      <c r="F1317" t="s">
        <v>2739</v>
      </c>
    </row>
    <row r="1318" spans="1:6" x14ac:dyDescent="0.3">
      <c r="B1318" s="63" t="s">
        <v>2948</v>
      </c>
      <c r="C1318" s="63">
        <v>1757515091133</v>
      </c>
      <c r="D1318" s="63" t="s">
        <v>2953</v>
      </c>
      <c r="E1318" s="63" t="s">
        <v>389</v>
      </c>
      <c r="F1318" s="63" t="s">
        <v>2856</v>
      </c>
    </row>
    <row r="1319" spans="1:6" x14ac:dyDescent="0.3">
      <c r="B1319" s="63" t="s">
        <v>2948</v>
      </c>
      <c r="C1319" s="63">
        <v>1757515091215</v>
      </c>
      <c r="D1319" s="63" t="s">
        <v>2954</v>
      </c>
      <c r="E1319" s="63" t="s">
        <v>389</v>
      </c>
      <c r="F1319" s="63" t="s">
        <v>2737</v>
      </c>
    </row>
    <row r="1320" spans="1:6" x14ac:dyDescent="0.3">
      <c r="B1320" s="63" t="s">
        <v>2948</v>
      </c>
      <c r="C1320" s="63">
        <v>1757515091269</v>
      </c>
      <c r="D1320" s="63" t="s">
        <v>2955</v>
      </c>
      <c r="E1320" s="63" t="s">
        <v>389</v>
      </c>
      <c r="F1320" s="63" t="s">
        <v>2739</v>
      </c>
    </row>
    <row r="1321" spans="1:6" x14ac:dyDescent="0.3">
      <c r="B1321" s="63" t="s">
        <v>2948</v>
      </c>
      <c r="C1321" s="63">
        <v>1757515091324</v>
      </c>
      <c r="D1321" s="63" t="s">
        <v>2956</v>
      </c>
      <c r="E1321" s="63" t="s">
        <v>389</v>
      </c>
      <c r="F1321" s="63" t="s">
        <v>2856</v>
      </c>
    </row>
    <row r="1322" spans="1:6" x14ac:dyDescent="0.3">
      <c r="B1322" s="63" t="s">
        <v>2948</v>
      </c>
      <c r="C1322" s="63">
        <v>1757515091368</v>
      </c>
      <c r="D1322" s="63" t="s">
        <v>2957</v>
      </c>
      <c r="E1322" s="63" t="s">
        <v>389</v>
      </c>
      <c r="F1322" s="63" t="s">
        <v>2739</v>
      </c>
    </row>
    <row r="1323" spans="1:6" x14ac:dyDescent="0.3">
      <c r="B1323" s="63" t="s">
        <v>2948</v>
      </c>
      <c r="C1323" s="63">
        <v>1757515091413</v>
      </c>
      <c r="D1323" s="63" t="s">
        <v>2958</v>
      </c>
      <c r="E1323" s="63" t="s">
        <v>389</v>
      </c>
      <c r="F1323" s="63" t="s">
        <v>406</v>
      </c>
    </row>
    <row r="1324" spans="1:6" x14ac:dyDescent="0.3">
      <c r="B1324" s="63" t="s">
        <v>2948</v>
      </c>
      <c r="C1324" s="63">
        <v>1757515091522</v>
      </c>
      <c r="D1324" s="63" t="s">
        <v>2959</v>
      </c>
      <c r="E1324" s="63" t="s">
        <v>389</v>
      </c>
      <c r="F1324" s="63" t="s">
        <v>1601</v>
      </c>
    </row>
    <row r="1325" spans="1:6" x14ac:dyDescent="0.3">
      <c r="B1325" s="63" t="s">
        <v>2948</v>
      </c>
      <c r="C1325" s="63">
        <v>1757515091582</v>
      </c>
      <c r="D1325" s="63" t="s">
        <v>2960</v>
      </c>
      <c r="E1325" s="63" t="s">
        <v>389</v>
      </c>
      <c r="F1325" s="63" t="s">
        <v>2731</v>
      </c>
    </row>
    <row r="1326" spans="1:6" x14ac:dyDescent="0.3">
      <c r="B1326" s="63" t="s">
        <v>2948</v>
      </c>
      <c r="C1326" s="63">
        <v>1757515091650</v>
      </c>
      <c r="D1326" s="63" t="s">
        <v>2961</v>
      </c>
      <c r="E1326" s="63" t="s">
        <v>389</v>
      </c>
      <c r="F1326" s="63" t="s">
        <v>2962</v>
      </c>
    </row>
    <row r="1327" spans="1:6" x14ac:dyDescent="0.3">
      <c r="B1327" s="63" t="s">
        <v>2948</v>
      </c>
      <c r="C1327" s="63">
        <v>1757515091719</v>
      </c>
      <c r="D1327" s="63" t="s">
        <v>2963</v>
      </c>
      <c r="E1327" s="63" t="s">
        <v>389</v>
      </c>
      <c r="F1327" s="63" t="s">
        <v>511</v>
      </c>
    </row>
    <row r="1328" spans="1:6" x14ac:dyDescent="0.3">
      <c r="B1328" s="63" t="s">
        <v>2948</v>
      </c>
      <c r="C1328" s="63">
        <v>1757515091824</v>
      </c>
      <c r="D1328" s="63" t="s">
        <v>2964</v>
      </c>
      <c r="E1328" s="63" t="s">
        <v>389</v>
      </c>
      <c r="F1328" s="63" t="s">
        <v>2962</v>
      </c>
    </row>
    <row r="1329" spans="2:6" x14ac:dyDescent="0.3">
      <c r="B1329" s="63" t="s">
        <v>2948</v>
      </c>
      <c r="C1329" s="63">
        <v>1757515091923</v>
      </c>
      <c r="D1329" s="63" t="s">
        <v>2965</v>
      </c>
      <c r="E1329" s="63" t="s">
        <v>389</v>
      </c>
      <c r="F1329" s="63" t="s">
        <v>2735</v>
      </c>
    </row>
    <row r="1330" spans="2:6" x14ac:dyDescent="0.3">
      <c r="B1330" s="63" t="s">
        <v>2948</v>
      </c>
      <c r="C1330" s="63">
        <v>1757515091996</v>
      </c>
      <c r="D1330" s="63" t="s">
        <v>2966</v>
      </c>
      <c r="E1330" s="63" t="s">
        <v>389</v>
      </c>
      <c r="F1330" s="63" t="s">
        <v>2737</v>
      </c>
    </row>
    <row r="1331" spans="2:6" x14ac:dyDescent="0.3">
      <c r="B1331" s="63" t="s">
        <v>2948</v>
      </c>
      <c r="C1331" s="63">
        <v>1757515092037</v>
      </c>
      <c r="D1331" s="63" t="s">
        <v>2967</v>
      </c>
      <c r="E1331" s="63" t="s">
        <v>389</v>
      </c>
      <c r="F1331" s="63" t="s">
        <v>2735</v>
      </c>
    </row>
    <row r="1332" spans="2:6" x14ac:dyDescent="0.3">
      <c r="B1332" s="63" t="s">
        <v>2948</v>
      </c>
      <c r="C1332" s="63">
        <v>1757515092092</v>
      </c>
      <c r="D1332" s="63" t="s">
        <v>2968</v>
      </c>
      <c r="E1332" s="63" t="s">
        <v>389</v>
      </c>
      <c r="F1332" s="63" t="s">
        <v>2737</v>
      </c>
    </row>
    <row r="1333" spans="2:6" x14ac:dyDescent="0.3">
      <c r="B1333" s="63" t="s">
        <v>2948</v>
      </c>
      <c r="C1333" s="63">
        <v>1757515092155</v>
      </c>
      <c r="D1333" s="63" t="s">
        <v>2969</v>
      </c>
      <c r="E1333" s="63" t="s">
        <v>389</v>
      </c>
      <c r="F1333" s="63" t="s">
        <v>2739</v>
      </c>
    </row>
    <row r="1334" spans="2:6" x14ac:dyDescent="0.3">
      <c r="B1334" s="63" t="s">
        <v>2948</v>
      </c>
      <c r="C1334" s="63">
        <v>1757515092211</v>
      </c>
      <c r="D1334" s="63" t="s">
        <v>2970</v>
      </c>
      <c r="E1334" s="63" t="s">
        <v>389</v>
      </c>
      <c r="F1334" s="63" t="s">
        <v>2737</v>
      </c>
    </row>
    <row r="1335" spans="2:6" x14ac:dyDescent="0.3">
      <c r="B1335" s="63" t="s">
        <v>2948</v>
      </c>
      <c r="C1335" s="63">
        <v>1757515092256</v>
      </c>
      <c r="D1335" s="63" t="s">
        <v>2971</v>
      </c>
      <c r="E1335" s="63" t="s">
        <v>389</v>
      </c>
      <c r="F1335" s="63" t="s">
        <v>2739</v>
      </c>
    </row>
    <row r="1336" spans="2:6" x14ac:dyDescent="0.3">
      <c r="B1336" s="63" t="s">
        <v>2948</v>
      </c>
      <c r="C1336" s="63">
        <v>1757515092410</v>
      </c>
      <c r="D1336" s="63" t="s">
        <v>2972</v>
      </c>
      <c r="E1336" s="63" t="s">
        <v>389</v>
      </c>
      <c r="F1336" s="63" t="s">
        <v>2735</v>
      </c>
    </row>
    <row r="1337" spans="2:6" x14ac:dyDescent="0.3">
      <c r="B1337" s="63" t="s">
        <v>2948</v>
      </c>
      <c r="C1337" s="63">
        <v>1757515092479</v>
      </c>
      <c r="D1337" s="63" t="s">
        <v>2973</v>
      </c>
      <c r="E1337" s="63" t="s">
        <v>389</v>
      </c>
      <c r="F1337" s="63" t="s">
        <v>2737</v>
      </c>
    </row>
    <row r="1338" spans="2:6" x14ac:dyDescent="0.3">
      <c r="B1338" s="63" t="s">
        <v>2948</v>
      </c>
      <c r="C1338" s="63">
        <v>1757515092551</v>
      </c>
      <c r="D1338" s="63" t="s">
        <v>2974</v>
      </c>
      <c r="E1338" s="63" t="s">
        <v>389</v>
      </c>
      <c r="F1338" s="63" t="s">
        <v>2739</v>
      </c>
    </row>
    <row r="1339" spans="2:6" x14ac:dyDescent="0.3">
      <c r="B1339" s="63" t="s">
        <v>2948</v>
      </c>
      <c r="C1339" s="63">
        <v>1757515092615</v>
      </c>
      <c r="D1339" s="63" t="s">
        <v>2975</v>
      </c>
      <c r="E1339" s="63" t="s">
        <v>389</v>
      </c>
      <c r="F1339" s="63" t="s">
        <v>2737</v>
      </c>
    </row>
    <row r="1340" spans="2:6" x14ac:dyDescent="0.3">
      <c r="B1340" s="63" t="s">
        <v>2948</v>
      </c>
      <c r="C1340" s="63">
        <v>1757515092679</v>
      </c>
      <c r="D1340" s="63" t="s">
        <v>2976</v>
      </c>
      <c r="E1340" s="63" t="s">
        <v>389</v>
      </c>
      <c r="F1340" s="63" t="s">
        <v>2739</v>
      </c>
    </row>
    <row r="1341" spans="2:6" x14ac:dyDescent="0.3">
      <c r="B1341" s="63" t="s">
        <v>2948</v>
      </c>
      <c r="C1341" s="63">
        <v>1757515092734</v>
      </c>
      <c r="D1341" s="63" t="s">
        <v>2977</v>
      </c>
      <c r="E1341" s="63" t="s">
        <v>389</v>
      </c>
      <c r="F1341" s="63" t="s">
        <v>2737</v>
      </c>
    </row>
    <row r="1342" spans="2:6" x14ac:dyDescent="0.3">
      <c r="B1342" s="63" t="s">
        <v>2948</v>
      </c>
      <c r="C1342" s="63">
        <v>1757515092797</v>
      </c>
      <c r="D1342" s="63" t="s">
        <v>2978</v>
      </c>
      <c r="E1342" s="63" t="s">
        <v>389</v>
      </c>
      <c r="F1342" s="63" t="s">
        <v>2735</v>
      </c>
    </row>
    <row r="1343" spans="2:6" x14ac:dyDescent="0.3">
      <c r="B1343" s="63" t="s">
        <v>2948</v>
      </c>
      <c r="C1343" s="63">
        <v>1757515092862</v>
      </c>
      <c r="D1343" s="63" t="s">
        <v>2979</v>
      </c>
      <c r="E1343" s="63" t="s">
        <v>389</v>
      </c>
      <c r="F1343" s="63" t="s">
        <v>2737</v>
      </c>
    </row>
    <row r="1344" spans="2:6" x14ac:dyDescent="0.3">
      <c r="B1344" s="63" t="s">
        <v>2948</v>
      </c>
      <c r="C1344" s="63">
        <v>1757515092918</v>
      </c>
      <c r="D1344" s="63" t="s">
        <v>2980</v>
      </c>
      <c r="E1344" s="63" t="s">
        <v>389</v>
      </c>
      <c r="F1344" s="63" t="s">
        <v>2735</v>
      </c>
    </row>
    <row r="1345" spans="2:6" x14ac:dyDescent="0.3">
      <c r="B1345" s="63" t="s">
        <v>2948</v>
      </c>
      <c r="C1345" s="63">
        <v>1757515092968</v>
      </c>
      <c r="D1345" s="63" t="s">
        <v>2981</v>
      </c>
      <c r="E1345" s="63" t="s">
        <v>389</v>
      </c>
      <c r="F1345" s="63" t="s">
        <v>2737</v>
      </c>
    </row>
    <row r="1346" spans="2:6" x14ac:dyDescent="0.3">
      <c r="B1346" s="63" t="s">
        <v>2948</v>
      </c>
      <c r="C1346" s="63">
        <v>1757515093020</v>
      </c>
      <c r="D1346" s="63" t="s">
        <v>2982</v>
      </c>
      <c r="E1346" s="63" t="s">
        <v>389</v>
      </c>
      <c r="F1346" s="63" t="s">
        <v>2739</v>
      </c>
    </row>
    <row r="1347" spans="2:6" x14ac:dyDescent="0.3">
      <c r="B1347" s="63" t="s">
        <v>2948</v>
      </c>
      <c r="C1347" s="63">
        <v>1757515093073</v>
      </c>
      <c r="D1347" s="63" t="s">
        <v>2983</v>
      </c>
      <c r="E1347" s="63" t="s">
        <v>389</v>
      </c>
      <c r="F1347" s="63" t="s">
        <v>2737</v>
      </c>
    </row>
    <row r="1348" spans="2:6" x14ac:dyDescent="0.3">
      <c r="B1348" s="63" t="s">
        <v>2948</v>
      </c>
      <c r="C1348" s="63">
        <v>1757515093126</v>
      </c>
      <c r="D1348" s="63" t="s">
        <v>2984</v>
      </c>
      <c r="E1348" s="63" t="s">
        <v>389</v>
      </c>
      <c r="F1348" s="63" t="s">
        <v>2735</v>
      </c>
    </row>
    <row r="1349" spans="2:6" x14ac:dyDescent="0.3">
      <c r="B1349" s="63" t="s">
        <v>2948</v>
      </c>
      <c r="C1349" s="63">
        <v>1757515093178</v>
      </c>
      <c r="D1349" s="63" t="s">
        <v>2985</v>
      </c>
      <c r="E1349" s="63" t="s">
        <v>389</v>
      </c>
      <c r="F1349" s="63" t="s">
        <v>2737</v>
      </c>
    </row>
    <row r="1350" spans="2:6" x14ac:dyDescent="0.3">
      <c r="B1350" s="63" t="s">
        <v>2948</v>
      </c>
      <c r="C1350" s="63">
        <v>1757515093235</v>
      </c>
      <c r="D1350" s="63" t="s">
        <v>2986</v>
      </c>
      <c r="E1350" s="63" t="s">
        <v>389</v>
      </c>
      <c r="F1350" s="63" t="s">
        <v>2735</v>
      </c>
    </row>
    <row r="1351" spans="2:6" x14ac:dyDescent="0.3">
      <c r="B1351" s="63" t="s">
        <v>2948</v>
      </c>
      <c r="C1351" s="63">
        <v>1757515093279</v>
      </c>
      <c r="D1351" s="63" t="s">
        <v>2987</v>
      </c>
      <c r="E1351" s="63" t="s">
        <v>389</v>
      </c>
      <c r="F1351" s="63" t="s">
        <v>2737</v>
      </c>
    </row>
    <row r="1352" spans="2:6" x14ac:dyDescent="0.3">
      <c r="B1352" s="63" t="s">
        <v>2948</v>
      </c>
      <c r="C1352" s="63">
        <v>1757515093345</v>
      </c>
      <c r="D1352" s="63" t="s">
        <v>2988</v>
      </c>
      <c r="E1352" s="63" t="s">
        <v>389</v>
      </c>
      <c r="F1352" s="63" t="s">
        <v>2735</v>
      </c>
    </row>
    <row r="1353" spans="2:6" x14ac:dyDescent="0.3">
      <c r="B1353" s="63" t="s">
        <v>2948</v>
      </c>
      <c r="C1353" s="63">
        <v>1757515094341</v>
      </c>
      <c r="D1353" s="63" t="s">
        <v>2989</v>
      </c>
      <c r="E1353" s="63" t="s">
        <v>389</v>
      </c>
      <c r="F1353" s="63" t="s">
        <v>406</v>
      </c>
    </row>
    <row r="1354" spans="2:6" x14ac:dyDescent="0.3">
      <c r="B1354" s="63" t="s">
        <v>2948</v>
      </c>
      <c r="C1354" s="63">
        <v>1757515095684</v>
      </c>
      <c r="D1354" s="63" t="s">
        <v>2990</v>
      </c>
      <c r="E1354" s="63" t="s">
        <v>389</v>
      </c>
      <c r="F1354" s="63" t="s">
        <v>396</v>
      </c>
    </row>
    <row r="1355" spans="2:6" x14ac:dyDescent="0.3">
      <c r="B1355" s="63" t="s">
        <v>2948</v>
      </c>
      <c r="C1355" s="63">
        <v>1757515096119</v>
      </c>
      <c r="D1355" s="63" t="s">
        <v>2991</v>
      </c>
      <c r="E1355" s="63" t="s">
        <v>389</v>
      </c>
      <c r="F1355" s="63" t="s">
        <v>398</v>
      </c>
    </row>
    <row r="1356" spans="2:6" x14ac:dyDescent="0.3">
      <c r="B1356" s="63" t="s">
        <v>2948</v>
      </c>
      <c r="C1356" s="63">
        <v>1757515096674</v>
      </c>
      <c r="D1356" s="63" t="s">
        <v>2992</v>
      </c>
      <c r="E1356" s="63" t="s">
        <v>389</v>
      </c>
      <c r="F1356" s="63" t="s">
        <v>400</v>
      </c>
    </row>
    <row r="1357" spans="2:6" x14ac:dyDescent="0.3">
      <c r="B1357" s="63" t="s">
        <v>2948</v>
      </c>
      <c r="C1357" s="63">
        <v>1757515097728</v>
      </c>
      <c r="D1357" s="63" t="s">
        <v>2993</v>
      </c>
      <c r="E1357" s="63" t="s">
        <v>389</v>
      </c>
      <c r="F1357" s="63" t="s">
        <v>390</v>
      </c>
    </row>
    <row r="1358" spans="2:6" x14ac:dyDescent="0.3">
      <c r="B1358" s="63" t="s">
        <v>2948</v>
      </c>
      <c r="C1358" s="63">
        <v>1757515098182</v>
      </c>
      <c r="D1358" s="63" t="s">
        <v>2994</v>
      </c>
      <c r="E1358" s="63" t="s">
        <v>389</v>
      </c>
      <c r="F1358" s="63" t="s">
        <v>392</v>
      </c>
    </row>
    <row r="1359" spans="2:6" x14ac:dyDescent="0.3">
      <c r="B1359" s="63" t="s">
        <v>2948</v>
      </c>
      <c r="C1359" s="63">
        <v>1757515104181</v>
      </c>
      <c r="D1359" s="63" t="s">
        <v>2995</v>
      </c>
      <c r="E1359" s="63" t="s">
        <v>389</v>
      </c>
      <c r="F1359" s="63" t="s">
        <v>508</v>
      </c>
    </row>
    <row r="1360" spans="2:6" x14ac:dyDescent="0.3">
      <c r="B1360" s="63" t="s">
        <v>2948</v>
      </c>
      <c r="C1360" s="63">
        <v>1757515106080</v>
      </c>
      <c r="D1360" s="63" t="s">
        <v>2996</v>
      </c>
      <c r="E1360" s="63" t="s">
        <v>389</v>
      </c>
      <c r="F1360" s="63" t="s">
        <v>660</v>
      </c>
    </row>
    <row r="1361" spans="2:6" x14ac:dyDescent="0.3">
      <c r="B1361" s="63" t="s">
        <v>2948</v>
      </c>
      <c r="C1361" s="63">
        <v>1757515116398</v>
      </c>
      <c r="D1361" s="63" t="s">
        <v>2997</v>
      </c>
      <c r="E1361" s="63" t="s">
        <v>389</v>
      </c>
      <c r="F1361" s="63" t="s">
        <v>410</v>
      </c>
    </row>
    <row r="1362" spans="2:6" x14ac:dyDescent="0.3">
      <c r="B1362" s="63" t="s">
        <v>2948</v>
      </c>
      <c r="C1362" s="63">
        <v>1757515119704</v>
      </c>
      <c r="D1362" s="63" t="s">
        <v>2998</v>
      </c>
      <c r="E1362" s="63" t="s">
        <v>389</v>
      </c>
      <c r="F1362" s="63" t="s">
        <v>495</v>
      </c>
    </row>
    <row r="1363" spans="2:6" x14ac:dyDescent="0.3">
      <c r="B1363" s="63" t="s">
        <v>2948</v>
      </c>
      <c r="C1363" s="63">
        <v>1757515120901</v>
      </c>
      <c r="D1363" s="63" t="s">
        <v>2999</v>
      </c>
      <c r="E1363" s="63" t="s">
        <v>389</v>
      </c>
      <c r="F1363" s="63" t="s">
        <v>414</v>
      </c>
    </row>
    <row r="1364" spans="2:6" x14ac:dyDescent="0.3">
      <c r="B1364" s="63" t="s">
        <v>2948</v>
      </c>
      <c r="C1364" s="63">
        <v>1757515143491</v>
      </c>
      <c r="D1364" s="63" t="s">
        <v>3000</v>
      </c>
      <c r="E1364" s="63" t="s">
        <v>422</v>
      </c>
      <c r="F1364" s="63" t="s">
        <v>420</v>
      </c>
    </row>
    <row r="1365" spans="2:6" x14ac:dyDescent="0.3">
      <c r="B1365" s="63" t="s">
        <v>426</v>
      </c>
      <c r="C1365" s="63">
        <v>1757515161080</v>
      </c>
      <c r="D1365" s="63" t="s">
        <v>3001</v>
      </c>
      <c r="E1365" s="63" t="s">
        <v>428</v>
      </c>
      <c r="F1365" s="63" t="s">
        <v>453</v>
      </c>
    </row>
    <row r="1366" spans="2:6" x14ac:dyDescent="0.3">
      <c r="B1366" s="63" t="s">
        <v>2948</v>
      </c>
      <c r="C1366" s="63">
        <v>1757515163669</v>
      </c>
      <c r="D1366" s="63" t="s">
        <v>3002</v>
      </c>
      <c r="E1366" s="63" t="s">
        <v>520</v>
      </c>
      <c r="F1366" s="63" t="s">
        <v>662</v>
      </c>
    </row>
    <row r="1367" spans="2:6" x14ac:dyDescent="0.3">
      <c r="B1367" s="63" t="s">
        <v>2948</v>
      </c>
      <c r="C1367" s="63">
        <v>1757515171557</v>
      </c>
      <c r="D1367" s="63" t="s">
        <v>3003</v>
      </c>
      <c r="E1367" s="63" t="s">
        <v>525</v>
      </c>
      <c r="F1367" s="63" t="s">
        <v>663</v>
      </c>
    </row>
    <row r="1368" spans="2:6" x14ac:dyDescent="0.3">
      <c r="B1368" s="63" t="s">
        <v>2948</v>
      </c>
      <c r="C1368" s="63">
        <v>1757515173301</v>
      </c>
      <c r="D1368" s="63" t="s">
        <v>3004</v>
      </c>
      <c r="E1368" s="63" t="s">
        <v>424</v>
      </c>
      <c r="F1368" s="63" t="s">
        <v>457</v>
      </c>
    </row>
    <row r="1369" spans="2:6" x14ac:dyDescent="0.3">
      <c r="B1369" s="63" t="s">
        <v>426</v>
      </c>
      <c r="C1369" s="63">
        <v>1757515176598</v>
      </c>
      <c r="D1369" s="63" t="s">
        <v>3005</v>
      </c>
      <c r="E1369" s="63" t="s">
        <v>428</v>
      </c>
      <c r="F1369" s="63" t="s">
        <v>435</v>
      </c>
    </row>
    <row r="1370" spans="2:6" x14ac:dyDescent="0.3">
      <c r="B1370" s="63" t="s">
        <v>426</v>
      </c>
      <c r="C1370" s="63">
        <v>1757515191340</v>
      </c>
      <c r="D1370" s="63" t="s">
        <v>3006</v>
      </c>
      <c r="E1370" s="63" t="s">
        <v>428</v>
      </c>
      <c r="F1370" s="63" t="s">
        <v>437</v>
      </c>
    </row>
    <row r="1371" spans="2:6" x14ac:dyDescent="0.3">
      <c r="B1371" s="63" t="s">
        <v>2948</v>
      </c>
      <c r="C1371" s="63">
        <v>1757515191656</v>
      </c>
      <c r="D1371" s="63" t="s">
        <v>3007</v>
      </c>
      <c r="E1371" s="63" t="s">
        <v>520</v>
      </c>
      <c r="F1371" s="63" t="s">
        <v>1409</v>
      </c>
    </row>
    <row r="1372" spans="2:6" x14ac:dyDescent="0.3">
      <c r="B1372" s="63" t="s">
        <v>2948</v>
      </c>
      <c r="C1372" s="63">
        <v>1757515202451</v>
      </c>
      <c r="D1372" s="63" t="s">
        <v>3008</v>
      </c>
      <c r="E1372" s="63" t="s">
        <v>525</v>
      </c>
      <c r="F1372" s="63" t="s">
        <v>1413</v>
      </c>
    </row>
    <row r="1373" spans="2:6" x14ac:dyDescent="0.3">
      <c r="B1373" s="63" t="s">
        <v>2948</v>
      </c>
      <c r="C1373" s="63">
        <v>1757515206373</v>
      </c>
      <c r="D1373" s="63" t="s">
        <v>3009</v>
      </c>
      <c r="E1373" s="63" t="s">
        <v>424</v>
      </c>
      <c r="F1373" s="63" t="s">
        <v>459</v>
      </c>
    </row>
    <row r="1374" spans="2:6" x14ac:dyDescent="0.3">
      <c r="B1374" s="63" t="s">
        <v>2948</v>
      </c>
      <c r="C1374" s="63">
        <v>1757515207301</v>
      </c>
      <c r="D1374" s="63" t="s">
        <v>3010</v>
      </c>
      <c r="E1374" s="63" t="s">
        <v>424</v>
      </c>
      <c r="F1374" s="63" t="s">
        <v>461</v>
      </c>
    </row>
    <row r="1375" spans="2:6" x14ac:dyDescent="0.3">
      <c r="B1375" s="63" t="s">
        <v>426</v>
      </c>
      <c r="C1375" s="63">
        <v>1757515207529</v>
      </c>
      <c r="D1375" s="63" t="s">
        <v>3011</v>
      </c>
      <c r="E1375" s="63" t="s">
        <v>428</v>
      </c>
      <c r="F1375" s="63" t="s">
        <v>439</v>
      </c>
    </row>
    <row r="1376" spans="2:6" x14ac:dyDescent="0.3">
      <c r="B1376" s="63" t="s">
        <v>2948</v>
      </c>
      <c r="C1376" s="63">
        <v>1757515222561</v>
      </c>
      <c r="D1376" s="63" t="s">
        <v>3012</v>
      </c>
      <c r="E1376" s="63" t="s">
        <v>520</v>
      </c>
      <c r="F1376" s="63" t="s">
        <v>3013</v>
      </c>
    </row>
    <row r="1377" spans="2:6" x14ac:dyDescent="0.3">
      <c r="B1377" s="63" t="s">
        <v>426</v>
      </c>
      <c r="C1377" s="63">
        <v>1757515225250</v>
      </c>
      <c r="D1377" s="63" t="s">
        <v>3014</v>
      </c>
      <c r="E1377" s="63" t="s">
        <v>428</v>
      </c>
      <c r="F1377" s="63" t="s">
        <v>429</v>
      </c>
    </row>
    <row r="1378" spans="2:6" x14ac:dyDescent="0.3">
      <c r="B1378" s="63" t="s">
        <v>2948</v>
      </c>
      <c r="C1378" s="63">
        <v>1757515229024</v>
      </c>
      <c r="D1378" s="63" t="s">
        <v>3015</v>
      </c>
      <c r="E1378" s="63" t="s">
        <v>525</v>
      </c>
      <c r="F1378" s="63" t="s">
        <v>3016</v>
      </c>
    </row>
    <row r="1379" spans="2:6" x14ac:dyDescent="0.3">
      <c r="B1379" s="63" t="s">
        <v>2948</v>
      </c>
      <c r="C1379" s="63">
        <v>1757515231890</v>
      </c>
      <c r="D1379" s="63" t="s">
        <v>3017</v>
      </c>
      <c r="E1379" s="63" t="s">
        <v>424</v>
      </c>
      <c r="F1379" s="63" t="s">
        <v>441</v>
      </c>
    </row>
    <row r="1380" spans="2:6" x14ac:dyDescent="0.3">
      <c r="B1380" s="63" t="s">
        <v>426</v>
      </c>
      <c r="C1380" s="63">
        <v>1757515242271</v>
      </c>
      <c r="D1380" s="63" t="s">
        <v>3018</v>
      </c>
      <c r="E1380" s="63" t="s">
        <v>428</v>
      </c>
      <c r="F1380" s="63" t="s">
        <v>431</v>
      </c>
    </row>
    <row r="1381" spans="2:6" x14ac:dyDescent="0.3">
      <c r="B1381" s="63" t="s">
        <v>2948</v>
      </c>
      <c r="C1381" s="63">
        <v>1757515245948</v>
      </c>
      <c r="D1381" s="63" t="s">
        <v>3019</v>
      </c>
      <c r="E1381" s="63" t="s">
        <v>424</v>
      </c>
      <c r="F1381" s="63" t="s">
        <v>433</v>
      </c>
    </row>
    <row r="1382" spans="2:6" x14ac:dyDescent="0.3">
      <c r="B1382" s="63" t="s">
        <v>2948</v>
      </c>
      <c r="C1382" s="63">
        <v>1757515249144</v>
      </c>
      <c r="D1382" s="63" t="s">
        <v>3020</v>
      </c>
      <c r="E1382" s="63" t="s">
        <v>520</v>
      </c>
      <c r="F1382" s="63" t="s">
        <v>1987</v>
      </c>
    </row>
    <row r="1383" spans="2:6" x14ac:dyDescent="0.3">
      <c r="B1383" s="63" t="s">
        <v>426</v>
      </c>
      <c r="C1383" s="63">
        <v>1757515257772</v>
      </c>
      <c r="D1383" s="63" t="s">
        <v>3021</v>
      </c>
      <c r="E1383" s="63" t="s">
        <v>428</v>
      </c>
      <c r="F1383" s="63" t="s">
        <v>538</v>
      </c>
    </row>
    <row r="1384" spans="2:6" x14ac:dyDescent="0.3">
      <c r="B1384" s="63" t="s">
        <v>2948</v>
      </c>
      <c r="C1384" s="63">
        <v>1757515269907</v>
      </c>
      <c r="D1384" s="63" t="s">
        <v>3022</v>
      </c>
      <c r="E1384" s="63" t="s">
        <v>525</v>
      </c>
      <c r="F1384" s="63" t="s">
        <v>1990</v>
      </c>
    </row>
    <row r="1385" spans="2:6" x14ac:dyDescent="0.3">
      <c r="B1385" s="63" t="s">
        <v>426</v>
      </c>
      <c r="C1385" s="63">
        <v>1757515275478</v>
      </c>
      <c r="D1385" s="63" t="s">
        <v>3023</v>
      </c>
      <c r="E1385" s="63" t="s">
        <v>428</v>
      </c>
      <c r="F1385" s="63" t="s">
        <v>672</v>
      </c>
    </row>
    <row r="1386" spans="2:6" x14ac:dyDescent="0.3">
      <c r="B1386" s="63" t="s">
        <v>2948</v>
      </c>
      <c r="C1386" s="63">
        <v>1757515290030</v>
      </c>
      <c r="D1386" s="63" t="s">
        <v>3024</v>
      </c>
      <c r="E1386" s="63" t="s">
        <v>520</v>
      </c>
      <c r="F1386" s="63" t="s">
        <v>1987</v>
      </c>
    </row>
    <row r="1387" spans="2:6" x14ac:dyDescent="0.3">
      <c r="B1387" s="63" t="s">
        <v>426</v>
      </c>
      <c r="C1387" s="63">
        <v>1757515290996</v>
      </c>
      <c r="D1387" s="63" t="s">
        <v>3025</v>
      </c>
      <c r="E1387" s="63" t="s">
        <v>428</v>
      </c>
      <c r="F1387" s="63" t="s">
        <v>447</v>
      </c>
    </row>
    <row r="1388" spans="2:6" x14ac:dyDescent="0.3">
      <c r="B1388" s="63" t="s">
        <v>2948</v>
      </c>
      <c r="C1388" s="63">
        <v>1757515299684</v>
      </c>
      <c r="D1388" s="63" t="s">
        <v>3026</v>
      </c>
      <c r="E1388" s="63" t="s">
        <v>525</v>
      </c>
      <c r="F1388" s="63" t="s">
        <v>1990</v>
      </c>
    </row>
    <row r="1389" spans="2:6" x14ac:dyDescent="0.3">
      <c r="B1389" s="63" t="s">
        <v>426</v>
      </c>
      <c r="C1389" s="63">
        <v>1757515307871</v>
      </c>
      <c r="D1389" s="63" t="s">
        <v>3027</v>
      </c>
      <c r="E1389" s="63" t="s">
        <v>428</v>
      </c>
      <c r="F1389" s="63" t="s">
        <v>523</v>
      </c>
    </row>
    <row r="1390" spans="2:6" x14ac:dyDescent="0.3">
      <c r="B1390" s="63" t="s">
        <v>2948</v>
      </c>
      <c r="C1390" s="63">
        <v>1757515310660</v>
      </c>
      <c r="D1390" s="63" t="s">
        <v>3028</v>
      </c>
      <c r="E1390" s="63" t="s">
        <v>424</v>
      </c>
      <c r="F1390" s="63" t="s">
        <v>449</v>
      </c>
    </row>
    <row r="1391" spans="2:6" x14ac:dyDescent="0.3">
      <c r="B1391" s="63" t="s">
        <v>2948</v>
      </c>
      <c r="C1391" s="63">
        <v>1757515311180</v>
      </c>
      <c r="D1391" s="63" t="s">
        <v>3029</v>
      </c>
      <c r="E1391" s="63" t="s">
        <v>424</v>
      </c>
      <c r="F1391" s="63" t="s">
        <v>451</v>
      </c>
    </row>
    <row r="1392" spans="2:6" x14ac:dyDescent="0.3">
      <c r="B1392" s="63" t="s">
        <v>2948</v>
      </c>
      <c r="C1392" s="63">
        <v>1757515319808</v>
      </c>
      <c r="D1392" s="63" t="s">
        <v>3030</v>
      </c>
      <c r="E1392" s="63" t="s">
        <v>520</v>
      </c>
      <c r="F1392" s="63" t="s">
        <v>1532</v>
      </c>
    </row>
    <row r="1393" spans="2:6" x14ac:dyDescent="0.3">
      <c r="B1393" s="63" t="s">
        <v>2948</v>
      </c>
      <c r="C1393" s="63">
        <v>1757515327345</v>
      </c>
      <c r="D1393" s="63" t="s">
        <v>3031</v>
      </c>
      <c r="E1393" s="63" t="s">
        <v>525</v>
      </c>
      <c r="F1393" s="63" t="s">
        <v>1535</v>
      </c>
    </row>
    <row r="1394" spans="2:6" x14ac:dyDescent="0.3">
      <c r="B1394" s="63" t="s">
        <v>426</v>
      </c>
      <c r="C1394" s="63">
        <v>1757515329925</v>
      </c>
      <c r="D1394" s="63" t="s">
        <v>3032</v>
      </c>
      <c r="E1394" s="63" t="s">
        <v>428</v>
      </c>
      <c r="F1394" s="63" t="s">
        <v>455</v>
      </c>
    </row>
    <row r="1395" spans="2:6" x14ac:dyDescent="0.3">
      <c r="B1395" s="63" t="s">
        <v>2948</v>
      </c>
      <c r="C1395" s="63">
        <v>1757515331303</v>
      </c>
      <c r="D1395" s="63" t="s">
        <v>3033</v>
      </c>
      <c r="E1395" s="63" t="s">
        <v>463</v>
      </c>
      <c r="F1395" s="63" t="s">
        <v>464</v>
      </c>
    </row>
    <row r="1396" spans="2:6" x14ac:dyDescent="0.3">
      <c r="B1396" s="58" t="s">
        <v>3034</v>
      </c>
      <c r="C1396" s="58">
        <v>1757515340112</v>
      </c>
      <c r="D1396" s="58" t="s">
        <v>3035</v>
      </c>
      <c r="E1396" s="58" t="s">
        <v>416</v>
      </c>
      <c r="F1396" s="58" t="s">
        <v>573</v>
      </c>
    </row>
    <row r="1397" spans="2:6" x14ac:dyDescent="0.3">
      <c r="B1397" s="58" t="s">
        <v>3034</v>
      </c>
      <c r="C1397" s="58">
        <v>1757515340239</v>
      </c>
      <c r="D1397" s="58" t="s">
        <v>3036</v>
      </c>
      <c r="E1397" s="58" t="s">
        <v>468</v>
      </c>
      <c r="F1397" s="58" t="s">
        <v>2557</v>
      </c>
    </row>
    <row r="1398" spans="2:6" x14ac:dyDescent="0.3">
      <c r="B1398" s="58" t="s">
        <v>3034</v>
      </c>
      <c r="C1398" s="58">
        <v>1757515354732</v>
      </c>
      <c r="D1398" s="58" t="s">
        <v>3037</v>
      </c>
      <c r="E1398" s="58" t="s">
        <v>419</v>
      </c>
      <c r="F1398" s="58" t="s">
        <v>420</v>
      </c>
    </row>
    <row r="1399" spans="2:6" x14ac:dyDescent="0.3">
      <c r="B1399" s="58" t="s">
        <v>3034</v>
      </c>
      <c r="C1399" s="58">
        <v>1757515365973</v>
      </c>
      <c r="D1399" s="58" t="s">
        <v>3038</v>
      </c>
      <c r="E1399" s="58" t="s">
        <v>422</v>
      </c>
      <c r="F1399" s="58" t="s">
        <v>420</v>
      </c>
    </row>
    <row r="1400" spans="2:6" x14ac:dyDescent="0.3">
      <c r="B1400" s="58" t="s">
        <v>426</v>
      </c>
      <c r="C1400" s="58">
        <v>1757515380665</v>
      </c>
      <c r="D1400" s="58" t="s">
        <v>3039</v>
      </c>
      <c r="E1400" s="58" t="s">
        <v>428</v>
      </c>
      <c r="F1400" s="58" t="s">
        <v>453</v>
      </c>
    </row>
    <row r="1401" spans="2:6" x14ac:dyDescent="0.3">
      <c r="B1401" s="58" t="s">
        <v>3034</v>
      </c>
      <c r="C1401" s="58">
        <v>1757515386116</v>
      </c>
      <c r="D1401" s="58" t="s">
        <v>3040</v>
      </c>
      <c r="E1401" s="58" t="s">
        <v>520</v>
      </c>
      <c r="F1401" s="58" t="s">
        <v>2687</v>
      </c>
    </row>
    <row r="1402" spans="2:6" x14ac:dyDescent="0.3">
      <c r="B1402" s="58" t="s">
        <v>3034</v>
      </c>
      <c r="C1402" s="58">
        <v>1757515389754</v>
      </c>
      <c r="D1402" s="58" t="s">
        <v>3041</v>
      </c>
      <c r="E1402" s="58" t="s">
        <v>525</v>
      </c>
      <c r="F1402" s="58" t="s">
        <v>2690</v>
      </c>
    </row>
    <row r="1403" spans="2:6" x14ac:dyDescent="0.3">
      <c r="B1403" s="58" t="s">
        <v>3034</v>
      </c>
      <c r="C1403" s="58">
        <v>1757515390667</v>
      </c>
      <c r="D1403" s="58" t="s">
        <v>3042</v>
      </c>
      <c r="E1403" s="58" t="s">
        <v>424</v>
      </c>
      <c r="F1403" s="58" t="s">
        <v>457</v>
      </c>
    </row>
    <row r="1404" spans="2:6" x14ac:dyDescent="0.3">
      <c r="B1404" s="58" t="s">
        <v>426</v>
      </c>
      <c r="C1404" s="58">
        <v>1757515399770</v>
      </c>
      <c r="D1404" s="58" t="s">
        <v>3043</v>
      </c>
      <c r="E1404" s="58" t="s">
        <v>428</v>
      </c>
      <c r="F1404" s="58" t="s">
        <v>435</v>
      </c>
    </row>
    <row r="1405" spans="2:6" x14ac:dyDescent="0.3">
      <c r="B1405" s="58" t="s">
        <v>3034</v>
      </c>
      <c r="C1405" s="58">
        <v>1757515409885</v>
      </c>
      <c r="D1405" s="58" t="s">
        <v>3044</v>
      </c>
      <c r="E1405" s="58" t="s">
        <v>520</v>
      </c>
      <c r="F1405" s="58" t="s">
        <v>1409</v>
      </c>
    </row>
    <row r="1406" spans="2:6" x14ac:dyDescent="0.3">
      <c r="B1406" s="58" t="s">
        <v>426</v>
      </c>
      <c r="C1406" s="58">
        <v>1757515418967</v>
      </c>
      <c r="D1406" s="58" t="s">
        <v>3045</v>
      </c>
      <c r="E1406" s="58" t="s">
        <v>428</v>
      </c>
      <c r="F1406" s="58" t="s">
        <v>437</v>
      </c>
    </row>
    <row r="1407" spans="2:6" x14ac:dyDescent="0.3">
      <c r="B1407" s="58" t="s">
        <v>3034</v>
      </c>
      <c r="C1407" s="58">
        <v>1757515426161</v>
      </c>
      <c r="D1407" s="58" t="s">
        <v>3046</v>
      </c>
      <c r="E1407" s="58" t="s">
        <v>525</v>
      </c>
      <c r="F1407" s="58" t="s">
        <v>1413</v>
      </c>
    </row>
    <row r="1408" spans="2:6" x14ac:dyDescent="0.3">
      <c r="B1408" s="58" t="s">
        <v>3034</v>
      </c>
      <c r="C1408" s="58">
        <v>1757515427142</v>
      </c>
      <c r="D1408" s="58" t="s">
        <v>3047</v>
      </c>
      <c r="E1408" s="58" t="s">
        <v>424</v>
      </c>
      <c r="F1408" s="58" t="s">
        <v>459</v>
      </c>
    </row>
    <row r="1409" spans="2:6" x14ac:dyDescent="0.3">
      <c r="B1409" s="58" t="s">
        <v>3034</v>
      </c>
      <c r="C1409" s="58">
        <v>1757515428152</v>
      </c>
      <c r="D1409" s="58" t="s">
        <v>3048</v>
      </c>
      <c r="E1409" s="58" t="s">
        <v>424</v>
      </c>
      <c r="F1409" s="58" t="s">
        <v>461</v>
      </c>
    </row>
    <row r="1410" spans="2:6" x14ac:dyDescent="0.3">
      <c r="B1410" s="58" t="s">
        <v>426</v>
      </c>
      <c r="C1410" s="58">
        <v>1757515437389</v>
      </c>
      <c r="D1410" s="58" t="s">
        <v>3049</v>
      </c>
      <c r="E1410" s="58" t="s">
        <v>428</v>
      </c>
      <c r="F1410" s="58" t="s">
        <v>439</v>
      </c>
    </row>
    <row r="1411" spans="2:6" x14ac:dyDescent="0.3">
      <c r="B1411" s="58" t="s">
        <v>3034</v>
      </c>
      <c r="C1411" s="58">
        <v>1757515445149</v>
      </c>
      <c r="D1411" s="58" t="s">
        <v>3050</v>
      </c>
      <c r="E1411" s="58" t="s">
        <v>424</v>
      </c>
      <c r="F1411" s="58" t="s">
        <v>441</v>
      </c>
    </row>
    <row r="1412" spans="2:6" x14ac:dyDescent="0.3">
      <c r="B1412" s="58" t="s">
        <v>3034</v>
      </c>
      <c r="C1412" s="58">
        <v>1757515446296</v>
      </c>
      <c r="D1412" s="58" t="s">
        <v>3051</v>
      </c>
      <c r="E1412" s="58" t="s">
        <v>520</v>
      </c>
      <c r="F1412" s="58" t="s">
        <v>3013</v>
      </c>
    </row>
    <row r="1413" spans="2:6" x14ac:dyDescent="0.3">
      <c r="B1413" s="58" t="s">
        <v>426</v>
      </c>
      <c r="C1413" s="58">
        <v>1757515452935</v>
      </c>
      <c r="D1413" s="58" t="s">
        <v>3052</v>
      </c>
      <c r="E1413" s="58" t="s">
        <v>428</v>
      </c>
      <c r="F1413" s="58" t="s">
        <v>429</v>
      </c>
    </row>
    <row r="1414" spans="2:6" x14ac:dyDescent="0.3">
      <c r="B1414" s="58" t="s">
        <v>3034</v>
      </c>
      <c r="C1414" s="58">
        <v>1757515455360</v>
      </c>
      <c r="D1414" s="58" t="s">
        <v>3053</v>
      </c>
      <c r="E1414" s="58" t="s">
        <v>525</v>
      </c>
      <c r="F1414" s="58" t="s">
        <v>3016</v>
      </c>
    </row>
    <row r="1415" spans="2:6" x14ac:dyDescent="0.3">
      <c r="B1415" s="58" t="s">
        <v>426</v>
      </c>
      <c r="C1415" s="58">
        <v>1757515468461</v>
      </c>
      <c r="D1415" s="58" t="s">
        <v>3054</v>
      </c>
      <c r="E1415" s="58" t="s">
        <v>428</v>
      </c>
      <c r="F1415" s="58" t="s">
        <v>431</v>
      </c>
    </row>
    <row r="1416" spans="2:6" x14ac:dyDescent="0.3">
      <c r="B1416" s="58" t="s">
        <v>3034</v>
      </c>
      <c r="C1416" s="58">
        <v>1757515475474</v>
      </c>
      <c r="D1416" s="58" t="s">
        <v>3055</v>
      </c>
      <c r="E1416" s="58" t="s">
        <v>520</v>
      </c>
      <c r="F1416" s="58" t="s">
        <v>1975</v>
      </c>
    </row>
    <row r="1417" spans="2:6" x14ac:dyDescent="0.3">
      <c r="B1417" s="58" t="s">
        <v>426</v>
      </c>
      <c r="C1417" s="58">
        <v>1757515484690</v>
      </c>
      <c r="D1417" s="58" t="s">
        <v>3056</v>
      </c>
      <c r="E1417" s="58" t="s">
        <v>428</v>
      </c>
      <c r="F1417" s="58" t="s">
        <v>538</v>
      </c>
    </row>
    <row r="1418" spans="2:6" x14ac:dyDescent="0.3">
      <c r="B1418" s="58" t="s">
        <v>3034</v>
      </c>
      <c r="C1418" s="58">
        <v>1757515491008</v>
      </c>
      <c r="D1418" s="58" t="s">
        <v>3057</v>
      </c>
      <c r="E1418" s="58" t="s">
        <v>525</v>
      </c>
      <c r="F1418" s="58" t="s">
        <v>1977</v>
      </c>
    </row>
    <row r="1419" spans="2:6" x14ac:dyDescent="0.3">
      <c r="B1419" s="58" t="s">
        <v>3034</v>
      </c>
      <c r="C1419" s="58">
        <v>1757515494391</v>
      </c>
      <c r="D1419" s="58" t="s">
        <v>3058</v>
      </c>
      <c r="E1419" s="58" t="s">
        <v>424</v>
      </c>
      <c r="F1419" s="58" t="s">
        <v>433</v>
      </c>
    </row>
    <row r="1420" spans="2:6" x14ac:dyDescent="0.3">
      <c r="B1420" s="58" t="s">
        <v>426</v>
      </c>
      <c r="C1420" s="58">
        <v>1757515502423</v>
      </c>
      <c r="D1420" s="58" t="s">
        <v>3059</v>
      </c>
      <c r="E1420" s="58" t="s">
        <v>428</v>
      </c>
      <c r="F1420" s="58" t="s">
        <v>672</v>
      </c>
    </row>
    <row r="1421" spans="2:6" x14ac:dyDescent="0.3">
      <c r="B1421" s="58" t="s">
        <v>3034</v>
      </c>
      <c r="C1421" s="58">
        <v>1757515511045</v>
      </c>
      <c r="D1421" s="58" t="s">
        <v>3060</v>
      </c>
      <c r="E1421" s="58" t="s">
        <v>520</v>
      </c>
      <c r="F1421" s="58" t="s">
        <v>1656</v>
      </c>
    </row>
    <row r="1422" spans="2:6" x14ac:dyDescent="0.3">
      <c r="B1422" s="58" t="s">
        <v>426</v>
      </c>
      <c r="C1422" s="58">
        <v>1757515519327</v>
      </c>
      <c r="D1422" s="58" t="s">
        <v>3061</v>
      </c>
      <c r="E1422" s="58" t="s">
        <v>428</v>
      </c>
      <c r="F1422" s="58" t="s">
        <v>523</v>
      </c>
    </row>
    <row r="1423" spans="2:6" x14ac:dyDescent="0.3">
      <c r="B1423" s="58" t="s">
        <v>3034</v>
      </c>
      <c r="C1423" s="58">
        <v>1757515533021</v>
      </c>
      <c r="D1423" s="58" t="s">
        <v>3062</v>
      </c>
      <c r="E1423" s="58" t="s">
        <v>525</v>
      </c>
      <c r="F1423" s="58" t="s">
        <v>1658</v>
      </c>
    </row>
    <row r="1424" spans="2:6" x14ac:dyDescent="0.3">
      <c r="B1424" s="58" t="s">
        <v>426</v>
      </c>
      <c r="C1424" s="58">
        <v>1757515534070</v>
      </c>
      <c r="D1424" s="58" t="s">
        <v>3063</v>
      </c>
      <c r="E1424" s="58" t="s">
        <v>428</v>
      </c>
      <c r="F1424" s="58" t="s">
        <v>447</v>
      </c>
    </row>
    <row r="1425" spans="1:6" x14ac:dyDescent="0.3">
      <c r="B1425" s="58" t="s">
        <v>3034</v>
      </c>
      <c r="C1425" s="58">
        <v>1757515537807</v>
      </c>
      <c r="D1425" s="58" t="s">
        <v>3064</v>
      </c>
      <c r="E1425" s="58" t="s">
        <v>424</v>
      </c>
      <c r="F1425" s="58" t="s">
        <v>449</v>
      </c>
    </row>
    <row r="1426" spans="1:6" x14ac:dyDescent="0.3">
      <c r="B1426" s="58" t="s">
        <v>3034</v>
      </c>
      <c r="C1426" s="58">
        <v>1757515543491</v>
      </c>
      <c r="D1426" s="58" t="s">
        <v>3065</v>
      </c>
      <c r="E1426" s="58" t="s">
        <v>424</v>
      </c>
      <c r="F1426" s="58" t="s">
        <v>451</v>
      </c>
    </row>
    <row r="1427" spans="1:6" x14ac:dyDescent="0.3">
      <c r="B1427" s="58" t="s">
        <v>3034</v>
      </c>
      <c r="C1427" s="58">
        <v>1757515553141</v>
      </c>
      <c r="D1427" s="58" t="s">
        <v>3066</v>
      </c>
      <c r="E1427" s="58" t="s">
        <v>520</v>
      </c>
      <c r="F1427" s="58" t="s">
        <v>994</v>
      </c>
    </row>
    <row r="1428" spans="1:6" x14ac:dyDescent="0.3">
      <c r="B1428" s="58" t="s">
        <v>3034</v>
      </c>
      <c r="C1428" s="58">
        <v>1757515553231</v>
      </c>
      <c r="D1428" s="58" t="s">
        <v>3067</v>
      </c>
      <c r="E1428" s="58" t="s">
        <v>463</v>
      </c>
      <c r="F1428" s="58" t="s">
        <v>464</v>
      </c>
    </row>
    <row r="1429" spans="1:6" x14ac:dyDescent="0.3">
      <c r="B1429" s="58" t="s">
        <v>426</v>
      </c>
      <c r="C1429" s="58">
        <v>1757515554743</v>
      </c>
      <c r="D1429" s="58" t="s">
        <v>3068</v>
      </c>
      <c r="E1429" s="58" t="s">
        <v>428</v>
      </c>
      <c r="F1429" s="58" t="s">
        <v>455</v>
      </c>
    </row>
    <row r="1430" spans="1:6" x14ac:dyDescent="0.3">
      <c r="B1430" s="58" t="s">
        <v>3034</v>
      </c>
      <c r="C1430" s="58">
        <v>1757515565688</v>
      </c>
      <c r="D1430" s="58" t="s">
        <v>3069</v>
      </c>
      <c r="E1430" s="58" t="s">
        <v>525</v>
      </c>
      <c r="F1430" s="58" t="s">
        <v>997</v>
      </c>
    </row>
    <row r="1431" spans="1:6" x14ac:dyDescent="0.3">
      <c r="B1431" s="58" t="s">
        <v>3034</v>
      </c>
      <c r="C1431" s="58">
        <v>1757515585834</v>
      </c>
      <c r="D1431" s="58" t="s">
        <v>3070</v>
      </c>
      <c r="E1431" s="58" t="s">
        <v>520</v>
      </c>
      <c r="F1431" s="58" t="s">
        <v>521</v>
      </c>
    </row>
    <row r="1432" spans="1:6" x14ac:dyDescent="0.3">
      <c r="B1432" s="58" t="s">
        <v>3034</v>
      </c>
      <c r="C1432" s="58">
        <v>1757515592951</v>
      </c>
      <c r="D1432" s="58" t="s">
        <v>3071</v>
      </c>
      <c r="E1432" s="58" t="s">
        <v>525</v>
      </c>
      <c r="F1432" s="58" t="s">
        <v>526</v>
      </c>
    </row>
    <row r="1433" spans="1:6" ht="21" x14ac:dyDescent="0.4">
      <c r="A1433" s="69" t="s">
        <v>49</v>
      </c>
      <c r="B1433" s="63" t="s">
        <v>3268</v>
      </c>
      <c r="C1433" s="63">
        <v>1757520039338</v>
      </c>
      <c r="D1433" s="63" t="s">
        <v>3269</v>
      </c>
      <c r="E1433" s="63" t="s">
        <v>416</v>
      </c>
      <c r="F1433" s="63" t="s">
        <v>492</v>
      </c>
    </row>
    <row r="1434" spans="1:6" x14ac:dyDescent="0.3">
      <c r="B1434" s="63" t="s">
        <v>3268</v>
      </c>
      <c r="C1434" s="63">
        <v>1757520053814</v>
      </c>
      <c r="D1434" s="63" t="s">
        <v>3270</v>
      </c>
      <c r="E1434" s="63" t="s">
        <v>419</v>
      </c>
      <c r="F1434" s="63" t="s">
        <v>420</v>
      </c>
    </row>
    <row r="1435" spans="1:6" x14ac:dyDescent="0.3">
      <c r="B1435" s="63" t="s">
        <v>3268</v>
      </c>
      <c r="C1435" s="63">
        <v>1757520083641</v>
      </c>
      <c r="D1435" s="63" t="s">
        <v>3271</v>
      </c>
      <c r="E1435" s="63" t="s">
        <v>389</v>
      </c>
      <c r="F1435" s="63" t="s">
        <v>2731</v>
      </c>
    </row>
    <row r="1436" spans="1:6" x14ac:dyDescent="0.3">
      <c r="B1436" s="63" t="s">
        <v>3268</v>
      </c>
      <c r="C1436" s="63">
        <v>1757520083762</v>
      </c>
      <c r="D1436" s="63" t="s">
        <v>3272</v>
      </c>
      <c r="E1436" s="63" t="s">
        <v>389</v>
      </c>
      <c r="F1436" s="63" t="s">
        <v>2733</v>
      </c>
    </row>
    <row r="1437" spans="1:6" x14ac:dyDescent="0.3">
      <c r="B1437" s="63" t="s">
        <v>3268</v>
      </c>
      <c r="C1437" s="63">
        <v>1757520083881</v>
      </c>
      <c r="D1437" s="63" t="s">
        <v>3273</v>
      </c>
      <c r="E1437" s="63" t="s">
        <v>389</v>
      </c>
      <c r="F1437" s="63" t="s">
        <v>3274</v>
      </c>
    </row>
    <row r="1438" spans="1:6" x14ac:dyDescent="0.3">
      <c r="B1438" s="63" t="s">
        <v>3268</v>
      </c>
      <c r="C1438" s="63">
        <v>1757520084097</v>
      </c>
      <c r="D1438" s="63" t="s">
        <v>3275</v>
      </c>
      <c r="E1438" s="63" t="s">
        <v>389</v>
      </c>
      <c r="F1438" s="63" t="s">
        <v>2731</v>
      </c>
    </row>
    <row r="1439" spans="1:6" x14ac:dyDescent="0.3">
      <c r="B1439" s="63" t="s">
        <v>3268</v>
      </c>
      <c r="C1439" s="63">
        <v>1757520084217</v>
      </c>
      <c r="D1439" s="63" t="s">
        <v>3276</v>
      </c>
      <c r="E1439" s="63" t="s">
        <v>389</v>
      </c>
      <c r="F1439" s="63" t="s">
        <v>2735</v>
      </c>
    </row>
    <row r="1440" spans="1:6" x14ac:dyDescent="0.3">
      <c r="B1440" s="63" t="s">
        <v>3268</v>
      </c>
      <c r="C1440" s="63">
        <v>1757520084307</v>
      </c>
      <c r="D1440" s="63" t="s">
        <v>3277</v>
      </c>
      <c r="E1440" s="63" t="s">
        <v>389</v>
      </c>
      <c r="F1440" s="63" t="s">
        <v>2731</v>
      </c>
    </row>
    <row r="1441" spans="2:6" x14ac:dyDescent="0.3">
      <c r="B1441" s="63" t="s">
        <v>3268</v>
      </c>
      <c r="C1441" s="63">
        <v>1757520085360</v>
      </c>
      <c r="D1441" s="63" t="s">
        <v>3278</v>
      </c>
      <c r="E1441" s="63" t="s">
        <v>389</v>
      </c>
      <c r="F1441" s="63" t="s">
        <v>2735</v>
      </c>
    </row>
    <row r="1442" spans="2:6" x14ac:dyDescent="0.3">
      <c r="B1442" s="63" t="s">
        <v>3268</v>
      </c>
      <c r="C1442" s="63">
        <v>1757520085554</v>
      </c>
      <c r="D1442" s="63" t="s">
        <v>3279</v>
      </c>
      <c r="E1442" s="63" t="s">
        <v>389</v>
      </c>
      <c r="F1442" s="63" t="s">
        <v>2731</v>
      </c>
    </row>
    <row r="1443" spans="2:6" x14ac:dyDescent="0.3">
      <c r="B1443" s="63" t="s">
        <v>3268</v>
      </c>
      <c r="C1443" s="63">
        <v>1757520096120</v>
      </c>
      <c r="D1443" s="63" t="s">
        <v>3280</v>
      </c>
      <c r="E1443" s="63" t="s">
        <v>389</v>
      </c>
      <c r="F1443" s="63" t="s">
        <v>1763</v>
      </c>
    </row>
    <row r="1444" spans="2:6" x14ac:dyDescent="0.3">
      <c r="B1444" s="63" t="s">
        <v>3268</v>
      </c>
      <c r="C1444" s="63">
        <v>1757520100440</v>
      </c>
      <c r="D1444" s="63" t="s">
        <v>3281</v>
      </c>
      <c r="E1444" s="63" t="s">
        <v>389</v>
      </c>
      <c r="F1444" s="63" t="s">
        <v>964</v>
      </c>
    </row>
    <row r="1445" spans="2:6" x14ac:dyDescent="0.3">
      <c r="B1445" s="63" t="s">
        <v>3268</v>
      </c>
      <c r="C1445" s="63">
        <v>1757520101589</v>
      </c>
      <c r="D1445" s="63" t="s">
        <v>3282</v>
      </c>
      <c r="E1445" s="63" t="s">
        <v>389</v>
      </c>
      <c r="F1445" s="63" t="s">
        <v>2817</v>
      </c>
    </row>
    <row r="1446" spans="2:6" x14ac:dyDescent="0.3">
      <c r="B1446" s="63" t="s">
        <v>3268</v>
      </c>
      <c r="C1446" s="63">
        <v>1757520101676</v>
      </c>
      <c r="D1446" s="63" t="s">
        <v>3283</v>
      </c>
      <c r="E1446" s="63" t="s">
        <v>389</v>
      </c>
      <c r="F1446" s="63" t="s">
        <v>1926</v>
      </c>
    </row>
    <row r="1447" spans="2:6" x14ac:dyDescent="0.3">
      <c r="B1447" s="63" t="s">
        <v>3268</v>
      </c>
      <c r="C1447" s="63">
        <v>1757520102038</v>
      </c>
      <c r="D1447" s="63" t="s">
        <v>3284</v>
      </c>
      <c r="E1447" s="63" t="s">
        <v>389</v>
      </c>
      <c r="F1447" s="63" t="s">
        <v>2817</v>
      </c>
    </row>
    <row r="1448" spans="2:6" x14ac:dyDescent="0.3">
      <c r="B1448" s="63" t="s">
        <v>3268</v>
      </c>
      <c r="C1448" s="63">
        <v>1757520102134</v>
      </c>
      <c r="D1448" s="63" t="s">
        <v>3285</v>
      </c>
      <c r="E1448" s="63" t="s">
        <v>389</v>
      </c>
      <c r="F1448" s="63" t="s">
        <v>3286</v>
      </c>
    </row>
    <row r="1449" spans="2:6" x14ac:dyDescent="0.3">
      <c r="B1449" s="63" t="s">
        <v>3268</v>
      </c>
      <c r="C1449" s="63">
        <v>1757520102555</v>
      </c>
      <c r="D1449" s="63" t="s">
        <v>3287</v>
      </c>
      <c r="E1449" s="63" t="s">
        <v>389</v>
      </c>
      <c r="F1449" s="63" t="s">
        <v>2817</v>
      </c>
    </row>
    <row r="1450" spans="2:6" x14ac:dyDescent="0.3">
      <c r="B1450" s="63" t="s">
        <v>3268</v>
      </c>
      <c r="C1450" s="63">
        <v>1757520106658</v>
      </c>
      <c r="D1450" s="63" t="s">
        <v>3288</v>
      </c>
      <c r="E1450" s="63" t="s">
        <v>389</v>
      </c>
      <c r="F1450" s="63" t="s">
        <v>1230</v>
      </c>
    </row>
    <row r="1451" spans="2:6" x14ac:dyDescent="0.3">
      <c r="B1451" s="63" t="s">
        <v>3268</v>
      </c>
      <c r="C1451" s="63">
        <v>1757520117015</v>
      </c>
      <c r="D1451" s="63" t="s">
        <v>3289</v>
      </c>
      <c r="E1451" s="63" t="s">
        <v>389</v>
      </c>
      <c r="F1451" s="63" t="s">
        <v>1466</v>
      </c>
    </row>
    <row r="1452" spans="2:6" x14ac:dyDescent="0.3">
      <c r="B1452" s="63" t="s">
        <v>3268</v>
      </c>
      <c r="C1452" s="63">
        <v>1757520117315</v>
      </c>
      <c r="D1452" s="63" t="s">
        <v>3290</v>
      </c>
      <c r="E1452" s="63" t="s">
        <v>389</v>
      </c>
      <c r="F1452" s="63" t="s">
        <v>1468</v>
      </c>
    </row>
    <row r="1453" spans="2:6" x14ac:dyDescent="0.3">
      <c r="B1453" s="63" t="s">
        <v>3268</v>
      </c>
      <c r="C1453" s="63">
        <v>1757520119333</v>
      </c>
      <c r="D1453" s="63" t="s">
        <v>3291</v>
      </c>
      <c r="E1453" s="63" t="s">
        <v>389</v>
      </c>
      <c r="F1453" s="63" t="s">
        <v>1466</v>
      </c>
    </row>
    <row r="1454" spans="2:6" x14ac:dyDescent="0.3">
      <c r="B1454" s="63" t="s">
        <v>3268</v>
      </c>
      <c r="C1454" s="63">
        <v>1757520126345</v>
      </c>
      <c r="D1454" s="63" t="s">
        <v>3292</v>
      </c>
      <c r="E1454" s="63" t="s">
        <v>389</v>
      </c>
      <c r="F1454" s="63" t="s">
        <v>2348</v>
      </c>
    </row>
    <row r="1455" spans="2:6" x14ac:dyDescent="0.3">
      <c r="B1455" s="63" t="s">
        <v>3268</v>
      </c>
      <c r="C1455" s="63">
        <v>1757520135970</v>
      </c>
      <c r="D1455" s="63" t="s">
        <v>3293</v>
      </c>
      <c r="E1455" s="63" t="s">
        <v>389</v>
      </c>
      <c r="F1455" s="63" t="s">
        <v>3207</v>
      </c>
    </row>
    <row r="1456" spans="2:6" x14ac:dyDescent="0.3">
      <c r="B1456" s="63" t="s">
        <v>3268</v>
      </c>
      <c r="C1456" s="63">
        <v>1757520139272</v>
      </c>
      <c r="D1456" s="63" t="s">
        <v>3294</v>
      </c>
      <c r="E1456" s="63" t="s">
        <v>389</v>
      </c>
      <c r="F1456" s="63" t="s">
        <v>3295</v>
      </c>
    </row>
    <row r="1457" spans="2:6" x14ac:dyDescent="0.3">
      <c r="B1457" s="63" t="s">
        <v>3268</v>
      </c>
      <c r="C1457" s="63">
        <v>1757520140995</v>
      </c>
      <c r="D1457" s="63" t="s">
        <v>3296</v>
      </c>
      <c r="E1457" s="63" t="s">
        <v>389</v>
      </c>
      <c r="F1457" s="63" t="s">
        <v>3240</v>
      </c>
    </row>
    <row r="1458" spans="2:6" x14ac:dyDescent="0.3">
      <c r="B1458" s="63" t="s">
        <v>3268</v>
      </c>
      <c r="C1458" s="63">
        <v>1757520142291</v>
      </c>
      <c r="D1458" s="63" t="s">
        <v>3297</v>
      </c>
      <c r="E1458" s="63" t="s">
        <v>389</v>
      </c>
      <c r="F1458" s="63" t="s">
        <v>3295</v>
      </c>
    </row>
    <row r="1459" spans="2:6" x14ac:dyDescent="0.3">
      <c r="B1459" s="63" t="s">
        <v>3268</v>
      </c>
      <c r="C1459" s="63">
        <v>1757520142854</v>
      </c>
      <c r="D1459" s="63" t="s">
        <v>3298</v>
      </c>
      <c r="E1459" s="63" t="s">
        <v>389</v>
      </c>
      <c r="F1459" s="63" t="s">
        <v>3238</v>
      </c>
    </row>
    <row r="1460" spans="2:6" x14ac:dyDescent="0.3">
      <c r="B1460" s="63" t="s">
        <v>3268</v>
      </c>
      <c r="C1460" s="63">
        <v>1757520142971</v>
      </c>
      <c r="D1460" s="63" t="s">
        <v>3299</v>
      </c>
      <c r="E1460" s="63" t="s">
        <v>389</v>
      </c>
      <c r="F1460" s="63" t="s">
        <v>3240</v>
      </c>
    </row>
    <row r="1461" spans="2:6" x14ac:dyDescent="0.3">
      <c r="B1461" s="63" t="s">
        <v>3268</v>
      </c>
      <c r="C1461" s="63">
        <v>1757520143324</v>
      </c>
      <c r="D1461" s="63" t="s">
        <v>3300</v>
      </c>
      <c r="E1461" s="63" t="s">
        <v>389</v>
      </c>
      <c r="F1461" s="63" t="s">
        <v>3238</v>
      </c>
    </row>
    <row r="1462" spans="2:6" x14ac:dyDescent="0.3">
      <c r="B1462" s="63" t="s">
        <v>3268</v>
      </c>
      <c r="C1462" s="63">
        <v>1757520146041</v>
      </c>
      <c r="D1462" s="63" t="s">
        <v>3301</v>
      </c>
      <c r="E1462" s="63" t="s">
        <v>389</v>
      </c>
      <c r="F1462" s="63" t="s">
        <v>2581</v>
      </c>
    </row>
    <row r="1463" spans="2:6" x14ac:dyDescent="0.3">
      <c r="B1463" s="63" t="s">
        <v>3268</v>
      </c>
      <c r="C1463" s="63">
        <v>1757520147458</v>
      </c>
      <c r="D1463" s="63" t="s">
        <v>3302</v>
      </c>
      <c r="E1463" s="63" t="s">
        <v>389</v>
      </c>
      <c r="F1463" s="63" t="s">
        <v>2909</v>
      </c>
    </row>
    <row r="1464" spans="2:6" x14ac:dyDescent="0.3">
      <c r="B1464" s="63" t="s">
        <v>3268</v>
      </c>
      <c r="C1464" s="63">
        <v>1757520147582</v>
      </c>
      <c r="D1464" s="63" t="s">
        <v>3303</v>
      </c>
      <c r="E1464" s="63" t="s">
        <v>389</v>
      </c>
      <c r="F1464" s="63" t="s">
        <v>2575</v>
      </c>
    </row>
    <row r="1465" spans="2:6" x14ac:dyDescent="0.3">
      <c r="B1465" s="63" t="s">
        <v>3268</v>
      </c>
      <c r="C1465" s="63">
        <v>1757520149401</v>
      </c>
      <c r="D1465" s="63" t="s">
        <v>3304</v>
      </c>
      <c r="E1465" s="63" t="s">
        <v>389</v>
      </c>
      <c r="F1465" s="63" t="s">
        <v>1559</v>
      </c>
    </row>
    <row r="1466" spans="2:6" x14ac:dyDescent="0.3">
      <c r="B1466" s="63" t="s">
        <v>3268</v>
      </c>
      <c r="C1466" s="63">
        <v>1757520284702</v>
      </c>
      <c r="D1466" s="63" t="s">
        <v>3305</v>
      </c>
      <c r="E1466" s="63" t="s">
        <v>389</v>
      </c>
      <c r="F1466" s="63" t="s">
        <v>3209</v>
      </c>
    </row>
    <row r="1467" spans="2:6" x14ac:dyDescent="0.3">
      <c r="B1467" s="63" t="s">
        <v>3268</v>
      </c>
      <c r="C1467" s="63">
        <v>1757520292784</v>
      </c>
      <c r="D1467" s="63" t="s">
        <v>3306</v>
      </c>
      <c r="E1467" s="63" t="s">
        <v>422</v>
      </c>
      <c r="F1467" s="63" t="s">
        <v>420</v>
      </c>
    </row>
    <row r="1468" spans="2:6" x14ac:dyDescent="0.3">
      <c r="B1468" s="63" t="s">
        <v>3268</v>
      </c>
      <c r="C1468" s="63">
        <v>1757520301428</v>
      </c>
      <c r="D1468" s="63" t="s">
        <v>3307</v>
      </c>
      <c r="E1468" s="63" t="s">
        <v>424</v>
      </c>
      <c r="F1468" s="63" t="s">
        <v>518</v>
      </c>
    </row>
    <row r="1469" spans="2:6" x14ac:dyDescent="0.3">
      <c r="B1469" s="63" t="s">
        <v>426</v>
      </c>
      <c r="C1469" s="63">
        <v>1757520308298</v>
      </c>
      <c r="D1469" s="63" t="s">
        <v>3308</v>
      </c>
      <c r="E1469" s="63" t="s">
        <v>428</v>
      </c>
      <c r="F1469" s="63" t="s">
        <v>447</v>
      </c>
    </row>
    <row r="1470" spans="2:6" x14ac:dyDescent="0.3">
      <c r="B1470" s="63" t="s">
        <v>3268</v>
      </c>
      <c r="C1470" s="63">
        <v>1757520312967</v>
      </c>
      <c r="D1470" s="63" t="s">
        <v>3309</v>
      </c>
      <c r="E1470" s="63" t="s">
        <v>520</v>
      </c>
      <c r="F1470" s="63" t="s">
        <v>1606</v>
      </c>
    </row>
    <row r="1471" spans="2:6" x14ac:dyDescent="0.3">
      <c r="B1471" s="63" t="s">
        <v>426</v>
      </c>
      <c r="C1471" s="63">
        <v>1757520325995</v>
      </c>
      <c r="D1471" s="63" t="s">
        <v>3310</v>
      </c>
      <c r="E1471" s="63" t="s">
        <v>428</v>
      </c>
      <c r="F1471" s="63" t="s">
        <v>429</v>
      </c>
    </row>
    <row r="1472" spans="2:6" x14ac:dyDescent="0.3">
      <c r="B1472" s="63" t="s">
        <v>3268</v>
      </c>
      <c r="C1472" s="63">
        <v>1757520329064</v>
      </c>
      <c r="D1472" s="63" t="s">
        <v>3311</v>
      </c>
      <c r="E1472" s="63" t="s">
        <v>525</v>
      </c>
      <c r="F1472" s="63" t="s">
        <v>1608</v>
      </c>
    </row>
    <row r="1473" spans="2:6" x14ac:dyDescent="0.3">
      <c r="B1473" s="63" t="s">
        <v>3268</v>
      </c>
      <c r="C1473" s="63">
        <v>1757520330765</v>
      </c>
      <c r="D1473" s="63" t="s">
        <v>3312</v>
      </c>
      <c r="E1473" s="63" t="s">
        <v>424</v>
      </c>
      <c r="F1473" s="63" t="s">
        <v>457</v>
      </c>
    </row>
    <row r="1474" spans="2:6" x14ac:dyDescent="0.3">
      <c r="B1474" s="63" t="s">
        <v>426</v>
      </c>
      <c r="C1474" s="63">
        <v>1757520343724</v>
      </c>
      <c r="D1474" s="63" t="s">
        <v>3313</v>
      </c>
      <c r="E1474" s="63" t="s">
        <v>428</v>
      </c>
      <c r="F1474" s="63" t="s">
        <v>431</v>
      </c>
    </row>
    <row r="1475" spans="2:6" x14ac:dyDescent="0.3">
      <c r="B1475" s="63" t="s">
        <v>3268</v>
      </c>
      <c r="C1475" s="63">
        <v>1757520349198</v>
      </c>
      <c r="D1475" s="63" t="s">
        <v>3314</v>
      </c>
      <c r="E1475" s="63" t="s">
        <v>520</v>
      </c>
      <c r="F1475" s="63" t="s">
        <v>2268</v>
      </c>
    </row>
    <row r="1476" spans="2:6" x14ac:dyDescent="0.3">
      <c r="B1476" s="63" t="s">
        <v>426</v>
      </c>
      <c r="C1476" s="63">
        <v>1757520359251</v>
      </c>
      <c r="D1476" s="63" t="s">
        <v>3315</v>
      </c>
      <c r="E1476" s="63" t="s">
        <v>428</v>
      </c>
      <c r="F1476" s="63" t="s">
        <v>435</v>
      </c>
    </row>
    <row r="1477" spans="2:6" x14ac:dyDescent="0.3">
      <c r="B1477" s="63" t="s">
        <v>426</v>
      </c>
      <c r="C1477" s="63">
        <v>1757520375552</v>
      </c>
      <c r="D1477" s="63" t="s">
        <v>3316</v>
      </c>
      <c r="E1477" s="63" t="s">
        <v>428</v>
      </c>
      <c r="F1477" s="63" t="s">
        <v>439</v>
      </c>
    </row>
    <row r="1478" spans="2:6" x14ac:dyDescent="0.3">
      <c r="B1478" s="63" t="s">
        <v>3268</v>
      </c>
      <c r="C1478" s="63">
        <v>1757520377849</v>
      </c>
      <c r="D1478" s="63" t="s">
        <v>3317</v>
      </c>
      <c r="E1478" s="63" t="s">
        <v>1438</v>
      </c>
      <c r="F1478" s="63" t="s">
        <v>3318</v>
      </c>
    </row>
    <row r="1479" spans="2:6" x14ac:dyDescent="0.3">
      <c r="B1479" s="63" t="s">
        <v>426</v>
      </c>
      <c r="C1479" s="63">
        <v>1757520391105</v>
      </c>
      <c r="D1479" s="63" t="s">
        <v>3319</v>
      </c>
      <c r="E1479" s="63" t="s">
        <v>428</v>
      </c>
      <c r="F1479" s="63" t="s">
        <v>538</v>
      </c>
    </row>
    <row r="1480" spans="2:6" x14ac:dyDescent="0.3">
      <c r="B1480" s="63" t="s">
        <v>426</v>
      </c>
      <c r="C1480" s="63">
        <v>1757520408146</v>
      </c>
      <c r="D1480" s="63" t="s">
        <v>3320</v>
      </c>
      <c r="E1480" s="63" t="s">
        <v>428</v>
      </c>
      <c r="F1480" s="63" t="s">
        <v>672</v>
      </c>
    </row>
    <row r="1481" spans="2:6" x14ac:dyDescent="0.3">
      <c r="B1481" s="63" t="s">
        <v>3268</v>
      </c>
      <c r="C1481" s="63">
        <v>1757520417271</v>
      </c>
      <c r="D1481" s="63" t="s">
        <v>3321</v>
      </c>
      <c r="E1481" s="63" t="s">
        <v>1438</v>
      </c>
      <c r="F1481" s="63" t="s">
        <v>3322</v>
      </c>
    </row>
    <row r="1482" spans="2:6" x14ac:dyDescent="0.3">
      <c r="B1482" s="63" t="s">
        <v>3268</v>
      </c>
      <c r="C1482" s="63">
        <v>1757520430086</v>
      </c>
      <c r="D1482" s="63" t="s">
        <v>3323</v>
      </c>
      <c r="E1482" s="63" t="s">
        <v>525</v>
      </c>
      <c r="F1482" s="63" t="s">
        <v>2270</v>
      </c>
    </row>
    <row r="1483" spans="2:6" x14ac:dyDescent="0.3">
      <c r="B1483" s="63" t="s">
        <v>3268</v>
      </c>
      <c r="C1483" s="63">
        <v>1757520439825</v>
      </c>
      <c r="D1483" s="63" t="s">
        <v>3324</v>
      </c>
      <c r="E1483" s="63" t="s">
        <v>424</v>
      </c>
      <c r="F1483" s="63" t="s">
        <v>459</v>
      </c>
    </row>
    <row r="1484" spans="2:6" x14ac:dyDescent="0.3">
      <c r="B1484" s="63" t="s">
        <v>3268</v>
      </c>
      <c r="C1484" s="63">
        <v>1757520441714</v>
      </c>
      <c r="D1484" s="63" t="s">
        <v>3325</v>
      </c>
      <c r="E1484" s="63" t="s">
        <v>424</v>
      </c>
      <c r="F1484" s="63" t="s">
        <v>461</v>
      </c>
    </row>
    <row r="1485" spans="2:6" x14ac:dyDescent="0.3">
      <c r="B1485" s="63" t="s">
        <v>3268</v>
      </c>
      <c r="C1485" s="63">
        <v>1757520450210</v>
      </c>
      <c r="D1485" s="63" t="s">
        <v>3326</v>
      </c>
      <c r="E1485" s="63" t="s">
        <v>520</v>
      </c>
      <c r="F1485" s="63" t="s">
        <v>608</v>
      </c>
    </row>
    <row r="1486" spans="2:6" x14ac:dyDescent="0.3">
      <c r="B1486" s="63" t="s">
        <v>3268</v>
      </c>
      <c r="C1486" s="63">
        <v>1757520457980</v>
      </c>
      <c r="D1486" s="63" t="s">
        <v>3327</v>
      </c>
      <c r="E1486" s="63" t="s">
        <v>525</v>
      </c>
      <c r="F1486" s="63" t="s">
        <v>612</v>
      </c>
    </row>
    <row r="1487" spans="2:6" x14ac:dyDescent="0.3">
      <c r="B1487" s="63" t="s">
        <v>3268</v>
      </c>
      <c r="C1487" s="63">
        <v>1757520460390</v>
      </c>
      <c r="D1487" s="63" t="s">
        <v>3328</v>
      </c>
      <c r="E1487" s="63" t="s">
        <v>424</v>
      </c>
      <c r="F1487" s="63" t="s">
        <v>449</v>
      </c>
    </row>
    <row r="1488" spans="2:6" x14ac:dyDescent="0.3">
      <c r="B1488" s="63" t="s">
        <v>3268</v>
      </c>
      <c r="C1488" s="63">
        <v>1757520461590</v>
      </c>
      <c r="D1488" s="63" t="s">
        <v>3329</v>
      </c>
      <c r="E1488" s="63" t="s">
        <v>424</v>
      </c>
      <c r="F1488" s="63" t="s">
        <v>451</v>
      </c>
    </row>
    <row r="1489" spans="2:6" x14ac:dyDescent="0.3">
      <c r="B1489" s="63" t="s">
        <v>3268</v>
      </c>
      <c r="C1489" s="63">
        <v>1757520467164</v>
      </c>
      <c r="D1489" s="63" t="s">
        <v>3330</v>
      </c>
      <c r="E1489" s="63" t="s">
        <v>424</v>
      </c>
      <c r="F1489" s="63" t="s">
        <v>433</v>
      </c>
    </row>
    <row r="1490" spans="2:6" x14ac:dyDescent="0.3">
      <c r="B1490" s="63" t="s">
        <v>3268</v>
      </c>
      <c r="C1490" s="63">
        <v>1757520478102</v>
      </c>
      <c r="D1490" s="63" t="s">
        <v>3331</v>
      </c>
      <c r="E1490" s="63" t="s">
        <v>520</v>
      </c>
      <c r="F1490" s="63" t="s">
        <v>536</v>
      </c>
    </row>
    <row r="1491" spans="2:6" x14ac:dyDescent="0.3">
      <c r="B1491" s="63" t="s">
        <v>3268</v>
      </c>
      <c r="C1491" s="63">
        <v>1757520488543</v>
      </c>
      <c r="D1491" s="63" t="s">
        <v>3332</v>
      </c>
      <c r="E1491" s="63" t="s">
        <v>525</v>
      </c>
      <c r="F1491" s="63" t="s">
        <v>540</v>
      </c>
    </row>
    <row r="1492" spans="2:6" x14ac:dyDescent="0.3">
      <c r="B1492" s="63" t="s">
        <v>3268</v>
      </c>
      <c r="C1492" s="63">
        <v>1757520490430</v>
      </c>
      <c r="D1492" s="63" t="s">
        <v>3333</v>
      </c>
      <c r="E1492" s="63" t="s">
        <v>424</v>
      </c>
      <c r="F1492" s="63" t="s">
        <v>551</v>
      </c>
    </row>
    <row r="1493" spans="2:6" x14ac:dyDescent="0.3">
      <c r="B1493" s="63" t="s">
        <v>3268</v>
      </c>
      <c r="C1493" s="63">
        <v>1757520491487</v>
      </c>
      <c r="D1493" s="63" t="s">
        <v>3334</v>
      </c>
      <c r="E1493" s="63" t="s">
        <v>424</v>
      </c>
      <c r="F1493" s="63" t="s">
        <v>441</v>
      </c>
    </row>
    <row r="1494" spans="2:6" x14ac:dyDescent="0.3">
      <c r="B1494" s="63" t="s">
        <v>3268</v>
      </c>
      <c r="C1494" s="63">
        <v>1757520496101</v>
      </c>
      <c r="D1494" s="63" t="s">
        <v>3335</v>
      </c>
      <c r="E1494" s="63" t="s">
        <v>424</v>
      </c>
      <c r="F1494" s="63" t="s">
        <v>425</v>
      </c>
    </row>
    <row r="1495" spans="2:6" x14ac:dyDescent="0.3">
      <c r="B1495" s="63" t="s">
        <v>3268</v>
      </c>
      <c r="C1495" s="63">
        <v>1757520499759</v>
      </c>
      <c r="D1495" s="63" t="s">
        <v>3336</v>
      </c>
      <c r="E1495" s="63" t="s">
        <v>424</v>
      </c>
      <c r="F1495" s="63" t="s">
        <v>570</v>
      </c>
    </row>
    <row r="1496" spans="2:6" x14ac:dyDescent="0.3">
      <c r="B1496" s="63" t="s">
        <v>3268</v>
      </c>
      <c r="C1496" s="63">
        <v>1757520500655</v>
      </c>
      <c r="D1496" s="63" t="s">
        <v>3337</v>
      </c>
      <c r="E1496" s="63" t="s">
        <v>463</v>
      </c>
      <c r="F1496" s="63" t="s">
        <v>464</v>
      </c>
    </row>
    <row r="1497" spans="2:6" x14ac:dyDescent="0.3">
      <c r="B1497" s="58" t="s">
        <v>3338</v>
      </c>
      <c r="C1497" s="58">
        <v>1757520512154</v>
      </c>
      <c r="D1497" s="58" t="s">
        <v>3339</v>
      </c>
      <c r="E1497" s="58" t="s">
        <v>416</v>
      </c>
      <c r="F1497" s="58" t="s">
        <v>573</v>
      </c>
    </row>
    <row r="1498" spans="2:6" x14ac:dyDescent="0.3">
      <c r="B1498" s="58" t="s">
        <v>3338</v>
      </c>
      <c r="C1498" s="58">
        <v>1757520512312</v>
      </c>
      <c r="D1498" s="58" t="s">
        <v>3340</v>
      </c>
      <c r="E1498" s="58" t="s">
        <v>468</v>
      </c>
      <c r="F1498" s="58" t="s">
        <v>3341</v>
      </c>
    </row>
    <row r="1499" spans="2:6" x14ac:dyDescent="0.3">
      <c r="B1499" s="58" t="s">
        <v>3338</v>
      </c>
      <c r="C1499" s="58">
        <v>1757520512821</v>
      </c>
      <c r="D1499" s="58" t="s">
        <v>3342</v>
      </c>
      <c r="E1499" s="58" t="s">
        <v>419</v>
      </c>
      <c r="F1499" s="58" t="s">
        <v>420</v>
      </c>
    </row>
    <row r="1500" spans="2:6" x14ac:dyDescent="0.3">
      <c r="B1500" s="58" t="s">
        <v>3338</v>
      </c>
      <c r="C1500" s="58">
        <v>1757520564624</v>
      </c>
      <c r="D1500" s="58" t="s">
        <v>3343</v>
      </c>
      <c r="E1500" s="58" t="s">
        <v>389</v>
      </c>
      <c r="F1500" s="58" t="s">
        <v>3118</v>
      </c>
    </row>
    <row r="1501" spans="2:6" x14ac:dyDescent="0.3">
      <c r="B1501" s="58" t="s">
        <v>3338</v>
      </c>
      <c r="C1501" s="58">
        <v>1757520568120</v>
      </c>
      <c r="D1501" s="58" t="s">
        <v>3344</v>
      </c>
      <c r="E1501" s="58" t="s">
        <v>389</v>
      </c>
      <c r="F1501" s="58" t="s">
        <v>2879</v>
      </c>
    </row>
    <row r="1502" spans="2:6" x14ac:dyDescent="0.3">
      <c r="B1502" s="58" t="s">
        <v>3338</v>
      </c>
      <c r="C1502" s="58">
        <v>1757520570415</v>
      </c>
      <c r="D1502" s="58" t="s">
        <v>3345</v>
      </c>
      <c r="E1502" s="58" t="s">
        <v>389</v>
      </c>
      <c r="F1502" s="58" t="s">
        <v>1576</v>
      </c>
    </row>
    <row r="1503" spans="2:6" x14ac:dyDescent="0.3">
      <c r="B1503" s="58" t="s">
        <v>3338</v>
      </c>
      <c r="C1503" s="58">
        <v>1757520589195</v>
      </c>
      <c r="D1503" s="58" t="s">
        <v>3346</v>
      </c>
      <c r="E1503" s="58" t="s">
        <v>389</v>
      </c>
      <c r="F1503" s="58" t="s">
        <v>1566</v>
      </c>
    </row>
    <row r="1504" spans="2:6" x14ac:dyDescent="0.3">
      <c r="B1504" s="58" t="s">
        <v>3338</v>
      </c>
      <c r="C1504" s="58">
        <v>1757520591191</v>
      </c>
      <c r="D1504" s="58" t="s">
        <v>3347</v>
      </c>
      <c r="E1504" s="58" t="s">
        <v>389</v>
      </c>
      <c r="F1504" s="58" t="s">
        <v>1559</v>
      </c>
    </row>
    <row r="1505" spans="2:7" x14ac:dyDescent="0.3">
      <c r="B1505" s="58" t="s">
        <v>3338</v>
      </c>
      <c r="C1505" s="58">
        <v>1757520599178</v>
      </c>
      <c r="D1505" s="58" t="s">
        <v>3348</v>
      </c>
      <c r="E1505" s="58" t="s">
        <v>422</v>
      </c>
      <c r="F1505" s="58" t="s">
        <v>420</v>
      </c>
      <c r="G1505" s="58"/>
    </row>
    <row r="1506" spans="2:7" x14ac:dyDescent="0.3">
      <c r="B1506" s="58" t="s">
        <v>426</v>
      </c>
      <c r="C1506" s="58">
        <v>1757520614617</v>
      </c>
      <c r="D1506" s="58" t="s">
        <v>3349</v>
      </c>
      <c r="E1506" s="58" t="s">
        <v>428</v>
      </c>
      <c r="F1506" s="58" t="s">
        <v>429</v>
      </c>
      <c r="G1506" s="58"/>
    </row>
    <row r="1507" spans="2:7" x14ac:dyDescent="0.3">
      <c r="B1507" s="58" t="s">
        <v>3338</v>
      </c>
      <c r="C1507" s="58">
        <v>1757520619330</v>
      </c>
      <c r="D1507" s="58" t="s">
        <v>3350</v>
      </c>
      <c r="E1507" s="58" t="s">
        <v>520</v>
      </c>
      <c r="F1507" s="58" t="s">
        <v>1435</v>
      </c>
      <c r="G1507" s="58"/>
    </row>
    <row r="1508" spans="2:7" x14ac:dyDescent="0.3">
      <c r="B1508" s="58" t="s">
        <v>426</v>
      </c>
      <c r="C1508" s="58">
        <v>1757520630109</v>
      </c>
      <c r="D1508" s="58" t="s">
        <v>3351</v>
      </c>
      <c r="E1508" s="58" t="s">
        <v>428</v>
      </c>
      <c r="F1508" s="58" t="s">
        <v>431</v>
      </c>
      <c r="G1508" s="58"/>
    </row>
    <row r="1509" spans="2:7" x14ac:dyDescent="0.3">
      <c r="B1509" s="58" t="s">
        <v>426</v>
      </c>
      <c r="C1509" s="58">
        <v>1757520644868</v>
      </c>
      <c r="D1509" s="58" t="s">
        <v>3352</v>
      </c>
      <c r="E1509" s="58" t="s">
        <v>428</v>
      </c>
      <c r="F1509" s="58" t="s">
        <v>447</v>
      </c>
      <c r="G1509" s="58"/>
    </row>
    <row r="1510" spans="2:7" x14ac:dyDescent="0.3">
      <c r="B1510" s="58" t="s">
        <v>3338</v>
      </c>
      <c r="C1510" s="58">
        <v>1757520646264</v>
      </c>
      <c r="D1510" s="58" t="s">
        <v>3353</v>
      </c>
      <c r="E1510" s="58" t="s">
        <v>525</v>
      </c>
      <c r="F1510" s="58" t="s">
        <v>1443</v>
      </c>
      <c r="G1510" s="58"/>
    </row>
    <row r="1511" spans="2:7" x14ac:dyDescent="0.3">
      <c r="B1511" s="58" t="s">
        <v>3338</v>
      </c>
      <c r="C1511" s="58">
        <v>1757520647809</v>
      </c>
      <c r="D1511" s="58" t="s">
        <v>3354</v>
      </c>
      <c r="E1511" s="58" t="s">
        <v>424</v>
      </c>
      <c r="F1511" s="58" t="s">
        <v>518</v>
      </c>
      <c r="G1511" s="58"/>
    </row>
    <row r="1512" spans="2:7" x14ac:dyDescent="0.3">
      <c r="B1512" s="58" t="s">
        <v>3338</v>
      </c>
      <c r="C1512" s="58">
        <v>1757520648838</v>
      </c>
      <c r="D1512" s="58" t="s">
        <v>3355</v>
      </c>
      <c r="E1512" s="58" t="s">
        <v>424</v>
      </c>
      <c r="F1512" s="58" t="s">
        <v>457</v>
      </c>
      <c r="G1512" s="58"/>
    </row>
    <row r="1513" spans="2:7" x14ac:dyDescent="0.3">
      <c r="B1513" s="58" t="s">
        <v>3338</v>
      </c>
      <c r="C1513" s="58">
        <v>1757520649382</v>
      </c>
      <c r="D1513" s="58" t="s">
        <v>3356</v>
      </c>
      <c r="E1513" s="58" t="s">
        <v>424</v>
      </c>
      <c r="F1513" s="58" t="s">
        <v>459</v>
      </c>
      <c r="G1513" s="58"/>
    </row>
    <row r="1514" spans="2:7" x14ac:dyDescent="0.3">
      <c r="B1514" s="58" t="s">
        <v>426</v>
      </c>
      <c r="C1514" s="58">
        <v>1757520663998</v>
      </c>
      <c r="D1514" s="58" t="s">
        <v>3357</v>
      </c>
      <c r="E1514" s="58" t="s">
        <v>428</v>
      </c>
      <c r="F1514" s="58" t="s">
        <v>435</v>
      </c>
      <c r="G1514" s="58"/>
    </row>
    <row r="1515" spans="2:7" x14ac:dyDescent="0.3">
      <c r="B1515" s="58" t="s">
        <v>3338</v>
      </c>
      <c r="C1515" s="58">
        <v>1757520666415</v>
      </c>
      <c r="D1515" s="58" t="s">
        <v>3358</v>
      </c>
      <c r="E1515" s="58" t="s">
        <v>520</v>
      </c>
      <c r="F1515" s="58" t="s">
        <v>1281</v>
      </c>
      <c r="G1515" s="58"/>
    </row>
    <row r="1516" spans="2:7" x14ac:dyDescent="0.3">
      <c r="B1516" s="58" t="s">
        <v>3338</v>
      </c>
      <c r="C1516" s="58">
        <v>1757520675980</v>
      </c>
      <c r="D1516" s="58" t="s">
        <v>3359</v>
      </c>
      <c r="E1516" s="58" t="s">
        <v>525</v>
      </c>
      <c r="F1516" s="58" t="s">
        <v>1283</v>
      </c>
      <c r="G1516" s="58"/>
    </row>
    <row r="1517" spans="2:7" x14ac:dyDescent="0.3">
      <c r="B1517" s="58" t="s">
        <v>426</v>
      </c>
      <c r="C1517" s="58">
        <v>1757520683114</v>
      </c>
      <c r="D1517" s="58" t="s">
        <v>3360</v>
      </c>
      <c r="E1517" s="58" t="s">
        <v>428</v>
      </c>
      <c r="F1517" s="58" t="s">
        <v>437</v>
      </c>
      <c r="G1517" s="58"/>
    </row>
    <row r="1518" spans="2:7" x14ac:dyDescent="0.3">
      <c r="B1518" s="58" t="s">
        <v>3338</v>
      </c>
      <c r="C1518" s="58">
        <v>1757520690018</v>
      </c>
      <c r="D1518" s="58" t="s">
        <v>3361</v>
      </c>
      <c r="E1518" s="58" t="s">
        <v>424</v>
      </c>
      <c r="F1518" s="58" t="s">
        <v>461</v>
      </c>
      <c r="G1518" s="58"/>
    </row>
    <row r="1519" spans="2:7" x14ac:dyDescent="0.3">
      <c r="B1519" s="58" t="s">
        <v>3338</v>
      </c>
      <c r="C1519" s="58">
        <v>1757520696109</v>
      </c>
      <c r="D1519" s="58" t="s">
        <v>3362</v>
      </c>
      <c r="E1519" s="58" t="s">
        <v>520</v>
      </c>
      <c r="F1519" s="58" t="s">
        <v>2421</v>
      </c>
      <c r="G1519" s="58"/>
    </row>
    <row r="1520" spans="2:7" x14ac:dyDescent="0.3">
      <c r="B1520" s="58" t="s">
        <v>426</v>
      </c>
      <c r="C1520" s="58">
        <v>1757520701518</v>
      </c>
      <c r="D1520" s="58" t="s">
        <v>3363</v>
      </c>
      <c r="E1520" s="58" t="s">
        <v>428</v>
      </c>
      <c r="F1520" s="58" t="s">
        <v>439</v>
      </c>
      <c r="G1520" s="58"/>
    </row>
    <row r="1521" spans="1:7" x14ac:dyDescent="0.3">
      <c r="B1521" s="58" t="s">
        <v>3338</v>
      </c>
      <c r="C1521" s="58">
        <v>1757520709822</v>
      </c>
      <c r="D1521" s="58" t="s">
        <v>3364</v>
      </c>
      <c r="E1521" s="58" t="s">
        <v>525</v>
      </c>
      <c r="F1521" s="58" t="s">
        <v>2424</v>
      </c>
      <c r="G1521" s="58"/>
    </row>
    <row r="1522" spans="1:7" x14ac:dyDescent="0.3">
      <c r="B1522" s="58" t="s">
        <v>3338</v>
      </c>
      <c r="C1522" s="58">
        <v>1757520711251</v>
      </c>
      <c r="D1522" s="58" t="s">
        <v>3365</v>
      </c>
      <c r="E1522" s="58" t="s">
        <v>424</v>
      </c>
      <c r="F1522" s="58" t="s">
        <v>433</v>
      </c>
      <c r="G1522" s="58"/>
    </row>
    <row r="1523" spans="1:7" x14ac:dyDescent="0.3">
      <c r="B1523" s="58" t="s">
        <v>426</v>
      </c>
      <c r="C1523" s="58">
        <v>1757520717733</v>
      </c>
      <c r="D1523" s="58" t="s">
        <v>3366</v>
      </c>
      <c r="E1523" s="58" t="s">
        <v>428</v>
      </c>
      <c r="F1523" s="58" t="s">
        <v>538</v>
      </c>
      <c r="G1523" s="58"/>
    </row>
    <row r="1524" spans="1:7" x14ac:dyDescent="0.3">
      <c r="B1524" s="58" t="s">
        <v>3338</v>
      </c>
      <c r="C1524" s="58">
        <v>1757520719256</v>
      </c>
      <c r="D1524" s="58" t="s">
        <v>3367</v>
      </c>
      <c r="E1524" s="58" t="s">
        <v>424</v>
      </c>
      <c r="F1524" s="58" t="s">
        <v>449</v>
      </c>
      <c r="G1524" s="58"/>
    </row>
    <row r="1525" spans="1:7" x14ac:dyDescent="0.3">
      <c r="B1525" s="58" t="s">
        <v>3338</v>
      </c>
      <c r="C1525" s="58">
        <v>1757520720019</v>
      </c>
      <c r="D1525" s="58" t="s">
        <v>3368</v>
      </c>
      <c r="E1525" s="58" t="s">
        <v>424</v>
      </c>
      <c r="F1525" s="58" t="s">
        <v>451</v>
      </c>
      <c r="G1525" s="58"/>
    </row>
    <row r="1526" spans="1:7" x14ac:dyDescent="0.3">
      <c r="B1526" s="58" t="s">
        <v>3338</v>
      </c>
      <c r="C1526" s="58">
        <v>1757520729951</v>
      </c>
      <c r="D1526" s="58" t="s">
        <v>3369</v>
      </c>
      <c r="E1526" s="58" t="s">
        <v>520</v>
      </c>
      <c r="F1526" s="58" t="s">
        <v>675</v>
      </c>
      <c r="G1526" s="58"/>
    </row>
    <row r="1527" spans="1:7" x14ac:dyDescent="0.3">
      <c r="B1527" s="58" t="s">
        <v>426</v>
      </c>
      <c r="C1527" s="58">
        <v>1757520735480</v>
      </c>
      <c r="D1527" s="58" t="s">
        <v>3370</v>
      </c>
      <c r="E1527" s="58" t="s">
        <v>428</v>
      </c>
      <c r="F1527" s="58" t="s">
        <v>672</v>
      </c>
      <c r="G1527" s="58"/>
    </row>
    <row r="1528" spans="1:7" x14ac:dyDescent="0.3">
      <c r="B1528" s="58" t="s">
        <v>3338</v>
      </c>
      <c r="C1528" s="58">
        <v>1757520742884</v>
      </c>
      <c r="D1528" s="58" t="s">
        <v>3371</v>
      </c>
      <c r="E1528" s="58" t="s">
        <v>525</v>
      </c>
      <c r="F1528" s="58" t="s">
        <v>677</v>
      </c>
      <c r="G1528" s="58"/>
    </row>
    <row r="1529" spans="1:7" x14ac:dyDescent="0.3">
      <c r="B1529" s="58" t="s">
        <v>3338</v>
      </c>
      <c r="C1529" s="58">
        <v>1757520744306</v>
      </c>
      <c r="D1529" s="58" t="s">
        <v>3372</v>
      </c>
      <c r="E1529" s="58" t="s">
        <v>424</v>
      </c>
      <c r="F1529" s="58" t="s">
        <v>441</v>
      </c>
      <c r="G1529" s="58"/>
    </row>
    <row r="1530" spans="1:7" x14ac:dyDescent="0.3">
      <c r="B1530" s="58" t="s">
        <v>3338</v>
      </c>
      <c r="C1530" s="58">
        <v>1757520750111</v>
      </c>
      <c r="D1530" s="58" t="s">
        <v>3373</v>
      </c>
      <c r="E1530" s="58" t="s">
        <v>424</v>
      </c>
      <c r="F1530" s="58" t="s">
        <v>570</v>
      </c>
      <c r="G1530" s="58"/>
    </row>
    <row r="1531" spans="1:7" x14ac:dyDescent="0.3">
      <c r="B1531" s="58" t="s">
        <v>3338</v>
      </c>
      <c r="C1531" s="58">
        <v>1757520750684</v>
      </c>
      <c r="D1531" s="58" t="s">
        <v>3374</v>
      </c>
      <c r="E1531" s="58" t="s">
        <v>463</v>
      </c>
      <c r="F1531" s="58" t="s">
        <v>464</v>
      </c>
      <c r="G1531" s="58"/>
    </row>
    <row r="1532" spans="1:7" x14ac:dyDescent="0.3">
      <c r="B1532" s="58" t="s">
        <v>426</v>
      </c>
      <c r="C1532" s="58">
        <v>1757520752481</v>
      </c>
      <c r="D1532" s="58" t="s">
        <v>3375</v>
      </c>
      <c r="E1532" s="58" t="s">
        <v>428</v>
      </c>
      <c r="F1532" s="58" t="s">
        <v>523</v>
      </c>
      <c r="G1532" s="58"/>
    </row>
    <row r="1533" spans="1:7" ht="21" x14ac:dyDescent="0.4">
      <c r="A1533" s="69" t="s">
        <v>50</v>
      </c>
      <c r="B1533" s="63" t="s">
        <v>3376</v>
      </c>
      <c r="C1533" s="63">
        <v>1757662684234</v>
      </c>
      <c r="D1533" s="63" t="s">
        <v>3377</v>
      </c>
      <c r="E1533" s="63" t="s">
        <v>416</v>
      </c>
    </row>
    <row r="1534" spans="1:7" x14ac:dyDescent="0.3">
      <c r="B1534" s="63" t="s">
        <v>3376</v>
      </c>
      <c r="C1534" s="63">
        <v>1757662684745</v>
      </c>
      <c r="D1534" s="63" t="s">
        <v>3378</v>
      </c>
      <c r="E1534" s="63" t="s">
        <v>419</v>
      </c>
    </row>
    <row r="1535" spans="1:7" x14ac:dyDescent="0.3">
      <c r="B1535" s="63" t="s">
        <v>3376</v>
      </c>
      <c r="C1535" s="63">
        <v>1757662703881</v>
      </c>
      <c r="D1535" s="63" t="s">
        <v>3379</v>
      </c>
      <c r="E1535" s="63" t="s">
        <v>389</v>
      </c>
    </row>
    <row r="1536" spans="1:7" x14ac:dyDescent="0.3">
      <c r="B1536" s="63" t="s">
        <v>3376</v>
      </c>
      <c r="C1536" s="63">
        <v>1757662706905</v>
      </c>
      <c r="D1536" s="63" t="s">
        <v>3380</v>
      </c>
      <c r="E1536" s="63" t="s">
        <v>389</v>
      </c>
    </row>
    <row r="1537" spans="2:5" x14ac:dyDescent="0.3">
      <c r="B1537" s="63" t="s">
        <v>3376</v>
      </c>
      <c r="C1537" s="63">
        <v>1757662719024</v>
      </c>
      <c r="D1537" s="63" t="s">
        <v>3381</v>
      </c>
      <c r="E1537" s="63" t="s">
        <v>389</v>
      </c>
    </row>
    <row r="1538" spans="2:5" x14ac:dyDescent="0.3">
      <c r="B1538" s="63" t="s">
        <v>3376</v>
      </c>
      <c r="C1538" s="63">
        <v>1757662720061</v>
      </c>
      <c r="D1538" s="63" t="s">
        <v>3382</v>
      </c>
      <c r="E1538" s="63" t="s">
        <v>389</v>
      </c>
    </row>
    <row r="1539" spans="2:5" x14ac:dyDescent="0.3">
      <c r="B1539" s="63" t="s">
        <v>3376</v>
      </c>
      <c r="C1539" s="63">
        <v>1757662721013</v>
      </c>
      <c r="D1539" s="63" t="s">
        <v>3383</v>
      </c>
      <c r="E1539" s="63" t="s">
        <v>389</v>
      </c>
    </row>
    <row r="1540" spans="2:5" x14ac:dyDescent="0.3">
      <c r="B1540" s="63" t="s">
        <v>3376</v>
      </c>
      <c r="C1540" s="63">
        <v>1757662721409</v>
      </c>
      <c r="D1540" s="63" t="s">
        <v>3384</v>
      </c>
      <c r="E1540" s="63" t="s">
        <v>389</v>
      </c>
    </row>
    <row r="1541" spans="2:5" x14ac:dyDescent="0.3">
      <c r="B1541" s="63" t="s">
        <v>3376</v>
      </c>
      <c r="C1541" s="63">
        <v>1757662722924</v>
      </c>
      <c r="D1541" s="63" t="s">
        <v>3385</v>
      </c>
      <c r="E1541" s="63" t="s">
        <v>389</v>
      </c>
    </row>
    <row r="1542" spans="2:5" x14ac:dyDescent="0.3">
      <c r="B1542" s="63" t="s">
        <v>3376</v>
      </c>
      <c r="C1542" s="63">
        <v>1757662724466</v>
      </c>
      <c r="D1542" s="63" t="s">
        <v>3386</v>
      </c>
      <c r="E1542" s="63" t="s">
        <v>389</v>
      </c>
    </row>
    <row r="1543" spans="2:5" x14ac:dyDescent="0.3">
      <c r="B1543" s="63" t="s">
        <v>3376</v>
      </c>
      <c r="C1543" s="63">
        <v>1757662725731</v>
      </c>
      <c r="D1543" s="63" t="s">
        <v>3387</v>
      </c>
      <c r="E1543" s="63" t="s">
        <v>389</v>
      </c>
    </row>
    <row r="1544" spans="2:5" x14ac:dyDescent="0.3">
      <c r="B1544" s="63" t="s">
        <v>3376</v>
      </c>
      <c r="C1544" s="63">
        <v>1757662725855</v>
      </c>
      <c r="D1544" s="63" t="s">
        <v>3388</v>
      </c>
      <c r="E1544" s="63" t="s">
        <v>389</v>
      </c>
    </row>
    <row r="1545" spans="2:5" x14ac:dyDescent="0.3">
      <c r="B1545" s="63" t="s">
        <v>3376</v>
      </c>
      <c r="C1545" s="63">
        <v>1757662725956</v>
      </c>
      <c r="D1545" s="63" t="s">
        <v>3389</v>
      </c>
      <c r="E1545" s="63" t="s">
        <v>389</v>
      </c>
    </row>
    <row r="1546" spans="2:5" x14ac:dyDescent="0.3">
      <c r="B1546" s="63" t="s">
        <v>3376</v>
      </c>
      <c r="C1546" s="63">
        <v>1757662726076</v>
      </c>
      <c r="D1546" s="63" t="s">
        <v>3390</v>
      </c>
      <c r="E1546" s="63" t="s">
        <v>389</v>
      </c>
    </row>
    <row r="1547" spans="2:5" x14ac:dyDescent="0.3">
      <c r="B1547" s="63" t="s">
        <v>3376</v>
      </c>
      <c r="C1547" s="63">
        <v>1757662726184</v>
      </c>
      <c r="D1547" s="63" t="s">
        <v>3391</v>
      </c>
      <c r="E1547" s="63" t="s">
        <v>389</v>
      </c>
    </row>
    <row r="1548" spans="2:5" x14ac:dyDescent="0.3">
      <c r="B1548" s="63" t="s">
        <v>3376</v>
      </c>
      <c r="C1548" s="63">
        <v>1757662726263</v>
      </c>
      <c r="D1548" s="63" t="s">
        <v>3392</v>
      </c>
      <c r="E1548" s="63" t="s">
        <v>389</v>
      </c>
    </row>
    <row r="1549" spans="2:5" x14ac:dyDescent="0.3">
      <c r="B1549" s="63" t="s">
        <v>3376</v>
      </c>
      <c r="C1549" s="63">
        <v>1757662726319</v>
      </c>
      <c r="D1549" s="63" t="s">
        <v>3393</v>
      </c>
      <c r="E1549" s="63" t="s">
        <v>389</v>
      </c>
    </row>
    <row r="1550" spans="2:5" x14ac:dyDescent="0.3">
      <c r="B1550" s="63" t="s">
        <v>3376</v>
      </c>
      <c r="C1550" s="63">
        <v>1757662726388</v>
      </c>
      <c r="D1550" s="63" t="s">
        <v>3394</v>
      </c>
      <c r="E1550" s="63" t="s">
        <v>389</v>
      </c>
    </row>
    <row r="1551" spans="2:5" x14ac:dyDescent="0.3">
      <c r="B1551" s="63" t="s">
        <v>3376</v>
      </c>
      <c r="C1551" s="63">
        <v>1757662726492</v>
      </c>
      <c r="D1551" s="63" t="s">
        <v>3395</v>
      </c>
      <c r="E1551" s="63" t="s">
        <v>389</v>
      </c>
    </row>
    <row r="1552" spans="2:5" x14ac:dyDescent="0.3">
      <c r="B1552" s="63" t="s">
        <v>3376</v>
      </c>
      <c r="C1552" s="63">
        <v>1757662726629</v>
      </c>
      <c r="D1552" s="63" t="s">
        <v>3396</v>
      </c>
      <c r="E1552" s="63" t="s">
        <v>389</v>
      </c>
    </row>
    <row r="1553" spans="2:6" x14ac:dyDescent="0.3">
      <c r="B1553" s="63" t="s">
        <v>3376</v>
      </c>
      <c r="C1553" s="63">
        <v>1757662726695</v>
      </c>
      <c r="D1553" s="63" t="s">
        <v>3397</v>
      </c>
      <c r="E1553" s="63" t="s">
        <v>389</v>
      </c>
    </row>
    <row r="1554" spans="2:6" x14ac:dyDescent="0.3">
      <c r="B1554" s="63" t="s">
        <v>3376</v>
      </c>
      <c r="C1554" s="63">
        <v>1757662726752</v>
      </c>
      <c r="D1554" s="63" t="s">
        <v>3398</v>
      </c>
      <c r="E1554" s="63" t="s">
        <v>389</v>
      </c>
    </row>
    <row r="1555" spans="2:6" x14ac:dyDescent="0.3">
      <c r="B1555" s="63" t="s">
        <v>3376</v>
      </c>
      <c r="C1555" s="63">
        <v>1757662726808</v>
      </c>
      <c r="D1555" s="63" t="s">
        <v>3399</v>
      </c>
      <c r="E1555" s="63" t="s">
        <v>389</v>
      </c>
    </row>
    <row r="1556" spans="2:6" x14ac:dyDescent="0.3">
      <c r="B1556" s="63" t="s">
        <v>3376</v>
      </c>
      <c r="C1556" s="63">
        <v>1757662726864</v>
      </c>
      <c r="D1556" s="63" t="s">
        <v>3400</v>
      </c>
      <c r="E1556" s="63" t="s">
        <v>389</v>
      </c>
    </row>
    <row r="1557" spans="2:6" x14ac:dyDescent="0.3">
      <c r="B1557" s="63" t="s">
        <v>3376</v>
      </c>
      <c r="C1557" s="63">
        <v>1757662726946</v>
      </c>
      <c r="D1557" s="63" t="s">
        <v>3401</v>
      </c>
      <c r="E1557" s="63" t="s">
        <v>389</v>
      </c>
      <c r="F1557" s="63" t="s">
        <v>3402</v>
      </c>
    </row>
    <row r="1558" spans="2:6" x14ac:dyDescent="0.3">
      <c r="B1558" s="63" t="s">
        <v>3376</v>
      </c>
      <c r="C1558" s="63">
        <v>1757662726985</v>
      </c>
      <c r="D1558" s="63" t="s">
        <v>3403</v>
      </c>
      <c r="E1558" s="63" t="s">
        <v>389</v>
      </c>
      <c r="F1558" s="63" t="s">
        <v>3404</v>
      </c>
    </row>
    <row r="1559" spans="2:6" x14ac:dyDescent="0.3">
      <c r="B1559" s="63" t="s">
        <v>3376</v>
      </c>
      <c r="C1559" s="63">
        <v>1757662727026</v>
      </c>
      <c r="D1559" s="63" t="s">
        <v>3405</v>
      </c>
      <c r="E1559" s="63" t="s">
        <v>389</v>
      </c>
      <c r="F1559" s="63" t="s">
        <v>818</v>
      </c>
    </row>
    <row r="1560" spans="2:6" x14ac:dyDescent="0.3">
      <c r="B1560" s="63" t="s">
        <v>3376</v>
      </c>
      <c r="C1560" s="63">
        <v>1757662727072</v>
      </c>
      <c r="D1560" s="63" t="s">
        <v>3406</v>
      </c>
      <c r="E1560" s="63" t="s">
        <v>389</v>
      </c>
      <c r="F1560" s="63" t="s">
        <v>966</v>
      </c>
    </row>
    <row r="1561" spans="2:6" x14ac:dyDescent="0.3">
      <c r="B1561" s="63" t="s">
        <v>3376</v>
      </c>
      <c r="C1561" s="63">
        <v>1757662727121</v>
      </c>
      <c r="D1561" s="63" t="s">
        <v>3407</v>
      </c>
      <c r="E1561" s="63" t="s">
        <v>389</v>
      </c>
      <c r="F1561" s="63" t="s">
        <v>964</v>
      </c>
    </row>
    <row r="1562" spans="2:6" x14ac:dyDescent="0.3">
      <c r="B1562" s="63" t="s">
        <v>3376</v>
      </c>
      <c r="C1562" s="63">
        <v>1757662727169</v>
      </c>
      <c r="D1562" s="63" t="s">
        <v>3408</v>
      </c>
      <c r="E1562" s="63" t="s">
        <v>389</v>
      </c>
      <c r="F1562" s="63" t="s">
        <v>966</v>
      </c>
    </row>
    <row r="1563" spans="2:6" x14ac:dyDescent="0.3">
      <c r="B1563" s="63" t="s">
        <v>3376</v>
      </c>
      <c r="C1563" s="63">
        <v>1757662727219</v>
      </c>
      <c r="D1563" s="63" t="s">
        <v>3409</v>
      </c>
      <c r="E1563" s="63" t="s">
        <v>389</v>
      </c>
      <c r="F1563" s="63" t="s">
        <v>964</v>
      </c>
    </row>
    <row r="1564" spans="2:6" x14ac:dyDescent="0.3">
      <c r="B1564" s="63" t="s">
        <v>3376</v>
      </c>
      <c r="C1564" s="63">
        <v>1757662727270</v>
      </c>
      <c r="D1564" s="63" t="s">
        <v>3410</v>
      </c>
      <c r="E1564" s="63" t="s">
        <v>389</v>
      </c>
      <c r="F1564" s="63" t="s">
        <v>966</v>
      </c>
    </row>
    <row r="1565" spans="2:6" x14ac:dyDescent="0.3">
      <c r="B1565" s="63" t="s">
        <v>3376</v>
      </c>
      <c r="C1565" s="63">
        <v>1757662727333</v>
      </c>
      <c r="D1565" s="63" t="s">
        <v>3411</v>
      </c>
      <c r="E1565" s="63" t="s">
        <v>389</v>
      </c>
      <c r="F1565" s="63" t="s">
        <v>964</v>
      </c>
    </row>
    <row r="1566" spans="2:6" x14ac:dyDescent="0.3">
      <c r="B1566" s="63" t="s">
        <v>3376</v>
      </c>
      <c r="C1566" s="63">
        <v>1757662727389</v>
      </c>
      <c r="D1566" s="63" t="s">
        <v>3412</v>
      </c>
      <c r="E1566" s="63" t="s">
        <v>389</v>
      </c>
      <c r="F1566" s="63" t="s">
        <v>968</v>
      </c>
    </row>
    <row r="1567" spans="2:6" x14ac:dyDescent="0.3">
      <c r="B1567" s="63" t="s">
        <v>3376</v>
      </c>
      <c r="C1567" s="63">
        <v>1757662727463</v>
      </c>
      <c r="D1567" s="63" t="s">
        <v>3413</v>
      </c>
      <c r="E1567" s="63" t="s">
        <v>389</v>
      </c>
      <c r="F1567" s="63" t="s">
        <v>390</v>
      </c>
    </row>
    <row r="1568" spans="2:6" x14ac:dyDescent="0.3">
      <c r="B1568" s="63" t="s">
        <v>3376</v>
      </c>
      <c r="C1568" s="63">
        <v>1757662727529</v>
      </c>
      <c r="D1568" s="63" t="s">
        <v>3414</v>
      </c>
      <c r="E1568" s="63" t="s">
        <v>389</v>
      </c>
      <c r="F1568" s="63" t="s">
        <v>979</v>
      </c>
    </row>
    <row r="1569" spans="2:6" x14ac:dyDescent="0.3">
      <c r="B1569" s="63" t="s">
        <v>3376</v>
      </c>
      <c r="C1569" s="63">
        <v>1757662727582</v>
      </c>
      <c r="D1569" s="63" t="s">
        <v>3415</v>
      </c>
      <c r="E1569" s="63" t="s">
        <v>389</v>
      </c>
      <c r="F1569" s="63" t="s">
        <v>968</v>
      </c>
    </row>
    <row r="1570" spans="2:6" x14ac:dyDescent="0.3">
      <c r="B1570" s="63" t="s">
        <v>3376</v>
      </c>
      <c r="C1570" s="63">
        <v>1757662727667</v>
      </c>
      <c r="D1570" s="63" t="s">
        <v>3416</v>
      </c>
      <c r="E1570" s="63" t="s">
        <v>389</v>
      </c>
      <c r="F1570" s="63" t="s">
        <v>979</v>
      </c>
    </row>
    <row r="1571" spans="2:6" x14ac:dyDescent="0.3">
      <c r="B1571" s="63" t="s">
        <v>3376</v>
      </c>
      <c r="C1571" s="63">
        <v>1757662727735</v>
      </c>
      <c r="D1571" s="63" t="s">
        <v>3417</v>
      </c>
      <c r="E1571" s="63" t="s">
        <v>389</v>
      </c>
      <c r="F1571" s="63" t="s">
        <v>390</v>
      </c>
    </row>
    <row r="1572" spans="2:6" x14ac:dyDescent="0.3">
      <c r="B1572" s="63" t="s">
        <v>3376</v>
      </c>
      <c r="C1572" s="63">
        <v>1757662727790</v>
      </c>
      <c r="D1572" s="63" t="s">
        <v>3418</v>
      </c>
      <c r="E1572" s="63" t="s">
        <v>389</v>
      </c>
      <c r="F1572" s="63" t="s">
        <v>979</v>
      </c>
    </row>
    <row r="1573" spans="2:6" x14ac:dyDescent="0.3">
      <c r="B1573" s="63" t="s">
        <v>3376</v>
      </c>
      <c r="C1573" s="63">
        <v>1757662727846</v>
      </c>
      <c r="D1573" s="63" t="s">
        <v>3419</v>
      </c>
      <c r="E1573" s="63" t="s">
        <v>389</v>
      </c>
      <c r="F1573" s="63" t="s">
        <v>390</v>
      </c>
    </row>
    <row r="1574" spans="2:6" x14ac:dyDescent="0.3">
      <c r="B1574" s="63" t="s">
        <v>3376</v>
      </c>
      <c r="C1574" s="63">
        <v>1757662727912</v>
      </c>
      <c r="D1574" s="63" t="s">
        <v>3420</v>
      </c>
      <c r="E1574" s="63" t="s">
        <v>389</v>
      </c>
      <c r="F1574" s="63" t="s">
        <v>979</v>
      </c>
    </row>
    <row r="1575" spans="2:6" x14ac:dyDescent="0.3">
      <c r="B1575" s="63" t="s">
        <v>3376</v>
      </c>
      <c r="C1575" s="63">
        <v>1757662727971</v>
      </c>
      <c r="D1575" s="63" t="s">
        <v>3421</v>
      </c>
      <c r="E1575" s="63" t="s">
        <v>389</v>
      </c>
      <c r="F1575" s="63" t="s">
        <v>966</v>
      </c>
    </row>
    <row r="1576" spans="2:6" x14ac:dyDescent="0.3">
      <c r="B1576" s="63" t="s">
        <v>3376</v>
      </c>
      <c r="C1576" s="63">
        <v>1757662728038</v>
      </c>
      <c r="D1576" s="63" t="s">
        <v>3422</v>
      </c>
      <c r="E1576" s="63" t="s">
        <v>389</v>
      </c>
      <c r="F1576" s="63" t="s">
        <v>968</v>
      </c>
    </row>
    <row r="1577" spans="2:6" x14ac:dyDescent="0.3">
      <c r="B1577" s="63" t="s">
        <v>3376</v>
      </c>
      <c r="C1577" s="63">
        <v>1757662728092</v>
      </c>
      <c r="D1577" s="63" t="s">
        <v>3423</v>
      </c>
      <c r="E1577" s="63" t="s">
        <v>389</v>
      </c>
      <c r="F1577" s="63" t="s">
        <v>966</v>
      </c>
    </row>
    <row r="1578" spans="2:6" x14ac:dyDescent="0.3">
      <c r="B1578" s="63" t="s">
        <v>3376</v>
      </c>
      <c r="C1578" s="63">
        <v>1757662728145</v>
      </c>
      <c r="D1578" s="63" t="s">
        <v>3424</v>
      </c>
      <c r="E1578" s="63" t="s">
        <v>389</v>
      </c>
      <c r="F1578" s="63" t="s">
        <v>968</v>
      </c>
    </row>
    <row r="1579" spans="2:6" x14ac:dyDescent="0.3">
      <c r="B1579" s="63" t="s">
        <v>3376</v>
      </c>
      <c r="C1579" s="63">
        <v>1757662728198</v>
      </c>
      <c r="D1579" s="63" t="s">
        <v>3425</v>
      </c>
      <c r="E1579" s="63" t="s">
        <v>389</v>
      </c>
      <c r="F1579" s="63" t="s">
        <v>966</v>
      </c>
    </row>
    <row r="1580" spans="2:6" x14ac:dyDescent="0.3">
      <c r="B1580" s="63" t="s">
        <v>3376</v>
      </c>
      <c r="C1580" s="63">
        <v>1757662728239</v>
      </c>
      <c r="D1580" s="63" t="s">
        <v>3426</v>
      </c>
      <c r="E1580" s="63" t="s">
        <v>389</v>
      </c>
      <c r="F1580" s="63" t="s">
        <v>964</v>
      </c>
    </row>
    <row r="1581" spans="2:6" x14ac:dyDescent="0.3">
      <c r="B1581" s="63" t="s">
        <v>3376</v>
      </c>
      <c r="C1581" s="63">
        <v>1757662728297</v>
      </c>
      <c r="D1581" s="63" t="s">
        <v>3427</v>
      </c>
      <c r="E1581" s="63" t="s">
        <v>389</v>
      </c>
      <c r="F1581" s="63" t="s">
        <v>3428</v>
      </c>
    </row>
    <row r="1582" spans="2:6" x14ac:dyDescent="0.3">
      <c r="B1582" s="63" t="s">
        <v>3376</v>
      </c>
      <c r="C1582" s="63">
        <v>1757662728355</v>
      </c>
      <c r="D1582" s="63" t="s">
        <v>3429</v>
      </c>
      <c r="E1582" s="63" t="s">
        <v>389</v>
      </c>
      <c r="F1582" s="63" t="s">
        <v>3430</v>
      </c>
    </row>
    <row r="1583" spans="2:6" x14ac:dyDescent="0.3">
      <c r="B1583" s="63" t="s">
        <v>3376</v>
      </c>
      <c r="C1583" s="63">
        <v>1757662728423</v>
      </c>
      <c r="D1583" s="63" t="s">
        <v>3431</v>
      </c>
      <c r="E1583" s="63" t="s">
        <v>389</v>
      </c>
      <c r="F1583" s="63" t="s">
        <v>3402</v>
      </c>
    </row>
    <row r="1584" spans="2:6" x14ac:dyDescent="0.3">
      <c r="B1584" s="63" t="s">
        <v>3376</v>
      </c>
      <c r="C1584" s="63">
        <v>1757662728476</v>
      </c>
      <c r="D1584" s="63" t="s">
        <v>3432</v>
      </c>
      <c r="E1584" s="63" t="s">
        <v>389</v>
      </c>
      <c r="F1584" s="63" t="s">
        <v>3430</v>
      </c>
    </row>
    <row r="1585" spans="2:6" x14ac:dyDescent="0.3">
      <c r="B1585" s="63" t="s">
        <v>3376</v>
      </c>
      <c r="C1585" s="63">
        <v>1757662728546</v>
      </c>
      <c r="D1585" s="63" t="s">
        <v>3433</v>
      </c>
      <c r="E1585" s="63" t="s">
        <v>389</v>
      </c>
      <c r="F1585" s="63" t="s">
        <v>968</v>
      </c>
    </row>
    <row r="1586" spans="2:6" x14ac:dyDescent="0.3">
      <c r="B1586" s="63" t="s">
        <v>3376</v>
      </c>
      <c r="C1586" s="63">
        <v>1757662728609</v>
      </c>
      <c r="D1586" s="63" t="s">
        <v>3434</v>
      </c>
      <c r="E1586" s="63" t="s">
        <v>389</v>
      </c>
      <c r="F1586" s="63" t="s">
        <v>979</v>
      </c>
    </row>
    <row r="1587" spans="2:6" x14ac:dyDescent="0.3">
      <c r="B1587" s="63" t="s">
        <v>3376</v>
      </c>
      <c r="C1587" s="63">
        <v>1757662728680</v>
      </c>
      <c r="D1587" s="63" t="s">
        <v>3435</v>
      </c>
      <c r="E1587" s="63" t="s">
        <v>389</v>
      </c>
      <c r="F1587" s="63" t="s">
        <v>968</v>
      </c>
    </row>
    <row r="1588" spans="2:6" x14ac:dyDescent="0.3">
      <c r="B1588" s="63" t="s">
        <v>3376</v>
      </c>
      <c r="C1588" s="63">
        <v>1757662728752</v>
      </c>
      <c r="D1588" s="63" t="s">
        <v>3436</v>
      </c>
      <c r="E1588" s="63" t="s">
        <v>389</v>
      </c>
      <c r="F1588" s="63" t="s">
        <v>979</v>
      </c>
    </row>
    <row r="1589" spans="2:6" x14ac:dyDescent="0.3">
      <c r="B1589" s="63" t="s">
        <v>3376</v>
      </c>
      <c r="C1589" s="63">
        <v>1757662728830</v>
      </c>
      <c r="D1589" s="63" t="s">
        <v>3437</v>
      </c>
      <c r="E1589" s="63" t="s">
        <v>389</v>
      </c>
      <c r="F1589" s="63" t="s">
        <v>968</v>
      </c>
    </row>
    <row r="1590" spans="2:6" x14ac:dyDescent="0.3">
      <c r="B1590" s="63" t="s">
        <v>3376</v>
      </c>
      <c r="C1590" s="63">
        <v>1757662729576</v>
      </c>
      <c r="D1590" s="63" t="s">
        <v>3438</v>
      </c>
      <c r="E1590" s="63" t="s">
        <v>389</v>
      </c>
      <c r="F1590" s="63" t="s">
        <v>390</v>
      </c>
    </row>
    <row r="1591" spans="2:6" x14ac:dyDescent="0.3">
      <c r="B1591" s="63" t="s">
        <v>3376</v>
      </c>
      <c r="C1591" s="63">
        <v>1757662730754</v>
      </c>
      <c r="D1591" s="63" t="s">
        <v>3439</v>
      </c>
      <c r="E1591" s="63" t="s">
        <v>389</v>
      </c>
      <c r="F1591" s="63" t="s">
        <v>392</v>
      </c>
    </row>
    <row r="1592" spans="2:6" x14ac:dyDescent="0.3">
      <c r="B1592" s="63" t="s">
        <v>3376</v>
      </c>
      <c r="C1592" s="63">
        <v>1757662740232</v>
      </c>
      <c r="D1592" s="63" t="s">
        <v>3440</v>
      </c>
      <c r="E1592" s="63" t="s">
        <v>389</v>
      </c>
      <c r="F1592" s="63" t="s">
        <v>400</v>
      </c>
    </row>
    <row r="1593" spans="2:6" x14ac:dyDescent="0.3">
      <c r="B1593" s="63" t="s">
        <v>3376</v>
      </c>
      <c r="C1593" s="63">
        <v>1757662744226</v>
      </c>
      <c r="D1593" s="63" t="s">
        <v>3441</v>
      </c>
      <c r="E1593" s="63" t="s">
        <v>389</v>
      </c>
      <c r="F1593" s="63" t="s">
        <v>406</v>
      </c>
    </row>
    <row r="1594" spans="2:6" x14ac:dyDescent="0.3">
      <c r="B1594" s="63" t="s">
        <v>3376</v>
      </c>
      <c r="C1594" s="63">
        <v>1757662778225</v>
      </c>
      <c r="D1594" s="63" t="s">
        <v>3442</v>
      </c>
      <c r="E1594" s="63" t="s">
        <v>389</v>
      </c>
      <c r="F1594" s="63" t="s">
        <v>410</v>
      </c>
    </row>
    <row r="1595" spans="2:6" x14ac:dyDescent="0.3">
      <c r="B1595" s="63" t="s">
        <v>3376</v>
      </c>
      <c r="C1595" s="63">
        <v>1757662779101</v>
      </c>
      <c r="D1595" s="63" t="s">
        <v>3443</v>
      </c>
      <c r="E1595" s="63" t="s">
        <v>389</v>
      </c>
      <c r="F1595" s="63" t="s">
        <v>811</v>
      </c>
    </row>
    <row r="1596" spans="2:6" x14ac:dyDescent="0.3">
      <c r="B1596" s="63" t="s">
        <v>3376</v>
      </c>
      <c r="C1596" s="63">
        <v>1757662780144</v>
      </c>
      <c r="D1596" s="63" t="s">
        <v>3444</v>
      </c>
      <c r="E1596" s="63" t="s">
        <v>389</v>
      </c>
      <c r="F1596" s="63" t="s">
        <v>414</v>
      </c>
    </row>
    <row r="1597" spans="2:6" x14ac:dyDescent="0.3">
      <c r="B1597" s="63" t="s">
        <v>3376</v>
      </c>
      <c r="C1597" s="63">
        <v>1757662789623</v>
      </c>
      <c r="D1597" s="63" t="s">
        <v>3445</v>
      </c>
      <c r="E1597" s="63" t="s">
        <v>389</v>
      </c>
      <c r="F1597" s="63" t="s">
        <v>394</v>
      </c>
    </row>
    <row r="1598" spans="2:6" x14ac:dyDescent="0.3">
      <c r="B1598" s="63" t="s">
        <v>3376</v>
      </c>
      <c r="C1598" s="63">
        <v>1757662791721</v>
      </c>
      <c r="D1598" s="63" t="s">
        <v>3446</v>
      </c>
      <c r="E1598" s="63" t="s">
        <v>422</v>
      </c>
      <c r="F1598" s="63" t="s">
        <v>420</v>
      </c>
    </row>
    <row r="1599" spans="2:6" x14ac:dyDescent="0.3">
      <c r="B1599" s="63" t="s">
        <v>426</v>
      </c>
      <c r="C1599" s="63">
        <v>1757662809442</v>
      </c>
      <c r="D1599" s="63" t="s">
        <v>3447</v>
      </c>
      <c r="E1599" s="63" t="s">
        <v>428</v>
      </c>
      <c r="F1599" s="63" t="s">
        <v>453</v>
      </c>
    </row>
    <row r="1600" spans="2:6" x14ac:dyDescent="0.3">
      <c r="B1600" s="63" t="s">
        <v>3376</v>
      </c>
      <c r="C1600" s="63">
        <v>1757662811878</v>
      </c>
      <c r="D1600" s="63" t="s">
        <v>3448</v>
      </c>
      <c r="E1600" s="63" t="s">
        <v>520</v>
      </c>
      <c r="F1600" s="63" t="s">
        <v>1435</v>
      </c>
    </row>
    <row r="1601" spans="2:6" x14ac:dyDescent="0.3">
      <c r="B1601" s="63" t="s">
        <v>426</v>
      </c>
      <c r="C1601" s="63">
        <v>1757662825064</v>
      </c>
      <c r="D1601" s="63" t="s">
        <v>3449</v>
      </c>
      <c r="E1601" s="63" t="s">
        <v>428</v>
      </c>
      <c r="F1601" s="63" t="s">
        <v>435</v>
      </c>
    </row>
    <row r="1602" spans="2:6" x14ac:dyDescent="0.3">
      <c r="B1602" s="63" t="s">
        <v>3376</v>
      </c>
      <c r="C1602" s="63">
        <v>1757662826859</v>
      </c>
      <c r="D1602" s="63" t="s">
        <v>3450</v>
      </c>
      <c r="E1602" s="63" t="s">
        <v>525</v>
      </c>
      <c r="F1602" s="63" t="s">
        <v>1443</v>
      </c>
    </row>
    <row r="1603" spans="2:6" x14ac:dyDescent="0.3">
      <c r="B1603" s="63" t="s">
        <v>426</v>
      </c>
      <c r="C1603" s="63">
        <v>1757662839982</v>
      </c>
      <c r="D1603" s="63" t="s">
        <v>3451</v>
      </c>
      <c r="E1603" s="63" t="s">
        <v>428</v>
      </c>
      <c r="F1603" s="63" t="s">
        <v>437</v>
      </c>
    </row>
    <row r="1604" spans="2:6" x14ac:dyDescent="0.3">
      <c r="B1604" s="63" t="s">
        <v>3376</v>
      </c>
      <c r="C1604" s="63">
        <v>1757662840592</v>
      </c>
      <c r="D1604" s="63" t="s">
        <v>3452</v>
      </c>
      <c r="E1604" s="63" t="s">
        <v>424</v>
      </c>
      <c r="F1604" s="63" t="s">
        <v>457</v>
      </c>
    </row>
    <row r="1605" spans="2:6" x14ac:dyDescent="0.3">
      <c r="B1605" s="63" t="s">
        <v>3376</v>
      </c>
      <c r="C1605" s="63">
        <v>1757662844110</v>
      </c>
      <c r="D1605" s="63" t="s">
        <v>3453</v>
      </c>
      <c r="E1605" s="63" t="s">
        <v>424</v>
      </c>
      <c r="F1605" s="63" t="s">
        <v>459</v>
      </c>
    </row>
    <row r="1606" spans="2:6" x14ac:dyDescent="0.3">
      <c r="B1606" s="63" t="s">
        <v>3376</v>
      </c>
      <c r="C1606" s="63">
        <v>1757662846985</v>
      </c>
      <c r="D1606" s="63" t="s">
        <v>3454</v>
      </c>
      <c r="E1606" s="63" t="s">
        <v>520</v>
      </c>
      <c r="F1606" s="63" t="s">
        <v>1409</v>
      </c>
    </row>
    <row r="1607" spans="2:6" x14ac:dyDescent="0.3">
      <c r="B1607" s="63" t="s">
        <v>426</v>
      </c>
      <c r="C1607" s="63">
        <v>1757662856299</v>
      </c>
      <c r="D1607" s="63" t="s">
        <v>3455</v>
      </c>
      <c r="E1607" s="63" t="s">
        <v>428</v>
      </c>
      <c r="F1607" s="63" t="s">
        <v>439</v>
      </c>
    </row>
    <row r="1608" spans="2:6" x14ac:dyDescent="0.3">
      <c r="B1608" s="63" t="s">
        <v>3376</v>
      </c>
      <c r="C1608" s="63">
        <v>1757662859450</v>
      </c>
      <c r="D1608" s="63" t="s">
        <v>3456</v>
      </c>
      <c r="E1608" s="63" t="s">
        <v>525</v>
      </c>
      <c r="F1608" s="63" t="s">
        <v>1413</v>
      </c>
    </row>
    <row r="1609" spans="2:6" x14ac:dyDescent="0.3">
      <c r="B1609" s="63" t="s">
        <v>426</v>
      </c>
      <c r="C1609" s="63">
        <v>1757662874140</v>
      </c>
      <c r="D1609" s="63" t="s">
        <v>3457</v>
      </c>
      <c r="E1609" s="63" t="s">
        <v>428</v>
      </c>
      <c r="F1609" s="63" t="s">
        <v>429</v>
      </c>
    </row>
    <row r="1610" spans="2:6" x14ac:dyDescent="0.3">
      <c r="B1610" s="63" t="s">
        <v>3376</v>
      </c>
      <c r="C1610" s="63">
        <v>1757662879568</v>
      </c>
      <c r="D1610" s="63" t="s">
        <v>3458</v>
      </c>
      <c r="E1610" s="63" t="s">
        <v>520</v>
      </c>
      <c r="F1610" s="63" t="s">
        <v>615</v>
      </c>
    </row>
    <row r="1611" spans="2:6" x14ac:dyDescent="0.3">
      <c r="B1611" s="63" t="s">
        <v>426</v>
      </c>
      <c r="C1611" s="63">
        <v>1757662891934</v>
      </c>
      <c r="D1611" s="63" t="s">
        <v>3459</v>
      </c>
      <c r="E1611" s="63" t="s">
        <v>428</v>
      </c>
      <c r="F1611" s="63" t="s">
        <v>431</v>
      </c>
    </row>
    <row r="1612" spans="2:6" x14ac:dyDescent="0.3">
      <c r="B1612" s="63" t="s">
        <v>3376</v>
      </c>
      <c r="C1612" s="63">
        <v>1757662901909</v>
      </c>
      <c r="D1612" s="63" t="s">
        <v>3460</v>
      </c>
      <c r="E1612" s="63" t="s">
        <v>525</v>
      </c>
      <c r="F1612" s="63" t="s">
        <v>617</v>
      </c>
    </row>
    <row r="1613" spans="2:6" x14ac:dyDescent="0.3">
      <c r="B1613" s="63" t="s">
        <v>426</v>
      </c>
      <c r="C1613" s="63">
        <v>1757662907462</v>
      </c>
      <c r="D1613" s="63" t="s">
        <v>3461</v>
      </c>
      <c r="E1613" s="63" t="s">
        <v>428</v>
      </c>
      <c r="F1613" s="63" t="s">
        <v>538</v>
      </c>
    </row>
    <row r="1614" spans="2:6" x14ac:dyDescent="0.3">
      <c r="B1614" s="63" t="s">
        <v>3376</v>
      </c>
      <c r="C1614" s="63">
        <v>1757662922034</v>
      </c>
      <c r="D1614" s="63" t="s">
        <v>3462</v>
      </c>
      <c r="E1614" s="63" t="s">
        <v>520</v>
      </c>
      <c r="F1614" s="63" t="s">
        <v>1281</v>
      </c>
    </row>
    <row r="1615" spans="2:6" x14ac:dyDescent="0.3">
      <c r="B1615" s="63" t="s">
        <v>426</v>
      </c>
      <c r="C1615" s="63">
        <v>1757662925168</v>
      </c>
      <c r="D1615" s="63" t="s">
        <v>3463</v>
      </c>
      <c r="E1615" s="63" t="s">
        <v>428</v>
      </c>
      <c r="F1615" s="63" t="s">
        <v>672</v>
      </c>
    </row>
    <row r="1616" spans="2:6" x14ac:dyDescent="0.3">
      <c r="B1616" s="63" t="s">
        <v>3376</v>
      </c>
      <c r="C1616" s="63">
        <v>1757662931460</v>
      </c>
      <c r="D1616" s="63" t="s">
        <v>3464</v>
      </c>
      <c r="E1616" s="63" t="s">
        <v>525</v>
      </c>
      <c r="F1616" s="63" t="s">
        <v>1283</v>
      </c>
    </row>
    <row r="1617" spans="2:6" x14ac:dyDescent="0.3">
      <c r="B1617" s="63" t="s">
        <v>426</v>
      </c>
      <c r="C1617" s="63">
        <v>1757662946591</v>
      </c>
      <c r="D1617" s="63" t="s">
        <v>3465</v>
      </c>
      <c r="E1617" s="63" t="s">
        <v>428</v>
      </c>
      <c r="F1617" s="63" t="s">
        <v>455</v>
      </c>
    </row>
    <row r="1618" spans="2:6" x14ac:dyDescent="0.3">
      <c r="B1618" s="63" t="s">
        <v>3376</v>
      </c>
      <c r="C1618" s="63">
        <v>1757662951572</v>
      </c>
      <c r="D1618" s="63" t="s">
        <v>3466</v>
      </c>
      <c r="E1618" s="63" t="s">
        <v>520</v>
      </c>
      <c r="F1618" s="63" t="s">
        <v>2421</v>
      </c>
    </row>
    <row r="1619" spans="2:6" x14ac:dyDescent="0.3">
      <c r="B1619" s="63" t="s">
        <v>3376</v>
      </c>
      <c r="C1619" s="63">
        <v>1757662962671</v>
      </c>
      <c r="D1619" s="63" t="s">
        <v>3467</v>
      </c>
      <c r="E1619" s="63" t="s">
        <v>525</v>
      </c>
      <c r="F1619" s="63" t="s">
        <v>2424</v>
      </c>
    </row>
    <row r="1620" spans="2:6" x14ac:dyDescent="0.3">
      <c r="B1620" s="63" t="s">
        <v>3376</v>
      </c>
      <c r="C1620" s="63">
        <v>1757662964173</v>
      </c>
      <c r="D1620" s="63" t="s">
        <v>3468</v>
      </c>
      <c r="E1620" s="63" t="s">
        <v>424</v>
      </c>
      <c r="F1620" s="63" t="s">
        <v>461</v>
      </c>
    </row>
    <row r="1621" spans="2:6" x14ac:dyDescent="0.3">
      <c r="B1621" s="63" t="s">
        <v>3376</v>
      </c>
      <c r="C1621" s="63">
        <v>1757662970019</v>
      </c>
      <c r="D1621" s="63" t="s">
        <v>3469</v>
      </c>
      <c r="E1621" s="63" t="s">
        <v>424</v>
      </c>
      <c r="F1621" s="63" t="s">
        <v>425</v>
      </c>
    </row>
    <row r="1622" spans="2:6" x14ac:dyDescent="0.3">
      <c r="B1622" s="63" t="s">
        <v>3376</v>
      </c>
      <c r="C1622" s="63">
        <v>1757662982794</v>
      </c>
      <c r="D1622" s="63" t="s">
        <v>3470</v>
      </c>
      <c r="E1622" s="63" t="s">
        <v>520</v>
      </c>
      <c r="F1622" s="63" t="s">
        <v>559</v>
      </c>
    </row>
    <row r="1623" spans="2:6" x14ac:dyDescent="0.3">
      <c r="B1623" s="63" t="s">
        <v>3376</v>
      </c>
      <c r="C1623" s="63">
        <v>1757662989394</v>
      </c>
      <c r="D1623" s="63" t="s">
        <v>3471</v>
      </c>
      <c r="E1623" s="63" t="s">
        <v>525</v>
      </c>
      <c r="F1623" s="63" t="s">
        <v>561</v>
      </c>
    </row>
    <row r="1624" spans="2:6" x14ac:dyDescent="0.3">
      <c r="B1624" s="63" t="s">
        <v>3376</v>
      </c>
      <c r="C1624" s="63">
        <v>1757662991206</v>
      </c>
      <c r="D1624" s="63" t="s">
        <v>3472</v>
      </c>
      <c r="E1624" s="63" t="s">
        <v>424</v>
      </c>
      <c r="F1624" s="63" t="s">
        <v>441</v>
      </c>
    </row>
    <row r="1625" spans="2:6" x14ac:dyDescent="0.3">
      <c r="B1625" s="63" t="s">
        <v>3376</v>
      </c>
      <c r="C1625" s="63">
        <v>1757662993749</v>
      </c>
      <c r="D1625" s="63" t="s">
        <v>3473</v>
      </c>
      <c r="E1625" s="63" t="s">
        <v>424</v>
      </c>
      <c r="F1625" s="63" t="s">
        <v>433</v>
      </c>
    </row>
    <row r="1626" spans="2:6" x14ac:dyDescent="0.3">
      <c r="B1626" s="63" t="s">
        <v>3376</v>
      </c>
      <c r="C1626" s="63">
        <v>1757663000198</v>
      </c>
      <c r="D1626" s="63" t="s">
        <v>3474</v>
      </c>
      <c r="E1626" s="63" t="s">
        <v>424</v>
      </c>
      <c r="F1626" s="63" t="s">
        <v>841</v>
      </c>
    </row>
    <row r="1627" spans="2:6" x14ac:dyDescent="0.3">
      <c r="B1627" s="63" t="s">
        <v>3376</v>
      </c>
      <c r="C1627" s="63">
        <v>1757663009518</v>
      </c>
      <c r="D1627" s="63" t="s">
        <v>3475</v>
      </c>
      <c r="E1627" s="63" t="s">
        <v>520</v>
      </c>
      <c r="F1627" s="63" t="s">
        <v>2268</v>
      </c>
    </row>
    <row r="1628" spans="2:6" x14ac:dyDescent="0.3">
      <c r="B1628" s="63" t="s">
        <v>3376</v>
      </c>
      <c r="C1628" s="63">
        <v>1757663032035</v>
      </c>
      <c r="D1628" s="63" t="s">
        <v>3476</v>
      </c>
      <c r="E1628" s="63" t="s">
        <v>525</v>
      </c>
      <c r="F1628" s="63" t="s">
        <v>2270</v>
      </c>
    </row>
    <row r="1629" spans="2:6" x14ac:dyDescent="0.3">
      <c r="B1629" s="63" t="s">
        <v>3376</v>
      </c>
      <c r="C1629" s="63">
        <v>1757663035289</v>
      </c>
      <c r="D1629" s="63" t="s">
        <v>3477</v>
      </c>
      <c r="E1629" s="63" t="s">
        <v>424</v>
      </c>
      <c r="F1629" s="63" t="s">
        <v>449</v>
      </c>
    </row>
    <row r="1630" spans="2:6" x14ac:dyDescent="0.3">
      <c r="B1630" s="63" t="s">
        <v>3376</v>
      </c>
      <c r="C1630" s="63">
        <v>1757663036933</v>
      </c>
      <c r="D1630" s="63" t="s">
        <v>3478</v>
      </c>
      <c r="E1630" s="63" t="s">
        <v>424</v>
      </c>
      <c r="F1630" s="63" t="s">
        <v>451</v>
      </c>
    </row>
    <row r="1631" spans="2:6" x14ac:dyDescent="0.3">
      <c r="B1631" s="63" t="s">
        <v>3376</v>
      </c>
      <c r="C1631" s="63">
        <v>1757663040297</v>
      </c>
      <c r="D1631" s="63" t="s">
        <v>3479</v>
      </c>
      <c r="E1631" s="63" t="s">
        <v>463</v>
      </c>
      <c r="F1631" s="63" t="s">
        <v>464</v>
      </c>
    </row>
    <row r="1632" spans="2:6" x14ac:dyDescent="0.3">
      <c r="B1632" s="58" t="s">
        <v>3480</v>
      </c>
      <c r="C1632" s="58">
        <v>1757663052548</v>
      </c>
      <c r="D1632" s="58" t="s">
        <v>3481</v>
      </c>
      <c r="E1632" s="58" t="s">
        <v>416</v>
      </c>
      <c r="F1632" t="s">
        <v>573</v>
      </c>
    </row>
    <row r="1633" spans="2:6" x14ac:dyDescent="0.3">
      <c r="B1633" s="58" t="s">
        <v>3480</v>
      </c>
      <c r="C1633" s="58">
        <v>1757663052688</v>
      </c>
      <c r="D1633" s="58" t="s">
        <v>3482</v>
      </c>
      <c r="E1633" s="58" t="s">
        <v>468</v>
      </c>
      <c r="F1633" t="s">
        <v>3483</v>
      </c>
    </row>
    <row r="1634" spans="2:6" x14ac:dyDescent="0.3">
      <c r="B1634" s="58" t="s">
        <v>3480</v>
      </c>
      <c r="C1634" s="58">
        <v>1757663067173</v>
      </c>
      <c r="D1634" s="58" t="s">
        <v>3484</v>
      </c>
      <c r="E1634" s="58" t="s">
        <v>419</v>
      </c>
      <c r="F1634" t="s">
        <v>420</v>
      </c>
    </row>
    <row r="1635" spans="2:6" x14ac:dyDescent="0.3">
      <c r="B1635" s="58" t="s">
        <v>3480</v>
      </c>
      <c r="C1635" s="58">
        <v>1757663085698</v>
      </c>
      <c r="D1635" s="58" t="s">
        <v>3485</v>
      </c>
      <c r="E1635" s="58" t="s">
        <v>389</v>
      </c>
      <c r="F1635" t="s">
        <v>506</v>
      </c>
    </row>
    <row r="1636" spans="2:6" x14ac:dyDescent="0.3">
      <c r="B1636" s="58" t="s">
        <v>3480</v>
      </c>
      <c r="C1636" s="58">
        <v>1757663091182</v>
      </c>
      <c r="D1636" s="58" t="s">
        <v>3486</v>
      </c>
      <c r="E1636" s="58" t="s">
        <v>389</v>
      </c>
      <c r="F1636" t="s">
        <v>659</v>
      </c>
    </row>
    <row r="1637" spans="2:6" x14ac:dyDescent="0.3">
      <c r="B1637" s="58" t="s">
        <v>3480</v>
      </c>
      <c r="C1637" s="58">
        <v>1757663114737</v>
      </c>
      <c r="D1637" s="58" t="s">
        <v>3487</v>
      </c>
      <c r="E1637" s="58" t="s">
        <v>389</v>
      </c>
      <c r="F1637" t="s">
        <v>2909</v>
      </c>
    </row>
    <row r="1638" spans="2:6" x14ac:dyDescent="0.3">
      <c r="B1638" s="58" t="s">
        <v>3480</v>
      </c>
      <c r="C1638" s="58">
        <v>1757663114828</v>
      </c>
      <c r="D1638" s="58" t="s">
        <v>3488</v>
      </c>
      <c r="E1638" s="58" t="s">
        <v>389</v>
      </c>
      <c r="F1638" t="s">
        <v>2909</v>
      </c>
    </row>
    <row r="1639" spans="2:6" x14ac:dyDescent="0.3">
      <c r="B1639" s="58" t="s">
        <v>3480</v>
      </c>
      <c r="C1639" s="58">
        <v>1757663115575</v>
      </c>
      <c r="D1639" s="58" t="s">
        <v>3489</v>
      </c>
      <c r="E1639" s="58" t="s">
        <v>389</v>
      </c>
      <c r="F1639" t="s">
        <v>1587</v>
      </c>
    </row>
    <row r="1640" spans="2:6" x14ac:dyDescent="0.3">
      <c r="B1640" s="58" t="s">
        <v>3480</v>
      </c>
      <c r="C1640" s="58">
        <v>1757663115671</v>
      </c>
      <c r="D1640" s="58" t="s">
        <v>3490</v>
      </c>
      <c r="E1640" s="58" t="s">
        <v>389</v>
      </c>
      <c r="F1640" t="s">
        <v>1587</v>
      </c>
    </row>
    <row r="1641" spans="2:6" x14ac:dyDescent="0.3">
      <c r="B1641" s="58" t="s">
        <v>3480</v>
      </c>
      <c r="C1641" s="58">
        <v>1757663116564</v>
      </c>
      <c r="D1641" s="58" t="s">
        <v>3491</v>
      </c>
      <c r="E1641" s="58" t="s">
        <v>389</v>
      </c>
      <c r="F1641" t="s">
        <v>495</v>
      </c>
    </row>
    <row r="1642" spans="2:6" x14ac:dyDescent="0.3">
      <c r="B1642" s="58" t="s">
        <v>3480</v>
      </c>
      <c r="C1642" s="58">
        <v>1757663116687</v>
      </c>
      <c r="D1642" s="58" t="s">
        <v>3492</v>
      </c>
      <c r="E1642" s="58" t="s">
        <v>389</v>
      </c>
      <c r="F1642" t="s">
        <v>495</v>
      </c>
    </row>
    <row r="1643" spans="2:6" x14ac:dyDescent="0.3">
      <c r="B1643" s="58" t="s">
        <v>3480</v>
      </c>
      <c r="C1643" s="58">
        <v>1757663116774</v>
      </c>
      <c r="D1643" s="58" t="s">
        <v>3493</v>
      </c>
      <c r="E1643" s="58" t="s">
        <v>389</v>
      </c>
      <c r="F1643" t="s">
        <v>495</v>
      </c>
    </row>
    <row r="1644" spans="2:6" x14ac:dyDescent="0.3">
      <c r="B1644" s="58" t="s">
        <v>3480</v>
      </c>
      <c r="C1644" s="58">
        <v>1757663116903</v>
      </c>
      <c r="D1644" s="58" t="s">
        <v>3494</v>
      </c>
      <c r="E1644" s="58" t="s">
        <v>389</v>
      </c>
      <c r="F1644" t="s">
        <v>495</v>
      </c>
    </row>
    <row r="1645" spans="2:6" x14ac:dyDescent="0.3">
      <c r="B1645" s="58" t="s">
        <v>3480</v>
      </c>
      <c r="C1645" s="58">
        <v>1757663116986</v>
      </c>
      <c r="D1645" s="58" t="s">
        <v>3495</v>
      </c>
      <c r="E1645" s="58" t="s">
        <v>389</v>
      </c>
      <c r="F1645" t="s">
        <v>495</v>
      </c>
    </row>
    <row r="1646" spans="2:6" x14ac:dyDescent="0.3">
      <c r="B1646" s="58" t="s">
        <v>3480</v>
      </c>
      <c r="C1646" s="58">
        <v>1757663119070</v>
      </c>
      <c r="D1646" s="58" t="s">
        <v>3496</v>
      </c>
      <c r="E1646" s="58" t="s">
        <v>389</v>
      </c>
      <c r="F1646" t="s">
        <v>410</v>
      </c>
    </row>
    <row r="1647" spans="2:6" x14ac:dyDescent="0.3">
      <c r="B1647" s="58" t="s">
        <v>3480</v>
      </c>
      <c r="C1647" s="58">
        <v>1757663132617</v>
      </c>
      <c r="D1647" s="58" t="s">
        <v>3497</v>
      </c>
      <c r="E1647" s="58" t="s">
        <v>422</v>
      </c>
      <c r="F1647" t="s">
        <v>420</v>
      </c>
    </row>
    <row r="1648" spans="2:6" x14ac:dyDescent="0.3">
      <c r="B1648" s="58" t="s">
        <v>426</v>
      </c>
      <c r="C1648" s="58">
        <v>1757663152458</v>
      </c>
      <c r="D1648" s="58" t="s">
        <v>3498</v>
      </c>
      <c r="E1648" s="58" t="s">
        <v>428</v>
      </c>
      <c r="F1648" t="s">
        <v>435</v>
      </c>
    </row>
    <row r="1649" spans="2:6" x14ac:dyDescent="0.3">
      <c r="B1649" s="58" t="s">
        <v>3480</v>
      </c>
      <c r="C1649" s="58">
        <v>1757663152767</v>
      </c>
      <c r="D1649" s="58" t="s">
        <v>3499</v>
      </c>
      <c r="E1649" s="58" t="s">
        <v>520</v>
      </c>
      <c r="F1649" t="s">
        <v>664</v>
      </c>
    </row>
    <row r="1650" spans="2:6" x14ac:dyDescent="0.3">
      <c r="B1650" s="58" t="s">
        <v>3480</v>
      </c>
      <c r="C1650" s="58">
        <v>1757663161374</v>
      </c>
      <c r="D1650" s="58" t="s">
        <v>3500</v>
      </c>
      <c r="E1650" s="58" t="s">
        <v>525</v>
      </c>
      <c r="F1650" t="s">
        <v>665</v>
      </c>
    </row>
    <row r="1651" spans="2:6" x14ac:dyDescent="0.3">
      <c r="B1651" s="58" t="s">
        <v>426</v>
      </c>
      <c r="C1651" s="58">
        <v>1757663171684</v>
      </c>
      <c r="D1651" s="58" t="s">
        <v>3501</v>
      </c>
      <c r="E1651" s="58" t="s">
        <v>428</v>
      </c>
      <c r="F1651" t="s">
        <v>437</v>
      </c>
    </row>
    <row r="1652" spans="2:6" x14ac:dyDescent="0.3">
      <c r="B1652" s="58" t="s">
        <v>3480</v>
      </c>
      <c r="C1652" s="58">
        <v>1757663181493</v>
      </c>
      <c r="D1652" s="58" t="s">
        <v>3502</v>
      </c>
      <c r="E1652" s="58" t="s">
        <v>520</v>
      </c>
      <c r="F1652" t="s">
        <v>664</v>
      </c>
    </row>
    <row r="1653" spans="2:6" x14ac:dyDescent="0.3">
      <c r="B1653" s="58" t="s">
        <v>3480</v>
      </c>
      <c r="C1653" s="58">
        <v>1757663186397</v>
      </c>
      <c r="D1653" s="58" t="s">
        <v>3503</v>
      </c>
      <c r="E1653" s="58" t="s">
        <v>525</v>
      </c>
      <c r="F1653" t="s">
        <v>665</v>
      </c>
    </row>
    <row r="1654" spans="2:6" x14ac:dyDescent="0.3">
      <c r="B1654" s="58" t="s">
        <v>426</v>
      </c>
      <c r="C1654" s="58">
        <v>1757663187234</v>
      </c>
      <c r="D1654" s="58" t="s">
        <v>3504</v>
      </c>
      <c r="E1654" s="58" t="s">
        <v>428</v>
      </c>
      <c r="F1654" t="s">
        <v>429</v>
      </c>
    </row>
    <row r="1655" spans="2:6" x14ac:dyDescent="0.3">
      <c r="B1655" s="58" t="s">
        <v>426</v>
      </c>
      <c r="C1655" s="58">
        <v>1757663202071</v>
      </c>
      <c r="D1655" s="58" t="s">
        <v>3505</v>
      </c>
      <c r="E1655" s="58" t="s">
        <v>428</v>
      </c>
      <c r="F1655" t="s">
        <v>453</v>
      </c>
    </row>
    <row r="1656" spans="2:6" x14ac:dyDescent="0.3">
      <c r="B1656" s="58" t="s">
        <v>3480</v>
      </c>
      <c r="C1656" s="58">
        <v>1757663206516</v>
      </c>
      <c r="D1656" s="58" t="s">
        <v>3506</v>
      </c>
      <c r="E1656" s="58" t="s">
        <v>520</v>
      </c>
      <c r="F1656" t="s">
        <v>675</v>
      </c>
    </row>
    <row r="1657" spans="2:6" x14ac:dyDescent="0.3">
      <c r="B1657" s="58" t="s">
        <v>3480</v>
      </c>
      <c r="C1657" s="58">
        <v>1757663213930</v>
      </c>
      <c r="D1657" s="58" t="s">
        <v>3507</v>
      </c>
      <c r="E1657" s="58" t="s">
        <v>525</v>
      </c>
      <c r="F1657" s="58" t="s">
        <v>677</v>
      </c>
    </row>
    <row r="1658" spans="2:6" x14ac:dyDescent="0.3">
      <c r="B1658" s="58" t="s">
        <v>426</v>
      </c>
      <c r="C1658" s="58">
        <v>1757663218332</v>
      </c>
      <c r="D1658" s="58" t="s">
        <v>3508</v>
      </c>
      <c r="E1658" s="58" t="s">
        <v>428</v>
      </c>
      <c r="F1658" s="58" t="s">
        <v>538</v>
      </c>
    </row>
    <row r="1659" spans="2:6" x14ac:dyDescent="0.3">
      <c r="B1659" s="58" t="s">
        <v>3480</v>
      </c>
      <c r="C1659" s="58">
        <v>1757663230141</v>
      </c>
      <c r="D1659" s="58" t="s">
        <v>3509</v>
      </c>
      <c r="E1659" s="58" t="s">
        <v>424</v>
      </c>
      <c r="F1659" s="58" t="s">
        <v>553</v>
      </c>
    </row>
    <row r="1660" spans="2:6" x14ac:dyDescent="0.3">
      <c r="B1660" s="58" t="s">
        <v>3480</v>
      </c>
      <c r="C1660" s="58">
        <v>1757663230908</v>
      </c>
      <c r="D1660" s="58" t="s">
        <v>3510</v>
      </c>
      <c r="E1660" s="58" t="s">
        <v>424</v>
      </c>
      <c r="F1660" s="58" t="s">
        <v>441</v>
      </c>
    </row>
    <row r="1661" spans="2:6" x14ac:dyDescent="0.3">
      <c r="B1661" s="58" t="s">
        <v>3480</v>
      </c>
      <c r="C1661" s="58">
        <v>1757663232340</v>
      </c>
      <c r="D1661" s="58" t="s">
        <v>3511</v>
      </c>
      <c r="E1661" s="58" t="s">
        <v>424</v>
      </c>
      <c r="F1661" s="58" t="s">
        <v>667</v>
      </c>
    </row>
    <row r="1662" spans="2:6" x14ac:dyDescent="0.3">
      <c r="B1662" s="58" t="s">
        <v>3480</v>
      </c>
      <c r="C1662" s="58">
        <v>1757663233254</v>
      </c>
      <c r="D1662" s="58" t="s">
        <v>3512</v>
      </c>
      <c r="E1662" s="58" t="s">
        <v>424</v>
      </c>
      <c r="F1662" s="58" t="s">
        <v>433</v>
      </c>
    </row>
    <row r="1663" spans="2:6" x14ac:dyDescent="0.3">
      <c r="B1663" s="58" t="s">
        <v>3480</v>
      </c>
      <c r="C1663" s="58">
        <v>1757663234052</v>
      </c>
      <c r="D1663" s="58" t="s">
        <v>3513</v>
      </c>
      <c r="E1663" s="58" t="s">
        <v>520</v>
      </c>
      <c r="F1663" s="58" t="s">
        <v>2258</v>
      </c>
    </row>
    <row r="1664" spans="2:6" x14ac:dyDescent="0.3">
      <c r="B1664" s="58" t="s">
        <v>426</v>
      </c>
      <c r="C1664" s="58">
        <v>1757663236089</v>
      </c>
      <c r="D1664" s="58" t="s">
        <v>3514</v>
      </c>
      <c r="E1664" s="58" t="s">
        <v>428</v>
      </c>
      <c r="F1664" s="58" t="s">
        <v>672</v>
      </c>
    </row>
    <row r="1665" spans="1:6" x14ac:dyDescent="0.3">
      <c r="B1665" s="58" t="s">
        <v>3480</v>
      </c>
      <c r="C1665" s="58">
        <v>1757663240224</v>
      </c>
      <c r="D1665" s="58" t="s">
        <v>3515</v>
      </c>
      <c r="E1665" s="58" t="s">
        <v>525</v>
      </c>
      <c r="F1665" s="58" t="s">
        <v>2264</v>
      </c>
    </row>
    <row r="1666" spans="1:6" x14ac:dyDescent="0.3">
      <c r="B1666" s="58" t="s">
        <v>3480</v>
      </c>
      <c r="C1666" s="58">
        <v>1757663242126</v>
      </c>
      <c r="D1666" s="58" t="s">
        <v>3516</v>
      </c>
      <c r="E1666" s="58" t="s">
        <v>424</v>
      </c>
      <c r="F1666" s="58" t="s">
        <v>457</v>
      </c>
    </row>
    <row r="1667" spans="1:6" x14ac:dyDescent="0.3">
      <c r="B1667" s="58" t="s">
        <v>3480</v>
      </c>
      <c r="C1667" s="58">
        <v>1757663245283</v>
      </c>
      <c r="D1667" s="58" t="s">
        <v>3517</v>
      </c>
      <c r="E1667" s="58" t="s">
        <v>424</v>
      </c>
      <c r="F1667" s="58" t="s">
        <v>459</v>
      </c>
    </row>
    <row r="1668" spans="1:6" x14ac:dyDescent="0.3">
      <c r="B1668" s="58" t="s">
        <v>426</v>
      </c>
      <c r="C1668" s="58">
        <v>1757663250887</v>
      </c>
      <c r="D1668" s="58" t="s">
        <v>3518</v>
      </c>
      <c r="E1668" s="58" t="s">
        <v>428</v>
      </c>
      <c r="F1668" s="58" t="s">
        <v>447</v>
      </c>
    </row>
    <row r="1669" spans="1:6" x14ac:dyDescent="0.3">
      <c r="B1669" s="58" t="s">
        <v>3480</v>
      </c>
      <c r="C1669" s="58">
        <v>1757663260327</v>
      </c>
      <c r="D1669" s="58" t="s">
        <v>3519</v>
      </c>
      <c r="E1669" s="58" t="s">
        <v>520</v>
      </c>
      <c r="F1669" s="58" t="s">
        <v>1448</v>
      </c>
    </row>
    <row r="1670" spans="1:6" x14ac:dyDescent="0.3">
      <c r="B1670" s="58" t="s">
        <v>426</v>
      </c>
      <c r="C1670" s="58">
        <v>1757663267863</v>
      </c>
      <c r="D1670" s="58" t="s">
        <v>3520</v>
      </c>
      <c r="E1670" s="58" t="s">
        <v>428</v>
      </c>
      <c r="F1670" s="58" t="s">
        <v>523</v>
      </c>
    </row>
    <row r="1671" spans="1:6" x14ac:dyDescent="0.3">
      <c r="B1671" s="58" t="s">
        <v>3480</v>
      </c>
      <c r="C1671" s="58">
        <v>1757663272205</v>
      </c>
      <c r="D1671" s="58" t="s">
        <v>3521</v>
      </c>
      <c r="E1671" s="58" t="s">
        <v>525</v>
      </c>
      <c r="F1671" s="58" t="s">
        <v>1450</v>
      </c>
    </row>
    <row r="1672" spans="1:6" x14ac:dyDescent="0.3">
      <c r="B1672" s="58" t="s">
        <v>3480</v>
      </c>
      <c r="C1672" s="58">
        <v>1757663273186</v>
      </c>
      <c r="D1672" s="58" t="s">
        <v>3522</v>
      </c>
      <c r="E1672" s="58" t="s">
        <v>424</v>
      </c>
      <c r="F1672" s="58" t="s">
        <v>461</v>
      </c>
    </row>
    <row r="1673" spans="1:6" x14ac:dyDescent="0.3">
      <c r="B1673" s="58" t="s">
        <v>3480</v>
      </c>
      <c r="C1673" s="58">
        <v>1757663281125</v>
      </c>
      <c r="D1673" s="58" t="s">
        <v>3523</v>
      </c>
      <c r="E1673" s="58" t="s">
        <v>424</v>
      </c>
      <c r="F1673" s="58" t="s">
        <v>449</v>
      </c>
    </row>
    <row r="1674" spans="1:6" x14ac:dyDescent="0.3">
      <c r="B1674" s="58" t="s">
        <v>3480</v>
      </c>
      <c r="C1674" s="58">
        <v>1757663287337</v>
      </c>
      <c r="D1674" s="58" t="s">
        <v>3524</v>
      </c>
      <c r="E1674" s="58" t="s">
        <v>424</v>
      </c>
      <c r="F1674" s="58" t="s">
        <v>451</v>
      </c>
    </row>
    <row r="1675" spans="1:6" x14ac:dyDescent="0.3">
      <c r="B1675" s="58" t="s">
        <v>426</v>
      </c>
      <c r="C1675" s="58">
        <v>1757663288523</v>
      </c>
      <c r="D1675" s="58" t="s">
        <v>3525</v>
      </c>
      <c r="E1675" s="58" t="s">
        <v>428</v>
      </c>
      <c r="F1675" s="58" t="s">
        <v>455</v>
      </c>
    </row>
    <row r="1676" spans="1:6" x14ac:dyDescent="0.3">
      <c r="B1676" s="58" t="s">
        <v>3480</v>
      </c>
      <c r="C1676" s="58">
        <v>1757663292327</v>
      </c>
      <c r="D1676" s="58" t="s">
        <v>3526</v>
      </c>
      <c r="E1676" s="58" t="s">
        <v>520</v>
      </c>
      <c r="F1676" s="58" t="s">
        <v>559</v>
      </c>
    </row>
    <row r="1677" spans="1:6" x14ac:dyDescent="0.3">
      <c r="B1677" s="58" t="s">
        <v>3480</v>
      </c>
      <c r="C1677" s="58">
        <v>1757663295898</v>
      </c>
      <c r="D1677" s="58" t="s">
        <v>3527</v>
      </c>
      <c r="E1677" s="58" t="s">
        <v>525</v>
      </c>
      <c r="F1677" s="58" t="s">
        <v>561</v>
      </c>
    </row>
    <row r="1678" spans="1:6" x14ac:dyDescent="0.3">
      <c r="B1678" s="58" t="s">
        <v>3480</v>
      </c>
      <c r="C1678" s="58">
        <v>1757663296976</v>
      </c>
      <c r="D1678" s="58" t="s">
        <v>3528</v>
      </c>
      <c r="E1678" s="58" t="s">
        <v>463</v>
      </c>
      <c r="F1678" s="58" t="s">
        <v>464</v>
      </c>
    </row>
    <row r="1679" spans="1:6" ht="21" x14ac:dyDescent="0.4">
      <c r="A1679" s="69" t="s">
        <v>51</v>
      </c>
      <c r="B1679" s="63" t="s">
        <v>3692</v>
      </c>
      <c r="C1679" s="63">
        <v>1757667292608</v>
      </c>
      <c r="D1679" s="63" t="s">
        <v>3693</v>
      </c>
      <c r="E1679" s="63" t="s">
        <v>416</v>
      </c>
      <c r="F1679" s="63" t="s">
        <v>492</v>
      </c>
    </row>
    <row r="1680" spans="1:6" x14ac:dyDescent="0.3">
      <c r="B1680" s="63" t="s">
        <v>3692</v>
      </c>
      <c r="C1680" s="63">
        <v>1757667307096</v>
      </c>
      <c r="D1680" s="63" t="s">
        <v>3694</v>
      </c>
      <c r="E1680" s="63" t="s">
        <v>419</v>
      </c>
      <c r="F1680" s="63" t="s">
        <v>420</v>
      </c>
    </row>
    <row r="1681" spans="2:6" x14ac:dyDescent="0.3">
      <c r="B1681" s="63" t="s">
        <v>3692</v>
      </c>
      <c r="C1681" s="63">
        <v>1757667313748</v>
      </c>
      <c r="D1681" s="63" t="s">
        <v>3695</v>
      </c>
      <c r="E1681" s="63" t="s">
        <v>389</v>
      </c>
      <c r="F1681" s="63" t="s">
        <v>515</v>
      </c>
    </row>
    <row r="1682" spans="2:6" x14ac:dyDescent="0.3">
      <c r="B1682" s="63" t="s">
        <v>3692</v>
      </c>
      <c r="C1682" s="63">
        <v>1757667323559</v>
      </c>
      <c r="D1682" s="63" t="s">
        <v>3696</v>
      </c>
      <c r="E1682" s="63" t="s">
        <v>389</v>
      </c>
      <c r="F1682" s="63" t="s">
        <v>404</v>
      </c>
    </row>
    <row r="1683" spans="2:6" x14ac:dyDescent="0.3">
      <c r="B1683" s="63" t="s">
        <v>3692</v>
      </c>
      <c r="C1683" s="63">
        <v>1757667328183</v>
      </c>
      <c r="D1683" s="63" t="s">
        <v>3697</v>
      </c>
      <c r="E1683" s="63" t="s">
        <v>389</v>
      </c>
      <c r="F1683" s="63" t="s">
        <v>3209</v>
      </c>
    </row>
    <row r="1684" spans="2:6" x14ac:dyDescent="0.3">
      <c r="B1684" s="63" t="s">
        <v>3692</v>
      </c>
      <c r="C1684" s="63">
        <v>1757667329243</v>
      </c>
      <c r="D1684" s="63" t="s">
        <v>3698</v>
      </c>
      <c r="E1684" s="63" t="s">
        <v>389</v>
      </c>
      <c r="F1684" s="63" t="s">
        <v>3240</v>
      </c>
    </row>
    <row r="1685" spans="2:6" x14ac:dyDescent="0.3">
      <c r="B1685" s="63" t="s">
        <v>3692</v>
      </c>
      <c r="C1685" s="63">
        <v>1757667330276</v>
      </c>
      <c r="D1685" s="63" t="s">
        <v>3699</v>
      </c>
      <c r="E1685" s="63" t="s">
        <v>389</v>
      </c>
      <c r="F1685" s="63" t="s">
        <v>660</v>
      </c>
    </row>
    <row r="1686" spans="2:6" x14ac:dyDescent="0.3">
      <c r="B1686" s="63" t="s">
        <v>3692</v>
      </c>
      <c r="C1686" s="63">
        <v>1757667330927</v>
      </c>
      <c r="D1686" s="63" t="s">
        <v>3700</v>
      </c>
      <c r="E1686" s="63" t="s">
        <v>389</v>
      </c>
      <c r="F1686" s="63" t="s">
        <v>508</v>
      </c>
    </row>
    <row r="1687" spans="2:6" x14ac:dyDescent="0.3">
      <c r="B1687" s="63" t="s">
        <v>3692</v>
      </c>
      <c r="C1687" s="63">
        <v>1757667332193</v>
      </c>
      <c r="D1687" s="63" t="s">
        <v>3701</v>
      </c>
      <c r="E1687" s="63" t="s">
        <v>389</v>
      </c>
      <c r="F1687" s="63" t="s">
        <v>410</v>
      </c>
    </row>
    <row r="1688" spans="2:6" x14ac:dyDescent="0.3">
      <c r="B1688" s="63" t="s">
        <v>3692</v>
      </c>
      <c r="C1688" s="63">
        <v>1757667335397</v>
      </c>
      <c r="D1688" s="63" t="s">
        <v>3702</v>
      </c>
      <c r="E1688" s="63" t="s">
        <v>389</v>
      </c>
      <c r="F1688" s="63" t="s">
        <v>400</v>
      </c>
    </row>
    <row r="1689" spans="2:6" x14ac:dyDescent="0.3">
      <c r="B1689" s="63" t="s">
        <v>3692</v>
      </c>
      <c r="C1689" s="63">
        <v>1757667335970</v>
      </c>
      <c r="D1689" s="63" t="s">
        <v>3703</v>
      </c>
      <c r="E1689" s="63" t="s">
        <v>389</v>
      </c>
      <c r="F1689" s="63" t="s">
        <v>398</v>
      </c>
    </row>
    <row r="1690" spans="2:6" x14ac:dyDescent="0.3">
      <c r="B1690" s="63" t="s">
        <v>3692</v>
      </c>
      <c r="C1690" s="63">
        <v>1757667336643</v>
      </c>
      <c r="D1690" s="63" t="s">
        <v>3704</v>
      </c>
      <c r="E1690" s="63" t="s">
        <v>389</v>
      </c>
      <c r="F1690" s="63" t="s">
        <v>396</v>
      </c>
    </row>
    <row r="1691" spans="2:6" x14ac:dyDescent="0.3">
      <c r="B1691" s="63" t="s">
        <v>3692</v>
      </c>
      <c r="C1691" s="63">
        <v>1757667340416</v>
      </c>
      <c r="D1691" s="63" t="s">
        <v>3705</v>
      </c>
      <c r="E1691" s="63" t="s">
        <v>389</v>
      </c>
      <c r="F1691" s="63" t="s">
        <v>511</v>
      </c>
    </row>
    <row r="1692" spans="2:6" x14ac:dyDescent="0.3">
      <c r="B1692" s="63" t="s">
        <v>3692</v>
      </c>
      <c r="C1692" s="63">
        <v>1757667347474</v>
      </c>
      <c r="D1692" s="63" t="s">
        <v>3706</v>
      </c>
      <c r="E1692" s="63" t="s">
        <v>389</v>
      </c>
      <c r="F1692" s="63" t="s">
        <v>390</v>
      </c>
    </row>
    <row r="1693" spans="2:6" x14ac:dyDescent="0.3">
      <c r="B1693" s="63" t="s">
        <v>3692</v>
      </c>
      <c r="C1693" s="63">
        <v>1757667348376</v>
      </c>
      <c r="D1693" s="63" t="s">
        <v>3707</v>
      </c>
      <c r="E1693" s="63" t="s">
        <v>389</v>
      </c>
      <c r="F1693" s="63" t="s">
        <v>392</v>
      </c>
    </row>
    <row r="1694" spans="2:6" x14ac:dyDescent="0.3">
      <c r="B1694" s="63" t="s">
        <v>3692</v>
      </c>
      <c r="C1694" s="63">
        <v>1757667352498</v>
      </c>
      <c r="D1694" s="63" t="s">
        <v>3708</v>
      </c>
      <c r="E1694" s="63" t="s">
        <v>389</v>
      </c>
      <c r="F1694" s="63" t="s">
        <v>495</v>
      </c>
    </row>
    <row r="1695" spans="2:6" x14ac:dyDescent="0.3">
      <c r="B1695" s="63" t="s">
        <v>3692</v>
      </c>
      <c r="C1695" s="63">
        <v>1757667354496</v>
      </c>
      <c r="D1695" s="63" t="s">
        <v>3709</v>
      </c>
      <c r="E1695" s="63" t="s">
        <v>416</v>
      </c>
      <c r="F1695" s="63" t="s">
        <v>492</v>
      </c>
    </row>
    <row r="1696" spans="2:6" x14ac:dyDescent="0.3">
      <c r="B1696" s="63" t="s">
        <v>3692</v>
      </c>
      <c r="C1696" s="63">
        <v>1757667360374</v>
      </c>
      <c r="D1696" s="63" t="s">
        <v>3710</v>
      </c>
      <c r="E1696" s="63" t="s">
        <v>419</v>
      </c>
      <c r="F1696" s="63" t="s">
        <v>420</v>
      </c>
    </row>
    <row r="1697" spans="2:6" x14ac:dyDescent="0.3">
      <c r="B1697" s="63" t="s">
        <v>3692</v>
      </c>
      <c r="C1697" s="63">
        <v>1757667360468</v>
      </c>
      <c r="D1697" s="63" t="s">
        <v>3711</v>
      </c>
      <c r="E1697" s="63" t="s">
        <v>422</v>
      </c>
      <c r="F1697" s="63" t="s">
        <v>420</v>
      </c>
    </row>
    <row r="1698" spans="2:6" x14ac:dyDescent="0.3">
      <c r="B1698" s="63" t="s">
        <v>3692</v>
      </c>
      <c r="C1698" s="63">
        <v>1757667371144</v>
      </c>
      <c r="D1698" s="63" t="s">
        <v>3712</v>
      </c>
      <c r="E1698" s="63" t="s">
        <v>424</v>
      </c>
      <c r="F1698" s="63" t="s">
        <v>518</v>
      </c>
    </row>
    <row r="1699" spans="2:6" x14ac:dyDescent="0.3">
      <c r="B1699" s="63" t="s">
        <v>426</v>
      </c>
      <c r="C1699" s="63">
        <v>1757667378014</v>
      </c>
      <c r="D1699" s="63" t="s">
        <v>3713</v>
      </c>
      <c r="E1699" s="63" t="s">
        <v>428</v>
      </c>
      <c r="F1699" s="63" t="s">
        <v>429</v>
      </c>
    </row>
    <row r="1700" spans="2:6" x14ac:dyDescent="0.3">
      <c r="B1700" s="63" t="s">
        <v>3692</v>
      </c>
      <c r="C1700" s="63">
        <v>1757667378098</v>
      </c>
      <c r="D1700" s="63" t="s">
        <v>3714</v>
      </c>
      <c r="E1700" s="63" t="s">
        <v>520</v>
      </c>
      <c r="F1700" s="63" t="s">
        <v>529</v>
      </c>
    </row>
    <row r="1701" spans="2:6" x14ac:dyDescent="0.3">
      <c r="B1701" s="63" t="s">
        <v>3692</v>
      </c>
      <c r="C1701" s="63">
        <v>1757667387976</v>
      </c>
      <c r="D1701" s="63" t="s">
        <v>3715</v>
      </c>
      <c r="E1701" s="63" t="s">
        <v>525</v>
      </c>
      <c r="F1701" s="63" t="s">
        <v>531</v>
      </c>
    </row>
    <row r="1702" spans="2:6" x14ac:dyDescent="0.3">
      <c r="B1702" s="63" t="s">
        <v>426</v>
      </c>
      <c r="C1702" s="63">
        <v>1757667395696</v>
      </c>
      <c r="D1702" s="63" t="s">
        <v>3716</v>
      </c>
      <c r="E1702" s="63" t="s">
        <v>428</v>
      </c>
      <c r="F1702" s="63" t="s">
        <v>431</v>
      </c>
    </row>
    <row r="1703" spans="2:6" x14ac:dyDescent="0.3">
      <c r="B1703" s="63" t="s">
        <v>3692</v>
      </c>
      <c r="C1703" s="63">
        <v>1757667407133</v>
      </c>
      <c r="D1703" s="63" t="s">
        <v>3717</v>
      </c>
      <c r="E1703" s="63" t="s">
        <v>424</v>
      </c>
      <c r="F1703" s="63" t="s">
        <v>457</v>
      </c>
    </row>
    <row r="1704" spans="2:6" x14ac:dyDescent="0.3">
      <c r="B1704" s="63" t="s">
        <v>3692</v>
      </c>
      <c r="C1704" s="63">
        <v>1757667408107</v>
      </c>
      <c r="D1704" s="63" t="s">
        <v>3718</v>
      </c>
      <c r="E1704" s="63" t="s">
        <v>520</v>
      </c>
      <c r="F1704" s="63" t="s">
        <v>664</v>
      </c>
    </row>
    <row r="1705" spans="2:6" x14ac:dyDescent="0.3">
      <c r="B1705" s="63" t="s">
        <v>426</v>
      </c>
      <c r="C1705" s="63">
        <v>1757667411254</v>
      </c>
      <c r="D1705" s="63" t="s">
        <v>3719</v>
      </c>
      <c r="E1705" s="63" t="s">
        <v>428</v>
      </c>
      <c r="F1705" s="63" t="s">
        <v>435</v>
      </c>
    </row>
    <row r="1706" spans="2:6" x14ac:dyDescent="0.3">
      <c r="B1706" s="63" t="s">
        <v>3692</v>
      </c>
      <c r="C1706" s="63">
        <v>1757667419793</v>
      </c>
      <c r="D1706" s="63" t="s">
        <v>3720</v>
      </c>
      <c r="E1706" s="63" t="s">
        <v>525</v>
      </c>
      <c r="F1706" s="63" t="s">
        <v>665</v>
      </c>
    </row>
    <row r="1707" spans="2:6" x14ac:dyDescent="0.3">
      <c r="B1707" s="63" t="s">
        <v>426</v>
      </c>
      <c r="C1707" s="63">
        <v>1757667426737</v>
      </c>
      <c r="D1707" s="63" t="s">
        <v>3721</v>
      </c>
      <c r="E1707" s="63" t="s">
        <v>428</v>
      </c>
      <c r="F1707" s="63" t="s">
        <v>437</v>
      </c>
    </row>
    <row r="1708" spans="2:6" x14ac:dyDescent="0.3">
      <c r="B1708" s="63" t="s">
        <v>3692</v>
      </c>
      <c r="C1708" s="63">
        <v>1757667428341</v>
      </c>
      <c r="D1708" s="63" t="s">
        <v>3722</v>
      </c>
      <c r="E1708" s="63" t="s">
        <v>424</v>
      </c>
      <c r="F1708" s="63" t="s">
        <v>459</v>
      </c>
    </row>
    <row r="1709" spans="2:6" x14ac:dyDescent="0.3">
      <c r="B1709" s="63" t="s">
        <v>3692</v>
      </c>
      <c r="C1709" s="63">
        <v>1757667439916</v>
      </c>
      <c r="D1709" s="63" t="s">
        <v>3723</v>
      </c>
      <c r="E1709" s="63" t="s">
        <v>520</v>
      </c>
      <c r="F1709" s="63" t="s">
        <v>589</v>
      </c>
    </row>
    <row r="1710" spans="2:6" x14ac:dyDescent="0.3">
      <c r="B1710" s="63" t="s">
        <v>426</v>
      </c>
      <c r="C1710" s="63">
        <v>1757667443009</v>
      </c>
      <c r="D1710" s="63" t="s">
        <v>3724</v>
      </c>
      <c r="E1710" s="63" t="s">
        <v>428</v>
      </c>
      <c r="F1710" s="63" t="s">
        <v>439</v>
      </c>
    </row>
    <row r="1711" spans="2:6" x14ac:dyDescent="0.3">
      <c r="B1711" s="63" t="s">
        <v>3692</v>
      </c>
      <c r="C1711" s="63">
        <v>1757667449283</v>
      </c>
      <c r="D1711" s="63" t="s">
        <v>3725</v>
      </c>
      <c r="E1711" s="63" t="s">
        <v>525</v>
      </c>
      <c r="F1711" s="63" t="s">
        <v>592</v>
      </c>
    </row>
    <row r="1712" spans="2:6" x14ac:dyDescent="0.3">
      <c r="B1712" s="63" t="s">
        <v>426</v>
      </c>
      <c r="C1712" s="63">
        <v>1757667458505</v>
      </c>
      <c r="D1712" s="63" t="s">
        <v>3726</v>
      </c>
      <c r="E1712" s="63" t="s">
        <v>428</v>
      </c>
      <c r="F1712" s="63" t="s">
        <v>447</v>
      </c>
    </row>
    <row r="1713" spans="2:6" x14ac:dyDescent="0.3">
      <c r="B1713" s="63" t="s">
        <v>3692</v>
      </c>
      <c r="C1713" s="63">
        <v>1757667469396</v>
      </c>
      <c r="D1713" s="63" t="s">
        <v>3727</v>
      </c>
      <c r="E1713" s="63" t="s">
        <v>520</v>
      </c>
      <c r="F1713" s="63" t="s">
        <v>1281</v>
      </c>
    </row>
    <row r="1714" spans="2:6" x14ac:dyDescent="0.3">
      <c r="B1714" s="63" t="s">
        <v>426</v>
      </c>
      <c r="C1714" s="63">
        <v>1757667474046</v>
      </c>
      <c r="D1714" s="63" t="s">
        <v>3728</v>
      </c>
      <c r="E1714" s="63" t="s">
        <v>428</v>
      </c>
      <c r="F1714" s="63" t="s">
        <v>538</v>
      </c>
    </row>
    <row r="1715" spans="2:6" x14ac:dyDescent="0.3">
      <c r="B1715" s="63" t="s">
        <v>3692</v>
      </c>
      <c r="C1715" s="63">
        <v>1757667475084</v>
      </c>
      <c r="D1715" s="63" t="s">
        <v>3729</v>
      </c>
      <c r="E1715" s="63" t="s">
        <v>525</v>
      </c>
      <c r="F1715" s="63" t="s">
        <v>1283</v>
      </c>
    </row>
    <row r="1716" spans="2:6" x14ac:dyDescent="0.3">
      <c r="B1716" s="63" t="s">
        <v>3692</v>
      </c>
      <c r="C1716" s="63">
        <v>1757667483216</v>
      </c>
      <c r="D1716" s="63" t="s">
        <v>3730</v>
      </c>
      <c r="E1716" s="63" t="s">
        <v>424</v>
      </c>
      <c r="F1716" s="63" t="s">
        <v>461</v>
      </c>
    </row>
    <row r="1717" spans="2:6" x14ac:dyDescent="0.3">
      <c r="B1717" s="63" t="s">
        <v>426</v>
      </c>
      <c r="C1717" s="63">
        <v>1757667490986</v>
      </c>
      <c r="D1717" s="63" t="s">
        <v>3731</v>
      </c>
      <c r="E1717" s="63" t="s">
        <v>428</v>
      </c>
      <c r="F1717" s="63" t="s">
        <v>672</v>
      </c>
    </row>
    <row r="1718" spans="2:6" x14ac:dyDescent="0.3">
      <c r="B1718" s="63" t="s">
        <v>3692</v>
      </c>
      <c r="C1718" s="63">
        <v>1757667495202</v>
      </c>
      <c r="D1718" s="63" t="s">
        <v>3732</v>
      </c>
      <c r="E1718" s="63" t="s">
        <v>520</v>
      </c>
      <c r="F1718" s="63" t="s">
        <v>559</v>
      </c>
    </row>
    <row r="1719" spans="2:6" x14ac:dyDescent="0.3">
      <c r="B1719" s="63" t="s">
        <v>3692</v>
      </c>
      <c r="C1719" s="63">
        <v>1757667499189</v>
      </c>
      <c r="D1719" s="63" t="s">
        <v>3733</v>
      </c>
      <c r="E1719" s="63" t="s">
        <v>525</v>
      </c>
      <c r="F1719" s="63" t="s">
        <v>561</v>
      </c>
    </row>
    <row r="1720" spans="2:6" x14ac:dyDescent="0.3">
      <c r="B1720" s="63" t="s">
        <v>3692</v>
      </c>
      <c r="C1720" s="63">
        <v>1757667500778</v>
      </c>
      <c r="D1720" s="63" t="s">
        <v>3734</v>
      </c>
      <c r="E1720" s="63" t="s">
        <v>424</v>
      </c>
      <c r="F1720" s="63" t="s">
        <v>433</v>
      </c>
    </row>
    <row r="1721" spans="2:6" x14ac:dyDescent="0.3">
      <c r="B1721" s="63" t="s">
        <v>426</v>
      </c>
      <c r="C1721" s="63">
        <v>1757667507872</v>
      </c>
      <c r="D1721" s="63" t="s">
        <v>3735</v>
      </c>
      <c r="E1721" s="63" t="s">
        <v>428</v>
      </c>
      <c r="F1721" s="63" t="s">
        <v>523</v>
      </c>
    </row>
    <row r="1722" spans="2:6" x14ac:dyDescent="0.3">
      <c r="B1722" s="63" t="s">
        <v>3692</v>
      </c>
      <c r="C1722" s="63">
        <v>1757667519320</v>
      </c>
      <c r="D1722" s="63" t="s">
        <v>3736</v>
      </c>
      <c r="E1722" s="63" t="s">
        <v>520</v>
      </c>
      <c r="F1722" s="63" t="s">
        <v>2421</v>
      </c>
    </row>
    <row r="1723" spans="2:6" x14ac:dyDescent="0.3">
      <c r="B1723" s="63" t="s">
        <v>3692</v>
      </c>
      <c r="C1723" s="63">
        <v>1757667528785</v>
      </c>
      <c r="D1723" s="63" t="s">
        <v>3737</v>
      </c>
      <c r="E1723" s="63" t="s">
        <v>525</v>
      </c>
      <c r="F1723" s="63" t="s">
        <v>2424</v>
      </c>
    </row>
    <row r="1724" spans="2:6" x14ac:dyDescent="0.3">
      <c r="B1724" s="63" t="s">
        <v>3692</v>
      </c>
      <c r="C1724" s="63">
        <v>1757667532473</v>
      </c>
      <c r="D1724" s="63" t="s">
        <v>3738</v>
      </c>
      <c r="E1724" s="63" t="s">
        <v>424</v>
      </c>
      <c r="F1724" s="63" t="s">
        <v>441</v>
      </c>
    </row>
    <row r="1725" spans="2:6" x14ac:dyDescent="0.3">
      <c r="B1725" s="63" t="s">
        <v>3692</v>
      </c>
      <c r="C1725" s="63">
        <v>1757667540546</v>
      </c>
      <c r="D1725" s="63" t="s">
        <v>3739</v>
      </c>
      <c r="E1725" s="63" t="s">
        <v>424</v>
      </c>
      <c r="F1725" s="63" t="s">
        <v>449</v>
      </c>
    </row>
    <row r="1726" spans="2:6" x14ac:dyDescent="0.3">
      <c r="B1726" s="63" t="s">
        <v>3692</v>
      </c>
      <c r="C1726" s="63">
        <v>1757667548627</v>
      </c>
      <c r="D1726" s="63" t="s">
        <v>3740</v>
      </c>
      <c r="E1726" s="63" t="s">
        <v>424</v>
      </c>
      <c r="F1726" s="63" t="s">
        <v>451</v>
      </c>
    </row>
    <row r="1727" spans="2:6" x14ac:dyDescent="0.3">
      <c r="B1727" s="63" t="s">
        <v>3692</v>
      </c>
      <c r="C1727" s="63">
        <v>1757667548910</v>
      </c>
      <c r="D1727" s="63" t="s">
        <v>3741</v>
      </c>
      <c r="E1727" s="63" t="s">
        <v>520</v>
      </c>
      <c r="F1727" s="63" t="s">
        <v>2687</v>
      </c>
    </row>
    <row r="1728" spans="2:6" x14ac:dyDescent="0.3">
      <c r="B1728" s="63" t="s">
        <v>3692</v>
      </c>
      <c r="C1728" s="63">
        <v>1757667552842</v>
      </c>
      <c r="D1728" s="63" t="s">
        <v>3742</v>
      </c>
      <c r="E1728" s="63" t="s">
        <v>525</v>
      </c>
      <c r="F1728" s="63" t="s">
        <v>2690</v>
      </c>
    </row>
    <row r="1729" spans="2:6" x14ac:dyDescent="0.3">
      <c r="B1729" s="63" t="s">
        <v>3692</v>
      </c>
      <c r="C1729" s="63">
        <v>1757667559503</v>
      </c>
      <c r="D1729" s="63" t="s">
        <v>3743</v>
      </c>
      <c r="E1729" s="63" t="s">
        <v>424</v>
      </c>
      <c r="F1729" s="63" t="s">
        <v>570</v>
      </c>
    </row>
    <row r="1730" spans="2:6" x14ac:dyDescent="0.3">
      <c r="B1730" s="63" t="s">
        <v>3692</v>
      </c>
      <c r="C1730" s="63">
        <v>1757667565887</v>
      </c>
      <c r="D1730" s="63" t="s">
        <v>3744</v>
      </c>
      <c r="E1730" s="63" t="s">
        <v>463</v>
      </c>
      <c r="F1730" s="63" t="s">
        <v>464</v>
      </c>
    </row>
    <row r="1731" spans="2:6" x14ac:dyDescent="0.3">
      <c r="B1731" s="58" t="s">
        <v>3745</v>
      </c>
      <c r="C1731" s="58">
        <v>1757667577961</v>
      </c>
      <c r="D1731" s="58" t="s">
        <v>3746</v>
      </c>
      <c r="E1731" s="58" t="s">
        <v>416</v>
      </c>
      <c r="F1731" t="s">
        <v>573</v>
      </c>
    </row>
    <row r="1732" spans="2:6" x14ac:dyDescent="0.3">
      <c r="B1732" s="58" t="s">
        <v>3745</v>
      </c>
      <c r="C1732" s="58">
        <v>1757667578146</v>
      </c>
      <c r="D1732" s="58" t="s">
        <v>3747</v>
      </c>
      <c r="E1732" s="58" t="s">
        <v>468</v>
      </c>
      <c r="F1732" t="s">
        <v>3748</v>
      </c>
    </row>
    <row r="1733" spans="2:6" x14ac:dyDescent="0.3">
      <c r="B1733" s="58" t="s">
        <v>3745</v>
      </c>
      <c r="C1733" s="58">
        <v>1757667578656</v>
      </c>
      <c r="D1733" s="58" t="s">
        <v>3749</v>
      </c>
      <c r="E1733" s="58" t="s">
        <v>419</v>
      </c>
      <c r="F1733" t="s">
        <v>420</v>
      </c>
    </row>
    <row r="1734" spans="2:6" x14ac:dyDescent="0.3">
      <c r="B1734" s="58" t="s">
        <v>3745</v>
      </c>
      <c r="C1734" s="58">
        <v>1757667592648</v>
      </c>
      <c r="D1734" s="58" t="s">
        <v>3750</v>
      </c>
      <c r="E1734" s="58" t="s">
        <v>389</v>
      </c>
      <c r="F1734" t="s">
        <v>414</v>
      </c>
    </row>
    <row r="1735" spans="2:6" x14ac:dyDescent="0.3">
      <c r="B1735" s="58" t="s">
        <v>3745</v>
      </c>
      <c r="C1735" s="58">
        <v>1757667592803</v>
      </c>
      <c r="D1735" s="58" t="s">
        <v>3751</v>
      </c>
      <c r="E1735" s="58" t="s">
        <v>389</v>
      </c>
      <c r="F1735" t="s">
        <v>414</v>
      </c>
    </row>
    <row r="1736" spans="2:6" x14ac:dyDescent="0.3">
      <c r="B1736" s="58" t="s">
        <v>3745</v>
      </c>
      <c r="C1736" s="58">
        <v>1757667612578</v>
      </c>
      <c r="D1736" s="58" t="s">
        <v>3752</v>
      </c>
      <c r="E1736" s="58" t="s">
        <v>389</v>
      </c>
      <c r="F1736" t="s">
        <v>406</v>
      </c>
    </row>
    <row r="1737" spans="2:6" x14ac:dyDescent="0.3">
      <c r="B1737" s="58" t="s">
        <v>3745</v>
      </c>
      <c r="C1737" s="58">
        <v>1757667632094</v>
      </c>
      <c r="D1737" s="58" t="s">
        <v>3753</v>
      </c>
      <c r="E1737" s="58" t="s">
        <v>416</v>
      </c>
      <c r="F1737" t="s">
        <v>573</v>
      </c>
    </row>
    <row r="1738" spans="2:6" x14ac:dyDescent="0.3">
      <c r="B1738" s="58" t="s">
        <v>3745</v>
      </c>
      <c r="C1738" s="58">
        <v>1757667632252</v>
      </c>
      <c r="D1738" s="58" t="s">
        <v>3754</v>
      </c>
      <c r="E1738" s="58" t="s">
        <v>468</v>
      </c>
      <c r="F1738" t="s">
        <v>3748</v>
      </c>
    </row>
    <row r="1739" spans="2:6" x14ac:dyDescent="0.3">
      <c r="B1739" s="58" t="s">
        <v>3745</v>
      </c>
      <c r="C1739" s="58">
        <v>1757667632757</v>
      </c>
      <c r="D1739" s="58" t="s">
        <v>3755</v>
      </c>
      <c r="E1739" s="58" t="s">
        <v>419</v>
      </c>
      <c r="F1739" t="s">
        <v>420</v>
      </c>
    </row>
    <row r="1740" spans="2:6" x14ac:dyDescent="0.3">
      <c r="B1740" s="58" t="s">
        <v>3745</v>
      </c>
      <c r="C1740" s="58">
        <v>1757667638128</v>
      </c>
      <c r="D1740" s="58" t="s">
        <v>3756</v>
      </c>
      <c r="E1740" s="58" t="s">
        <v>389</v>
      </c>
      <c r="F1740" t="s">
        <v>414</v>
      </c>
    </row>
    <row r="1741" spans="2:6" x14ac:dyDescent="0.3">
      <c r="B1741" s="58" t="s">
        <v>3745</v>
      </c>
      <c r="C1741" s="58">
        <v>1757667639835</v>
      </c>
      <c r="D1741" s="58" t="s">
        <v>3757</v>
      </c>
      <c r="E1741" s="58" t="s">
        <v>416</v>
      </c>
      <c r="F1741" t="s">
        <v>573</v>
      </c>
    </row>
    <row r="1742" spans="2:6" x14ac:dyDescent="0.3">
      <c r="B1742" s="58" t="s">
        <v>3745</v>
      </c>
      <c r="C1742" s="58">
        <v>1757667640265</v>
      </c>
      <c r="D1742" s="58" t="s">
        <v>3758</v>
      </c>
      <c r="E1742" s="58" t="s">
        <v>468</v>
      </c>
      <c r="F1742" t="s">
        <v>3748</v>
      </c>
    </row>
    <row r="1743" spans="2:6" x14ac:dyDescent="0.3">
      <c r="B1743" s="58" t="s">
        <v>3745</v>
      </c>
      <c r="C1743" s="58">
        <v>1757667646141</v>
      </c>
      <c r="D1743" s="58" t="s">
        <v>3759</v>
      </c>
      <c r="E1743" s="58" t="s">
        <v>419</v>
      </c>
      <c r="F1743" t="s">
        <v>420</v>
      </c>
    </row>
    <row r="1744" spans="2:6" x14ac:dyDescent="0.3">
      <c r="B1744" s="58" t="s">
        <v>3745</v>
      </c>
      <c r="C1744" s="58">
        <v>1757667646258</v>
      </c>
      <c r="D1744" s="58" t="s">
        <v>3760</v>
      </c>
      <c r="E1744" s="58" t="s">
        <v>389</v>
      </c>
      <c r="F1744" t="s">
        <v>414</v>
      </c>
    </row>
    <row r="1745" spans="2:6" x14ac:dyDescent="0.3">
      <c r="B1745" s="58" t="s">
        <v>3745</v>
      </c>
      <c r="C1745" s="58">
        <v>1757667646322</v>
      </c>
      <c r="D1745" s="58" t="s">
        <v>3761</v>
      </c>
      <c r="E1745" s="58" t="s">
        <v>389</v>
      </c>
      <c r="F1745" t="s">
        <v>1562</v>
      </c>
    </row>
    <row r="1746" spans="2:6" x14ac:dyDescent="0.3">
      <c r="B1746" s="58" t="s">
        <v>3745</v>
      </c>
      <c r="C1746" s="58">
        <v>1757667646448</v>
      </c>
      <c r="D1746" s="58" t="s">
        <v>3762</v>
      </c>
      <c r="E1746" s="58" t="s">
        <v>389</v>
      </c>
      <c r="F1746" s="58" t="s">
        <v>414</v>
      </c>
    </row>
    <row r="1747" spans="2:6" x14ac:dyDescent="0.3">
      <c r="B1747" s="58" t="s">
        <v>3745</v>
      </c>
      <c r="C1747" s="58">
        <v>1757667646513</v>
      </c>
      <c r="D1747" s="58" t="s">
        <v>3763</v>
      </c>
      <c r="E1747" s="58" t="s">
        <v>389</v>
      </c>
      <c r="F1747" s="58" t="s">
        <v>661</v>
      </c>
    </row>
    <row r="1748" spans="2:6" x14ac:dyDescent="0.3">
      <c r="B1748" s="58" t="s">
        <v>3745</v>
      </c>
      <c r="C1748" s="58">
        <v>1757667646570</v>
      </c>
      <c r="D1748" s="58" t="s">
        <v>3764</v>
      </c>
      <c r="E1748" s="58" t="s">
        <v>389</v>
      </c>
      <c r="F1748" s="58" t="s">
        <v>1584</v>
      </c>
    </row>
    <row r="1749" spans="2:6" x14ac:dyDescent="0.3">
      <c r="B1749" s="58" t="s">
        <v>3745</v>
      </c>
      <c r="C1749" s="58">
        <v>1757667646618</v>
      </c>
      <c r="D1749" s="58" t="s">
        <v>3765</v>
      </c>
      <c r="E1749" s="58" t="s">
        <v>389</v>
      </c>
      <c r="F1749" s="58" t="s">
        <v>1562</v>
      </c>
    </row>
    <row r="1750" spans="2:6" x14ac:dyDescent="0.3">
      <c r="B1750" s="58" t="s">
        <v>3745</v>
      </c>
      <c r="C1750" s="58">
        <v>1757667646673</v>
      </c>
      <c r="D1750" s="58" t="s">
        <v>3766</v>
      </c>
      <c r="E1750" s="58" t="s">
        <v>389</v>
      </c>
      <c r="F1750" s="58" t="s">
        <v>1562</v>
      </c>
    </row>
    <row r="1751" spans="2:6" x14ac:dyDescent="0.3">
      <c r="B1751" s="58" t="s">
        <v>3745</v>
      </c>
      <c r="C1751" s="58">
        <v>1757667646727</v>
      </c>
      <c r="D1751" s="58" t="s">
        <v>3767</v>
      </c>
      <c r="E1751" s="58" t="s">
        <v>389</v>
      </c>
      <c r="F1751" s="58" t="s">
        <v>1584</v>
      </c>
    </row>
    <row r="1752" spans="2:6" x14ac:dyDescent="0.3">
      <c r="B1752" s="58" t="s">
        <v>3745</v>
      </c>
      <c r="C1752" s="58">
        <v>1757667646784</v>
      </c>
      <c r="D1752" s="58" t="s">
        <v>3768</v>
      </c>
      <c r="E1752" s="58" t="s">
        <v>389</v>
      </c>
      <c r="F1752" s="58" t="s">
        <v>414</v>
      </c>
    </row>
    <row r="1753" spans="2:6" x14ac:dyDescent="0.3">
      <c r="B1753" s="58" t="s">
        <v>3745</v>
      </c>
      <c r="C1753" s="58">
        <v>1757667646858</v>
      </c>
      <c r="D1753" s="58" t="s">
        <v>3769</v>
      </c>
      <c r="E1753" s="58" t="s">
        <v>389</v>
      </c>
      <c r="F1753" s="58" t="s">
        <v>412</v>
      </c>
    </row>
    <row r="1754" spans="2:6" x14ac:dyDescent="0.3">
      <c r="B1754" s="58" t="s">
        <v>3745</v>
      </c>
      <c r="C1754" s="58">
        <v>1757667646924</v>
      </c>
      <c r="D1754" s="58" t="s">
        <v>3770</v>
      </c>
      <c r="E1754" s="58" t="s">
        <v>389</v>
      </c>
      <c r="F1754" s="58" t="s">
        <v>414</v>
      </c>
    </row>
    <row r="1755" spans="2:6" x14ac:dyDescent="0.3">
      <c r="B1755" s="58" t="s">
        <v>3745</v>
      </c>
      <c r="C1755" s="58">
        <v>1757667646982</v>
      </c>
      <c r="D1755" s="58" t="s">
        <v>3771</v>
      </c>
      <c r="E1755" s="58" t="s">
        <v>389</v>
      </c>
      <c r="F1755" s="58" t="s">
        <v>414</v>
      </c>
    </row>
    <row r="1756" spans="2:6" x14ac:dyDescent="0.3">
      <c r="B1756" s="58" t="s">
        <v>3745</v>
      </c>
      <c r="C1756" s="58">
        <v>1757667647046</v>
      </c>
      <c r="D1756" s="58" t="s">
        <v>3772</v>
      </c>
      <c r="E1756" s="58" t="s">
        <v>389</v>
      </c>
      <c r="F1756" s="58" t="s">
        <v>414</v>
      </c>
    </row>
    <row r="1757" spans="2:6" x14ac:dyDescent="0.3">
      <c r="B1757" s="58" t="s">
        <v>3745</v>
      </c>
      <c r="C1757" s="58">
        <v>1757667647114</v>
      </c>
      <c r="D1757" s="58" t="s">
        <v>3773</v>
      </c>
      <c r="E1757" s="58" t="s">
        <v>389</v>
      </c>
      <c r="F1757" s="58" t="s">
        <v>414</v>
      </c>
    </row>
    <row r="1758" spans="2:6" x14ac:dyDescent="0.3">
      <c r="B1758" s="58" t="s">
        <v>3745</v>
      </c>
      <c r="C1758" s="58">
        <v>1757667647178</v>
      </c>
      <c r="D1758" s="58" t="s">
        <v>3774</v>
      </c>
      <c r="E1758" s="58" t="s">
        <v>389</v>
      </c>
      <c r="F1758" s="58" t="s">
        <v>414</v>
      </c>
    </row>
    <row r="1759" spans="2:6" x14ac:dyDescent="0.3">
      <c r="B1759" s="58" t="s">
        <v>3745</v>
      </c>
      <c r="C1759" s="58">
        <v>1757667647274</v>
      </c>
      <c r="D1759" s="58" t="s">
        <v>3775</v>
      </c>
      <c r="E1759" s="58" t="s">
        <v>389</v>
      </c>
      <c r="F1759" s="58" t="s">
        <v>414</v>
      </c>
    </row>
    <row r="1760" spans="2:6" x14ac:dyDescent="0.3">
      <c r="B1760" s="58" t="s">
        <v>3745</v>
      </c>
      <c r="C1760" s="58">
        <v>1757667647328</v>
      </c>
      <c r="D1760" s="58" t="s">
        <v>3776</v>
      </c>
      <c r="E1760" s="58" t="s">
        <v>389</v>
      </c>
      <c r="F1760" s="58" t="s">
        <v>414</v>
      </c>
    </row>
    <row r="1761" spans="2:6" x14ac:dyDescent="0.3">
      <c r="B1761" s="58" t="s">
        <v>3745</v>
      </c>
      <c r="C1761" s="58">
        <v>1757667647378</v>
      </c>
      <c r="D1761" s="58" t="s">
        <v>3777</v>
      </c>
      <c r="E1761" s="58" t="s">
        <v>389</v>
      </c>
      <c r="F1761" s="58" t="s">
        <v>414</v>
      </c>
    </row>
    <row r="1762" spans="2:6" x14ac:dyDescent="0.3">
      <c r="B1762" s="58" t="s">
        <v>3745</v>
      </c>
      <c r="C1762" s="58">
        <v>1757667647435</v>
      </c>
      <c r="D1762" s="58" t="s">
        <v>3778</v>
      </c>
      <c r="E1762" s="58" t="s">
        <v>389</v>
      </c>
      <c r="F1762" s="58" t="s">
        <v>412</v>
      </c>
    </row>
    <row r="1763" spans="2:6" x14ac:dyDescent="0.3">
      <c r="B1763" s="58" t="s">
        <v>3745</v>
      </c>
      <c r="C1763" s="58">
        <v>1757667647508</v>
      </c>
      <c r="D1763" s="58" t="s">
        <v>3779</v>
      </c>
      <c r="E1763" s="58" t="s">
        <v>389</v>
      </c>
      <c r="F1763" s="58" t="s">
        <v>1576</v>
      </c>
    </row>
    <row r="1764" spans="2:6" x14ac:dyDescent="0.3">
      <c r="B1764" s="58" t="s">
        <v>3745</v>
      </c>
      <c r="C1764" s="58">
        <v>1757667647574</v>
      </c>
      <c r="D1764" s="58" t="s">
        <v>3780</v>
      </c>
      <c r="E1764" s="58" t="s">
        <v>389</v>
      </c>
      <c r="F1764" s="58" t="s">
        <v>412</v>
      </c>
    </row>
    <row r="1765" spans="2:6" x14ac:dyDescent="0.3">
      <c r="B1765" s="58" t="s">
        <v>3745</v>
      </c>
      <c r="C1765" s="58">
        <v>1757667647631</v>
      </c>
      <c r="D1765" s="58" t="s">
        <v>3781</v>
      </c>
      <c r="E1765" s="58" t="s">
        <v>389</v>
      </c>
      <c r="F1765" s="58" t="s">
        <v>414</v>
      </c>
    </row>
    <row r="1766" spans="2:6" x14ac:dyDescent="0.3">
      <c r="B1766" s="58" t="s">
        <v>3745</v>
      </c>
      <c r="C1766" s="58">
        <v>1757667647676</v>
      </c>
      <c r="D1766" s="58" t="s">
        <v>3782</v>
      </c>
      <c r="E1766" s="58" t="s">
        <v>389</v>
      </c>
      <c r="F1766" s="58" t="s">
        <v>414</v>
      </c>
    </row>
    <row r="1767" spans="2:6" x14ac:dyDescent="0.3">
      <c r="B1767" s="58" t="s">
        <v>3745</v>
      </c>
      <c r="C1767" s="58">
        <v>1757667647729</v>
      </c>
      <c r="D1767" s="58" t="s">
        <v>3783</v>
      </c>
      <c r="E1767" s="58" t="s">
        <v>389</v>
      </c>
      <c r="F1767" s="58" t="s">
        <v>414</v>
      </c>
    </row>
    <row r="1768" spans="2:6" x14ac:dyDescent="0.3">
      <c r="B1768" s="58" t="s">
        <v>3745</v>
      </c>
      <c r="C1768" s="58">
        <v>1757667647775</v>
      </c>
      <c r="D1768" s="58" t="s">
        <v>3784</v>
      </c>
      <c r="E1768" s="58" t="s">
        <v>389</v>
      </c>
      <c r="F1768" s="58" t="s">
        <v>414</v>
      </c>
    </row>
    <row r="1769" spans="2:6" x14ac:dyDescent="0.3">
      <c r="B1769" s="58" t="s">
        <v>3745</v>
      </c>
      <c r="C1769" s="58">
        <v>1757667647841</v>
      </c>
      <c r="D1769" s="58" t="s">
        <v>3785</v>
      </c>
      <c r="E1769" s="58" t="s">
        <v>389</v>
      </c>
      <c r="F1769" s="58" t="s">
        <v>414</v>
      </c>
    </row>
    <row r="1770" spans="2:6" x14ac:dyDescent="0.3">
      <c r="B1770" s="58" t="s">
        <v>3745</v>
      </c>
      <c r="C1770" s="58">
        <v>1757667647921</v>
      </c>
      <c r="D1770" s="58" t="s">
        <v>3786</v>
      </c>
      <c r="E1770" s="58" t="s">
        <v>389</v>
      </c>
      <c r="F1770" s="58" t="s">
        <v>414</v>
      </c>
    </row>
    <row r="1771" spans="2:6" x14ac:dyDescent="0.3">
      <c r="B1771" s="58" t="s">
        <v>3745</v>
      </c>
      <c r="C1771" s="58">
        <v>1757667647993</v>
      </c>
      <c r="D1771" s="58" t="s">
        <v>3787</v>
      </c>
      <c r="E1771" s="58" t="s">
        <v>389</v>
      </c>
      <c r="F1771" s="58" t="s">
        <v>414</v>
      </c>
    </row>
    <row r="1772" spans="2:6" x14ac:dyDescent="0.3">
      <c r="B1772" s="58" t="s">
        <v>3745</v>
      </c>
      <c r="C1772" s="58">
        <v>1757667648045</v>
      </c>
      <c r="D1772" s="58" t="s">
        <v>3788</v>
      </c>
      <c r="E1772" s="58" t="s">
        <v>389</v>
      </c>
      <c r="F1772" s="58" t="s">
        <v>414</v>
      </c>
    </row>
    <row r="1773" spans="2:6" x14ac:dyDescent="0.3">
      <c r="B1773" s="58" t="s">
        <v>3745</v>
      </c>
      <c r="C1773" s="58">
        <v>1757667648100</v>
      </c>
      <c r="D1773" s="58" t="s">
        <v>3789</v>
      </c>
      <c r="E1773" s="58" t="s">
        <v>389</v>
      </c>
      <c r="F1773" s="58" t="s">
        <v>414</v>
      </c>
    </row>
    <row r="1774" spans="2:6" x14ac:dyDescent="0.3">
      <c r="B1774" s="58" t="s">
        <v>3745</v>
      </c>
      <c r="C1774" s="58">
        <v>1757667648167</v>
      </c>
      <c r="D1774" s="58" t="s">
        <v>3790</v>
      </c>
      <c r="E1774" s="58" t="s">
        <v>389</v>
      </c>
      <c r="F1774" s="58" t="s">
        <v>414</v>
      </c>
    </row>
    <row r="1775" spans="2:6" x14ac:dyDescent="0.3">
      <c r="B1775" s="58" t="s">
        <v>3745</v>
      </c>
      <c r="C1775" s="58">
        <v>1757667648281</v>
      </c>
      <c r="D1775" s="58" t="s">
        <v>3791</v>
      </c>
      <c r="E1775" s="58" t="s">
        <v>389</v>
      </c>
      <c r="F1775" s="58" t="s">
        <v>414</v>
      </c>
    </row>
    <row r="1776" spans="2:6" x14ac:dyDescent="0.3">
      <c r="B1776" s="58" t="s">
        <v>3745</v>
      </c>
      <c r="C1776" s="58">
        <v>1757667648401</v>
      </c>
      <c r="D1776" s="58" t="s">
        <v>3792</v>
      </c>
      <c r="E1776" s="58" t="s">
        <v>389</v>
      </c>
      <c r="F1776" s="58" t="s">
        <v>414</v>
      </c>
    </row>
    <row r="1777" spans="2:6" x14ac:dyDescent="0.3">
      <c r="B1777" s="58" t="s">
        <v>3745</v>
      </c>
      <c r="C1777" s="58">
        <v>1757667648528</v>
      </c>
      <c r="D1777" s="58" t="s">
        <v>3793</v>
      </c>
      <c r="E1777" s="58" t="s">
        <v>389</v>
      </c>
      <c r="F1777" s="58" t="s">
        <v>414</v>
      </c>
    </row>
    <row r="1778" spans="2:6" x14ac:dyDescent="0.3">
      <c r="B1778" s="58" t="s">
        <v>3745</v>
      </c>
      <c r="C1778" s="58">
        <v>1757667648657</v>
      </c>
      <c r="D1778" s="58" t="s">
        <v>3794</v>
      </c>
      <c r="E1778" s="58" t="s">
        <v>389</v>
      </c>
      <c r="F1778" s="58" t="s">
        <v>414</v>
      </c>
    </row>
    <row r="1779" spans="2:6" x14ac:dyDescent="0.3">
      <c r="B1779" s="58" t="s">
        <v>3745</v>
      </c>
      <c r="C1779" s="58">
        <v>1757667651192</v>
      </c>
      <c r="D1779" s="58" t="s">
        <v>3795</v>
      </c>
      <c r="E1779" s="58" t="s">
        <v>416</v>
      </c>
      <c r="F1779" s="58" t="s">
        <v>573</v>
      </c>
    </row>
    <row r="1780" spans="2:6" x14ac:dyDescent="0.3">
      <c r="B1780" s="58" t="s">
        <v>3745</v>
      </c>
      <c r="C1780" s="58">
        <v>1757667651345</v>
      </c>
      <c r="D1780" s="58" t="s">
        <v>3796</v>
      </c>
      <c r="E1780" s="58" t="s">
        <v>468</v>
      </c>
      <c r="F1780" s="58" t="s">
        <v>3748</v>
      </c>
    </row>
    <row r="1781" spans="2:6" x14ac:dyDescent="0.3">
      <c r="B1781" s="58" t="s">
        <v>3745</v>
      </c>
      <c r="C1781" s="58">
        <v>1757667657252</v>
      </c>
      <c r="D1781" s="58" t="s">
        <v>3797</v>
      </c>
      <c r="E1781" s="58" t="s">
        <v>419</v>
      </c>
      <c r="F1781" s="58" t="s">
        <v>420</v>
      </c>
    </row>
    <row r="1782" spans="2:6" x14ac:dyDescent="0.3">
      <c r="B1782" s="58" t="s">
        <v>3745</v>
      </c>
      <c r="C1782" s="58">
        <v>1757667657317</v>
      </c>
      <c r="D1782" s="58" t="s">
        <v>3798</v>
      </c>
      <c r="E1782" s="58" t="s">
        <v>389</v>
      </c>
      <c r="F1782" s="58" t="s">
        <v>414</v>
      </c>
    </row>
    <row r="1783" spans="2:6" x14ac:dyDescent="0.3">
      <c r="B1783" s="58" t="s">
        <v>3745</v>
      </c>
      <c r="C1783" s="58">
        <v>1757667657375</v>
      </c>
      <c r="D1783" s="58" t="s">
        <v>3799</v>
      </c>
      <c r="E1783" s="58" t="s">
        <v>389</v>
      </c>
      <c r="F1783" s="58" t="s">
        <v>1562</v>
      </c>
    </row>
    <row r="1784" spans="2:6" x14ac:dyDescent="0.3">
      <c r="B1784" s="58" t="s">
        <v>3745</v>
      </c>
      <c r="C1784" s="58">
        <v>1757667657445</v>
      </c>
      <c r="D1784" s="58" t="s">
        <v>3800</v>
      </c>
      <c r="E1784" s="58" t="s">
        <v>389</v>
      </c>
      <c r="F1784" s="58" t="s">
        <v>1562</v>
      </c>
    </row>
    <row r="1785" spans="2:6" x14ac:dyDescent="0.3">
      <c r="B1785" s="58" t="s">
        <v>3745</v>
      </c>
      <c r="C1785" s="58">
        <v>1757667657497</v>
      </c>
      <c r="D1785" s="58" t="s">
        <v>3801</v>
      </c>
      <c r="E1785" s="58" t="s">
        <v>389</v>
      </c>
      <c r="F1785" s="58" t="s">
        <v>1562</v>
      </c>
    </row>
    <row r="1786" spans="2:6" x14ac:dyDescent="0.3">
      <c r="B1786" s="58" t="s">
        <v>3745</v>
      </c>
      <c r="C1786" s="58">
        <v>1757667657559</v>
      </c>
      <c r="D1786" s="58" t="s">
        <v>3802</v>
      </c>
      <c r="E1786" s="58" t="s">
        <v>389</v>
      </c>
      <c r="F1786" s="58" t="s">
        <v>1562</v>
      </c>
    </row>
    <row r="1787" spans="2:6" x14ac:dyDescent="0.3">
      <c r="B1787" s="58" t="s">
        <v>3745</v>
      </c>
      <c r="C1787" s="58">
        <v>1757667657627</v>
      </c>
      <c r="D1787" s="58" t="s">
        <v>3803</v>
      </c>
      <c r="E1787" s="58" t="s">
        <v>389</v>
      </c>
      <c r="F1787" s="58" t="s">
        <v>1584</v>
      </c>
    </row>
    <row r="1788" spans="2:6" x14ac:dyDescent="0.3">
      <c r="B1788" s="58" t="s">
        <v>3745</v>
      </c>
      <c r="C1788" s="58">
        <v>1757667657680</v>
      </c>
      <c r="D1788" s="58" t="s">
        <v>3804</v>
      </c>
      <c r="E1788" s="58" t="s">
        <v>389</v>
      </c>
      <c r="F1788" s="58" t="s">
        <v>1559</v>
      </c>
    </row>
    <row r="1789" spans="2:6" x14ac:dyDescent="0.3">
      <c r="B1789" s="58" t="s">
        <v>3745</v>
      </c>
      <c r="C1789" s="58">
        <v>1757667657735</v>
      </c>
      <c r="D1789" s="58" t="s">
        <v>3805</v>
      </c>
      <c r="E1789" s="58" t="s">
        <v>389</v>
      </c>
      <c r="F1789" s="58" t="s">
        <v>1562</v>
      </c>
    </row>
    <row r="1790" spans="2:6" x14ac:dyDescent="0.3">
      <c r="B1790" s="58" t="s">
        <v>3745</v>
      </c>
      <c r="C1790" s="58">
        <v>1757667657782</v>
      </c>
      <c r="D1790" s="58" t="s">
        <v>3806</v>
      </c>
      <c r="E1790" s="58" t="s">
        <v>389</v>
      </c>
      <c r="F1790" s="58" t="s">
        <v>1562</v>
      </c>
    </row>
    <row r="1791" spans="2:6" x14ac:dyDescent="0.3">
      <c r="B1791" s="58" t="s">
        <v>3745</v>
      </c>
      <c r="C1791" s="58">
        <v>1757667657833</v>
      </c>
      <c r="D1791" s="58" t="s">
        <v>3807</v>
      </c>
      <c r="E1791" s="58" t="s">
        <v>389</v>
      </c>
      <c r="F1791" s="58" t="s">
        <v>1562</v>
      </c>
    </row>
    <row r="1792" spans="2:6" x14ac:dyDescent="0.3">
      <c r="B1792" s="58" t="s">
        <v>3745</v>
      </c>
      <c r="C1792" s="58">
        <v>1757667657880</v>
      </c>
      <c r="D1792" s="58" t="s">
        <v>3808</v>
      </c>
      <c r="E1792" s="58" t="s">
        <v>389</v>
      </c>
      <c r="F1792" s="58" t="s">
        <v>1562</v>
      </c>
    </row>
    <row r="1793" spans="2:6" x14ac:dyDescent="0.3">
      <c r="B1793" s="58" t="s">
        <v>3745</v>
      </c>
      <c r="C1793" s="58">
        <v>1757667657935</v>
      </c>
      <c r="D1793" s="58" t="s">
        <v>3809</v>
      </c>
      <c r="E1793" s="58" t="s">
        <v>389</v>
      </c>
      <c r="F1793" s="58" t="s">
        <v>1562</v>
      </c>
    </row>
    <row r="1794" spans="2:6" x14ac:dyDescent="0.3">
      <c r="B1794" s="58" t="s">
        <v>3745</v>
      </c>
      <c r="C1794" s="58">
        <v>1757667657983</v>
      </c>
      <c r="D1794" s="58" t="s">
        <v>3810</v>
      </c>
      <c r="E1794" s="58" t="s">
        <v>389</v>
      </c>
      <c r="F1794" s="58" t="s">
        <v>1562</v>
      </c>
    </row>
    <row r="1795" spans="2:6" x14ac:dyDescent="0.3">
      <c r="B1795" s="58" t="s">
        <v>3745</v>
      </c>
      <c r="C1795" s="58">
        <v>1757667658030</v>
      </c>
      <c r="D1795" s="58" t="s">
        <v>3811</v>
      </c>
      <c r="E1795" s="58" t="s">
        <v>389</v>
      </c>
      <c r="F1795" s="58" t="s">
        <v>1562</v>
      </c>
    </row>
    <row r="1796" spans="2:6" x14ac:dyDescent="0.3">
      <c r="B1796" s="58" t="s">
        <v>3745</v>
      </c>
      <c r="C1796" s="58">
        <v>1757667658077</v>
      </c>
      <c r="D1796" s="58" t="s">
        <v>3812</v>
      </c>
      <c r="E1796" s="58" t="s">
        <v>389</v>
      </c>
      <c r="F1796" s="58" t="s">
        <v>1562</v>
      </c>
    </row>
    <row r="1797" spans="2:6" x14ac:dyDescent="0.3">
      <c r="B1797" s="58" t="s">
        <v>3745</v>
      </c>
      <c r="C1797" s="58">
        <v>1757667658130</v>
      </c>
      <c r="D1797" s="58" t="s">
        <v>3813</v>
      </c>
      <c r="E1797" s="58" t="s">
        <v>389</v>
      </c>
      <c r="F1797" s="58" t="s">
        <v>1562</v>
      </c>
    </row>
    <row r="1798" spans="2:6" x14ac:dyDescent="0.3">
      <c r="B1798" s="58" t="s">
        <v>3745</v>
      </c>
      <c r="C1798" s="58">
        <v>1757667658202</v>
      </c>
      <c r="D1798" s="58" t="s">
        <v>3814</v>
      </c>
      <c r="E1798" s="58" t="s">
        <v>389</v>
      </c>
      <c r="F1798" s="58" t="s">
        <v>1562</v>
      </c>
    </row>
    <row r="1799" spans="2:6" x14ac:dyDescent="0.3">
      <c r="B1799" s="58" t="s">
        <v>3745</v>
      </c>
      <c r="C1799" s="58">
        <v>1757667658284</v>
      </c>
      <c r="D1799" s="58" t="s">
        <v>3815</v>
      </c>
      <c r="E1799" s="58" t="s">
        <v>389</v>
      </c>
      <c r="F1799" s="58" t="s">
        <v>1562</v>
      </c>
    </row>
    <row r="1800" spans="2:6" x14ac:dyDescent="0.3">
      <c r="B1800" s="58" t="s">
        <v>3745</v>
      </c>
      <c r="C1800" s="58">
        <v>1757667658364</v>
      </c>
      <c r="D1800" s="58" t="s">
        <v>3816</v>
      </c>
      <c r="E1800" s="58" t="s">
        <v>389</v>
      </c>
      <c r="F1800" s="58" t="s">
        <v>1562</v>
      </c>
    </row>
    <row r="1801" spans="2:6" x14ac:dyDescent="0.3">
      <c r="B1801" s="58" t="s">
        <v>3745</v>
      </c>
      <c r="C1801" s="58">
        <v>1757667658515</v>
      </c>
      <c r="D1801" s="58" t="s">
        <v>3817</v>
      </c>
      <c r="E1801" s="58" t="s">
        <v>389</v>
      </c>
      <c r="F1801" s="58" t="s">
        <v>414</v>
      </c>
    </row>
    <row r="1802" spans="2:6" x14ac:dyDescent="0.3">
      <c r="B1802" s="58" t="s">
        <v>3745</v>
      </c>
      <c r="C1802" s="58">
        <v>1757667665208</v>
      </c>
      <c r="D1802" s="58" t="s">
        <v>3818</v>
      </c>
      <c r="E1802" s="58" t="s">
        <v>422</v>
      </c>
      <c r="F1802" s="58" t="s">
        <v>420</v>
      </c>
    </row>
    <row r="1803" spans="2:6" x14ac:dyDescent="0.3">
      <c r="B1803" s="58" t="s">
        <v>426</v>
      </c>
      <c r="C1803" s="58">
        <v>1757667684986</v>
      </c>
      <c r="D1803" s="58" t="s">
        <v>3819</v>
      </c>
      <c r="E1803" s="58" t="s">
        <v>428</v>
      </c>
      <c r="F1803" s="58" t="s">
        <v>435</v>
      </c>
    </row>
    <row r="1804" spans="2:6" x14ac:dyDescent="0.3">
      <c r="B1804" s="58" t="s">
        <v>3745</v>
      </c>
      <c r="C1804" s="58">
        <v>1757667685340</v>
      </c>
      <c r="D1804" s="58" t="s">
        <v>3820</v>
      </c>
      <c r="E1804" s="58" t="s">
        <v>520</v>
      </c>
      <c r="F1804" s="58" t="s">
        <v>662</v>
      </c>
    </row>
    <row r="1805" spans="2:6" x14ac:dyDescent="0.3">
      <c r="B1805" s="58" t="s">
        <v>3745</v>
      </c>
      <c r="C1805" s="58">
        <v>1757667691863</v>
      </c>
      <c r="D1805" s="58" t="s">
        <v>3821</v>
      </c>
      <c r="E1805" s="58" t="s">
        <v>525</v>
      </c>
      <c r="F1805" s="58" t="s">
        <v>663</v>
      </c>
    </row>
    <row r="1806" spans="2:6" x14ac:dyDescent="0.3">
      <c r="B1806" s="58" t="s">
        <v>426</v>
      </c>
      <c r="C1806" s="58">
        <v>1757667704150</v>
      </c>
      <c r="D1806" s="58" t="s">
        <v>3822</v>
      </c>
      <c r="E1806" s="58" t="s">
        <v>428</v>
      </c>
      <c r="F1806" s="58" t="s">
        <v>437</v>
      </c>
    </row>
    <row r="1807" spans="2:6" x14ac:dyDescent="0.3">
      <c r="B1807" s="58" t="s">
        <v>3745</v>
      </c>
      <c r="C1807" s="58">
        <v>1757667711957</v>
      </c>
      <c r="D1807" s="58" t="s">
        <v>3823</v>
      </c>
      <c r="E1807" s="58" t="s">
        <v>520</v>
      </c>
      <c r="F1807" s="58" t="s">
        <v>2311</v>
      </c>
    </row>
    <row r="1808" spans="2:6" x14ac:dyDescent="0.3">
      <c r="B1808" s="58" t="s">
        <v>3745</v>
      </c>
      <c r="C1808" s="58">
        <v>1757667719052</v>
      </c>
      <c r="D1808" s="58" t="s">
        <v>3824</v>
      </c>
      <c r="E1808" s="58" t="s">
        <v>525</v>
      </c>
      <c r="F1808" s="58" t="s">
        <v>2313</v>
      </c>
    </row>
    <row r="1809" spans="2:6" x14ac:dyDescent="0.3">
      <c r="B1809" s="58" t="s">
        <v>426</v>
      </c>
      <c r="C1809" s="58">
        <v>1757667722603</v>
      </c>
      <c r="D1809" s="58" t="s">
        <v>3825</v>
      </c>
      <c r="E1809" s="58" t="s">
        <v>428</v>
      </c>
      <c r="F1809" s="58" t="s">
        <v>439</v>
      </c>
    </row>
    <row r="1810" spans="2:6" x14ac:dyDescent="0.3">
      <c r="B1810" s="58" t="s">
        <v>3745</v>
      </c>
      <c r="C1810" s="58">
        <v>1757667733879</v>
      </c>
      <c r="D1810" s="58" t="s">
        <v>3826</v>
      </c>
      <c r="E1810" s="58" t="s">
        <v>424</v>
      </c>
      <c r="F1810" s="58" t="s">
        <v>441</v>
      </c>
    </row>
    <row r="1811" spans="2:6" x14ac:dyDescent="0.3">
      <c r="B1811" s="58" t="s">
        <v>426</v>
      </c>
      <c r="C1811" s="58">
        <v>1757667738087</v>
      </c>
      <c r="D1811" s="58" t="s">
        <v>3827</v>
      </c>
      <c r="E1811" s="58" t="s">
        <v>428</v>
      </c>
      <c r="F1811" s="58" t="s">
        <v>429</v>
      </c>
    </row>
    <row r="1812" spans="2:6" x14ac:dyDescent="0.3">
      <c r="B1812" s="58" t="s">
        <v>3745</v>
      </c>
      <c r="C1812" s="58">
        <v>1757667739201</v>
      </c>
      <c r="D1812" s="58" t="s">
        <v>3828</v>
      </c>
      <c r="E1812" s="58" t="s">
        <v>520</v>
      </c>
      <c r="F1812" s="58" t="s">
        <v>664</v>
      </c>
    </row>
    <row r="1813" spans="2:6" x14ac:dyDescent="0.3">
      <c r="B1813" s="58" t="s">
        <v>3745</v>
      </c>
      <c r="C1813" s="58">
        <v>1757667748858</v>
      </c>
      <c r="D1813" s="58" t="s">
        <v>3829</v>
      </c>
      <c r="E1813" s="58" t="s">
        <v>525</v>
      </c>
      <c r="F1813" s="58" t="s">
        <v>665</v>
      </c>
    </row>
    <row r="1814" spans="2:6" x14ac:dyDescent="0.3">
      <c r="B1814" s="58" t="s">
        <v>426</v>
      </c>
      <c r="C1814" s="58">
        <v>1757667752869</v>
      </c>
      <c r="D1814" s="58" t="s">
        <v>3830</v>
      </c>
      <c r="E1814" s="58" t="s">
        <v>428</v>
      </c>
      <c r="F1814" s="58" t="s">
        <v>431</v>
      </c>
    </row>
    <row r="1815" spans="2:6" x14ac:dyDescent="0.3">
      <c r="B1815" s="58" t="s">
        <v>3745</v>
      </c>
      <c r="C1815" s="58">
        <v>1757667761462</v>
      </c>
      <c r="D1815" s="58" t="s">
        <v>3831</v>
      </c>
      <c r="E1815" s="58" t="s">
        <v>424</v>
      </c>
      <c r="F1815" s="58" t="s">
        <v>433</v>
      </c>
    </row>
    <row r="1816" spans="2:6" x14ac:dyDescent="0.3">
      <c r="B1816" s="58" t="s">
        <v>3745</v>
      </c>
      <c r="C1816" s="58">
        <v>1757667768988</v>
      </c>
      <c r="D1816" s="58" t="s">
        <v>3832</v>
      </c>
      <c r="E1816" s="58" t="s">
        <v>520</v>
      </c>
      <c r="F1816" s="58" t="s">
        <v>608</v>
      </c>
    </row>
    <row r="1817" spans="2:6" x14ac:dyDescent="0.3">
      <c r="B1817" s="58" t="s">
        <v>426</v>
      </c>
      <c r="C1817" s="58">
        <v>1757667769090</v>
      </c>
      <c r="D1817" s="58" t="s">
        <v>3833</v>
      </c>
      <c r="E1817" s="58" t="s">
        <v>428</v>
      </c>
      <c r="F1817" s="58" t="s">
        <v>538</v>
      </c>
    </row>
    <row r="1818" spans="2:6" x14ac:dyDescent="0.3">
      <c r="B1818" s="58" t="s">
        <v>3745</v>
      </c>
      <c r="C1818" s="58">
        <v>1757667779580</v>
      </c>
      <c r="D1818" s="58" t="s">
        <v>3834</v>
      </c>
      <c r="E1818" s="58" t="s">
        <v>525</v>
      </c>
      <c r="F1818" s="58" t="s">
        <v>612</v>
      </c>
    </row>
    <row r="1819" spans="2:6" x14ac:dyDescent="0.3">
      <c r="B1819" s="58" t="s">
        <v>3745</v>
      </c>
      <c r="C1819" s="58">
        <v>1757667782906</v>
      </c>
      <c r="D1819" s="58" t="s">
        <v>3835</v>
      </c>
      <c r="E1819" s="58" t="s">
        <v>424</v>
      </c>
      <c r="F1819" s="58" t="s">
        <v>518</v>
      </c>
    </row>
    <row r="1820" spans="2:6" x14ac:dyDescent="0.3">
      <c r="B1820" s="58" t="s">
        <v>426</v>
      </c>
      <c r="C1820" s="58">
        <v>1757667786814</v>
      </c>
      <c r="D1820" s="58" t="s">
        <v>3836</v>
      </c>
      <c r="E1820" s="58" t="s">
        <v>428</v>
      </c>
      <c r="F1820" s="58" t="s">
        <v>672</v>
      </c>
    </row>
    <row r="1821" spans="2:6" x14ac:dyDescent="0.3">
      <c r="B1821" s="58" t="s">
        <v>3745</v>
      </c>
      <c r="C1821" s="58">
        <v>1757667799702</v>
      </c>
      <c r="D1821" s="58" t="s">
        <v>3837</v>
      </c>
      <c r="E1821" s="58" t="s">
        <v>520</v>
      </c>
      <c r="F1821" s="58" t="s">
        <v>529</v>
      </c>
    </row>
    <row r="1822" spans="2:6" x14ac:dyDescent="0.3">
      <c r="B1822" s="58" t="s">
        <v>426</v>
      </c>
      <c r="C1822" s="58">
        <v>1757667801590</v>
      </c>
      <c r="D1822" s="58" t="s">
        <v>3838</v>
      </c>
      <c r="E1822" s="58" t="s">
        <v>428</v>
      </c>
      <c r="F1822" s="58" t="s">
        <v>447</v>
      </c>
    </row>
    <row r="1823" spans="2:6" x14ac:dyDescent="0.3">
      <c r="B1823" s="58" t="s">
        <v>3745</v>
      </c>
      <c r="C1823" s="58">
        <v>1757667811755</v>
      </c>
      <c r="D1823" s="58" t="s">
        <v>3839</v>
      </c>
      <c r="E1823" s="58" t="s">
        <v>525</v>
      </c>
      <c r="F1823" s="58" t="s">
        <v>531</v>
      </c>
    </row>
    <row r="1824" spans="2:6" x14ac:dyDescent="0.3">
      <c r="B1824" s="58" t="s">
        <v>426</v>
      </c>
      <c r="C1824" s="58">
        <v>1757667818486</v>
      </c>
      <c r="D1824" s="58" t="s">
        <v>3840</v>
      </c>
      <c r="E1824" s="58" t="s">
        <v>428</v>
      </c>
      <c r="F1824" s="58" t="s">
        <v>523</v>
      </c>
    </row>
    <row r="1825" spans="1:6" x14ac:dyDescent="0.3">
      <c r="B1825" s="58" t="s">
        <v>3745</v>
      </c>
      <c r="C1825" s="58">
        <v>1757667825132</v>
      </c>
      <c r="D1825" s="58" t="s">
        <v>3841</v>
      </c>
      <c r="E1825" s="58" t="s">
        <v>424</v>
      </c>
      <c r="F1825" s="58" t="s">
        <v>457</v>
      </c>
    </row>
    <row r="1826" spans="1:6" x14ac:dyDescent="0.3">
      <c r="B1826" s="58" t="s">
        <v>3745</v>
      </c>
      <c r="C1826" s="58">
        <v>1757667831893</v>
      </c>
      <c r="D1826" s="58" t="s">
        <v>3842</v>
      </c>
      <c r="E1826" s="58" t="s">
        <v>520</v>
      </c>
      <c r="F1826" s="58" t="s">
        <v>1409</v>
      </c>
    </row>
    <row r="1827" spans="1:6" x14ac:dyDescent="0.3">
      <c r="B1827" s="58" t="s">
        <v>426</v>
      </c>
      <c r="C1827" s="58">
        <v>1757667839140</v>
      </c>
      <c r="D1827" s="58" t="s">
        <v>3843</v>
      </c>
      <c r="E1827" s="58" t="s">
        <v>428</v>
      </c>
      <c r="F1827" s="58" t="s">
        <v>455</v>
      </c>
    </row>
    <row r="1828" spans="1:6" x14ac:dyDescent="0.3">
      <c r="B1828" s="58" t="s">
        <v>3745</v>
      </c>
      <c r="C1828" s="58">
        <v>1757667850322</v>
      </c>
      <c r="D1828" s="58" t="s">
        <v>3844</v>
      </c>
      <c r="E1828" s="58" t="s">
        <v>525</v>
      </c>
      <c r="F1828" s="58" t="s">
        <v>1413</v>
      </c>
    </row>
    <row r="1829" spans="1:6" x14ac:dyDescent="0.3">
      <c r="B1829" s="58" t="s">
        <v>3745</v>
      </c>
      <c r="C1829" s="58">
        <v>1757667852645</v>
      </c>
      <c r="D1829" s="58" t="s">
        <v>3845</v>
      </c>
      <c r="E1829" s="58" t="s">
        <v>424</v>
      </c>
      <c r="F1829" s="58" t="s">
        <v>459</v>
      </c>
    </row>
    <row r="1830" spans="1:6" x14ac:dyDescent="0.3">
      <c r="B1830" s="58" t="s">
        <v>3745</v>
      </c>
      <c r="C1830" s="58">
        <v>1757667870472</v>
      </c>
      <c r="D1830" s="58" t="s">
        <v>3846</v>
      </c>
      <c r="E1830" s="58" t="s">
        <v>520</v>
      </c>
      <c r="F1830" s="58" t="s">
        <v>3013</v>
      </c>
    </row>
    <row r="1831" spans="1:6" x14ac:dyDescent="0.3">
      <c r="B1831" s="58" t="s">
        <v>3745</v>
      </c>
      <c r="C1831" s="58">
        <v>1757667879921</v>
      </c>
      <c r="D1831" s="58" t="s">
        <v>3847</v>
      </c>
      <c r="E1831" s="58" t="s">
        <v>1438</v>
      </c>
      <c r="F1831" s="58" t="s">
        <v>3848</v>
      </c>
    </row>
    <row r="1832" spans="1:6" x14ac:dyDescent="0.3">
      <c r="B1832" s="58" t="s">
        <v>3745</v>
      </c>
      <c r="C1832" s="58">
        <v>1757667888276</v>
      </c>
      <c r="D1832" s="58" t="s">
        <v>3849</v>
      </c>
      <c r="E1832" s="58" t="s">
        <v>1438</v>
      </c>
      <c r="F1832" s="58" t="s">
        <v>3848</v>
      </c>
    </row>
    <row r="1833" spans="1:6" x14ac:dyDescent="0.3">
      <c r="B1833" s="58" t="s">
        <v>3745</v>
      </c>
      <c r="C1833" s="58">
        <v>1757667898995</v>
      </c>
      <c r="D1833" s="58" t="s">
        <v>3850</v>
      </c>
      <c r="E1833" s="58" t="s">
        <v>525</v>
      </c>
      <c r="F1833" s="58" t="s">
        <v>3016</v>
      </c>
    </row>
    <row r="1834" spans="1:6" x14ac:dyDescent="0.3">
      <c r="B1834" s="58" t="s">
        <v>3745</v>
      </c>
      <c r="C1834" s="58">
        <v>1757667903022</v>
      </c>
      <c r="D1834" s="58" t="s">
        <v>3851</v>
      </c>
      <c r="E1834" s="58" t="s">
        <v>424</v>
      </c>
      <c r="F1834" s="58" t="s">
        <v>461</v>
      </c>
    </row>
    <row r="1835" spans="1:6" x14ac:dyDescent="0.3">
      <c r="B1835" s="58" t="s">
        <v>3745</v>
      </c>
      <c r="C1835" s="58">
        <v>1757667910380</v>
      </c>
      <c r="D1835" s="58" t="s">
        <v>3852</v>
      </c>
      <c r="E1835" s="58" t="s">
        <v>424</v>
      </c>
      <c r="F1835" s="58" t="s">
        <v>449</v>
      </c>
    </row>
    <row r="1836" spans="1:6" x14ac:dyDescent="0.3">
      <c r="B1836" s="58" t="s">
        <v>3745</v>
      </c>
      <c r="C1836" s="58">
        <v>1757667917707</v>
      </c>
      <c r="D1836" s="58" t="s">
        <v>3853</v>
      </c>
      <c r="E1836" s="58" t="s">
        <v>424</v>
      </c>
      <c r="F1836" s="58" t="s">
        <v>451</v>
      </c>
    </row>
    <row r="1837" spans="1:6" x14ac:dyDescent="0.3">
      <c r="B1837" s="58" t="s">
        <v>3745</v>
      </c>
      <c r="C1837" s="58">
        <v>1757667919108</v>
      </c>
      <c r="D1837" s="58" t="s">
        <v>3854</v>
      </c>
      <c r="E1837" s="58" t="s">
        <v>520</v>
      </c>
      <c r="F1837" s="58" t="s">
        <v>559</v>
      </c>
    </row>
    <row r="1838" spans="1:6" x14ac:dyDescent="0.3">
      <c r="B1838" s="58" t="s">
        <v>3745</v>
      </c>
      <c r="C1838" s="58">
        <v>1757667923172</v>
      </c>
      <c r="D1838" s="58" t="s">
        <v>3855</v>
      </c>
      <c r="E1838" s="58" t="s">
        <v>525</v>
      </c>
      <c r="F1838" s="58" t="s">
        <v>561</v>
      </c>
    </row>
    <row r="1839" spans="1:6" x14ac:dyDescent="0.3">
      <c r="B1839" s="58" t="s">
        <v>3745</v>
      </c>
      <c r="C1839" s="58">
        <v>1757667929684</v>
      </c>
      <c r="D1839" s="58" t="s">
        <v>3856</v>
      </c>
      <c r="E1839" s="58" t="s">
        <v>463</v>
      </c>
      <c r="F1839" s="58" t="s">
        <v>464</v>
      </c>
    </row>
    <row r="1840" spans="1:6" ht="21" x14ac:dyDescent="0.4">
      <c r="A1840" s="69" t="s">
        <v>52</v>
      </c>
      <c r="B1840" s="63" t="s">
        <v>3857</v>
      </c>
      <c r="C1840" s="63">
        <v>1757670688931</v>
      </c>
      <c r="D1840" s="63" t="s">
        <v>3858</v>
      </c>
      <c r="E1840" s="63" t="s">
        <v>416</v>
      </c>
      <c r="F1840" s="63" t="s">
        <v>492</v>
      </c>
    </row>
    <row r="1841" spans="2:6" x14ac:dyDescent="0.3">
      <c r="B1841" s="63" t="s">
        <v>3857</v>
      </c>
      <c r="C1841" s="63">
        <v>1757670694819</v>
      </c>
      <c r="D1841" s="63" t="s">
        <v>3859</v>
      </c>
      <c r="E1841" s="63" t="s">
        <v>419</v>
      </c>
      <c r="F1841" s="63" t="s">
        <v>420</v>
      </c>
    </row>
    <row r="1842" spans="2:6" x14ac:dyDescent="0.3">
      <c r="B1842" s="63" t="s">
        <v>3857</v>
      </c>
      <c r="C1842" s="63">
        <v>1757670720560</v>
      </c>
      <c r="D1842" s="63" t="s">
        <v>3860</v>
      </c>
      <c r="E1842" s="63" t="s">
        <v>389</v>
      </c>
      <c r="F1842" s="63" t="s">
        <v>406</v>
      </c>
    </row>
    <row r="1843" spans="2:6" x14ac:dyDescent="0.3">
      <c r="B1843" s="63" t="s">
        <v>3857</v>
      </c>
      <c r="C1843" s="63">
        <v>1757670726014</v>
      </c>
      <c r="D1843" s="63" t="s">
        <v>3861</v>
      </c>
      <c r="E1843" s="63" t="s">
        <v>389</v>
      </c>
      <c r="F1843" s="63" t="s">
        <v>1234</v>
      </c>
    </row>
    <row r="1844" spans="2:6" x14ac:dyDescent="0.3">
      <c r="B1844" s="63" t="s">
        <v>3857</v>
      </c>
      <c r="C1844" s="63">
        <v>1757670726763</v>
      </c>
      <c r="D1844" s="63" t="s">
        <v>3862</v>
      </c>
      <c r="E1844" s="63" t="s">
        <v>389</v>
      </c>
      <c r="F1844" s="63" t="s">
        <v>1126</v>
      </c>
    </row>
    <row r="1845" spans="2:6" x14ac:dyDescent="0.3">
      <c r="B1845" s="63" t="s">
        <v>3857</v>
      </c>
      <c r="C1845" s="63">
        <v>1757670727738</v>
      </c>
      <c r="D1845" s="63" t="s">
        <v>3863</v>
      </c>
      <c r="E1845" s="63" t="s">
        <v>389</v>
      </c>
      <c r="F1845" s="63" t="s">
        <v>2014</v>
      </c>
    </row>
    <row r="1846" spans="2:6" x14ac:dyDescent="0.3">
      <c r="B1846" s="63" t="s">
        <v>3857</v>
      </c>
      <c r="C1846" s="63">
        <v>1757670728833</v>
      </c>
      <c r="D1846" s="63" t="s">
        <v>3864</v>
      </c>
      <c r="E1846" s="63" t="s">
        <v>389</v>
      </c>
      <c r="F1846" s="63" t="s">
        <v>1694</v>
      </c>
    </row>
    <row r="1847" spans="2:6" x14ac:dyDescent="0.3">
      <c r="B1847" s="63" t="s">
        <v>3857</v>
      </c>
      <c r="C1847" s="63">
        <v>1757670734504</v>
      </c>
      <c r="D1847" s="63" t="s">
        <v>3865</v>
      </c>
      <c r="E1847" s="63" t="s">
        <v>389</v>
      </c>
      <c r="F1847" s="63" t="s">
        <v>964</v>
      </c>
    </row>
    <row r="1848" spans="2:6" x14ac:dyDescent="0.3">
      <c r="B1848" s="63" t="s">
        <v>3857</v>
      </c>
      <c r="C1848" s="63">
        <v>1757670734658</v>
      </c>
      <c r="D1848" s="63" t="s">
        <v>3866</v>
      </c>
      <c r="E1848" s="63" t="s">
        <v>389</v>
      </c>
      <c r="F1848" s="63" t="s">
        <v>966</v>
      </c>
    </row>
    <row r="1849" spans="2:6" x14ac:dyDescent="0.3">
      <c r="B1849" s="63" t="s">
        <v>3857</v>
      </c>
      <c r="C1849" s="63">
        <v>1757670734744</v>
      </c>
      <c r="D1849" s="63" t="s">
        <v>3867</v>
      </c>
      <c r="E1849" s="63" t="s">
        <v>389</v>
      </c>
      <c r="F1849" s="63" t="s">
        <v>3428</v>
      </c>
    </row>
    <row r="1850" spans="2:6" x14ac:dyDescent="0.3">
      <c r="B1850" s="63" t="s">
        <v>3857</v>
      </c>
      <c r="C1850" s="63">
        <v>1757670734902</v>
      </c>
      <c r="D1850" s="63" t="s">
        <v>3868</v>
      </c>
      <c r="E1850" s="63" t="s">
        <v>389</v>
      </c>
      <c r="F1850" s="63" t="s">
        <v>964</v>
      </c>
    </row>
    <row r="1851" spans="2:6" x14ac:dyDescent="0.3">
      <c r="B1851" s="63" t="s">
        <v>3857</v>
      </c>
      <c r="C1851" s="63">
        <v>1757670734997</v>
      </c>
      <c r="D1851" s="63" t="s">
        <v>3869</v>
      </c>
      <c r="E1851" s="63" t="s">
        <v>389</v>
      </c>
      <c r="F1851" s="63" t="s">
        <v>3428</v>
      </c>
    </row>
    <row r="1852" spans="2:6" x14ac:dyDescent="0.3">
      <c r="B1852" s="63" t="s">
        <v>3857</v>
      </c>
      <c r="C1852" s="63">
        <v>1757670735667</v>
      </c>
      <c r="D1852" s="63" t="s">
        <v>3870</v>
      </c>
      <c r="E1852" s="63" t="s">
        <v>389</v>
      </c>
      <c r="F1852" s="63" t="s">
        <v>968</v>
      </c>
    </row>
    <row r="1853" spans="2:6" x14ac:dyDescent="0.3">
      <c r="B1853" s="63" t="s">
        <v>3857</v>
      </c>
      <c r="C1853" s="63">
        <v>1757670736366</v>
      </c>
      <c r="D1853" s="63" t="s">
        <v>3871</v>
      </c>
      <c r="E1853" s="63" t="s">
        <v>389</v>
      </c>
      <c r="F1853" s="63" t="s">
        <v>1689</v>
      </c>
    </row>
    <row r="1854" spans="2:6" x14ac:dyDescent="0.3">
      <c r="B1854" s="63" t="s">
        <v>3857</v>
      </c>
      <c r="C1854" s="63">
        <v>1757670740779</v>
      </c>
      <c r="D1854" s="63" t="s">
        <v>3872</v>
      </c>
      <c r="E1854" s="63" t="s">
        <v>389</v>
      </c>
      <c r="F1854" s="63" t="s">
        <v>1599</v>
      </c>
    </row>
    <row r="1855" spans="2:6" x14ac:dyDescent="0.3">
      <c r="B1855" s="63" t="s">
        <v>3857</v>
      </c>
      <c r="C1855" s="63">
        <v>1757670741724</v>
      </c>
      <c r="D1855" s="63" t="s">
        <v>3873</v>
      </c>
      <c r="E1855" s="63" t="s">
        <v>389</v>
      </c>
      <c r="F1855" s="63" t="s">
        <v>1597</v>
      </c>
    </row>
    <row r="1856" spans="2:6" x14ac:dyDescent="0.3">
      <c r="B1856" s="63" t="s">
        <v>3857</v>
      </c>
      <c r="C1856" s="63">
        <v>1757670743398</v>
      </c>
      <c r="D1856" s="63" t="s">
        <v>3874</v>
      </c>
      <c r="E1856" s="63" t="s">
        <v>389</v>
      </c>
      <c r="F1856" s="63" t="s">
        <v>1728</v>
      </c>
    </row>
    <row r="1857" spans="2:7" x14ac:dyDescent="0.3">
      <c r="B1857" s="63" t="s">
        <v>3857</v>
      </c>
      <c r="C1857" s="63">
        <v>1757670748946</v>
      </c>
      <c r="D1857" s="63" t="s">
        <v>3875</v>
      </c>
      <c r="E1857" s="63" t="s">
        <v>389</v>
      </c>
      <c r="F1857" s="63" t="s">
        <v>1687</v>
      </c>
    </row>
    <row r="1858" spans="2:7" x14ac:dyDescent="0.3">
      <c r="B1858" s="63" t="s">
        <v>3857</v>
      </c>
      <c r="C1858" s="63">
        <v>1757670755391</v>
      </c>
      <c r="D1858" s="63" t="s">
        <v>3876</v>
      </c>
      <c r="E1858" s="63" t="s">
        <v>416</v>
      </c>
      <c r="F1858" s="63" t="s">
        <v>492</v>
      </c>
    </row>
    <row r="1859" spans="2:7" x14ac:dyDescent="0.3">
      <c r="B1859" s="63" t="s">
        <v>3857</v>
      </c>
      <c r="C1859" s="63">
        <v>1757670761263</v>
      </c>
      <c r="D1859" s="63" t="s">
        <v>3877</v>
      </c>
      <c r="E1859" s="63" t="s">
        <v>419</v>
      </c>
      <c r="F1859" s="63" t="s">
        <v>420</v>
      </c>
    </row>
    <row r="1860" spans="2:7" x14ac:dyDescent="0.3">
      <c r="B1860" s="63" t="s">
        <v>3857</v>
      </c>
      <c r="C1860" s="63">
        <v>1757670770768</v>
      </c>
      <c r="D1860" s="63" t="s">
        <v>3878</v>
      </c>
      <c r="E1860" s="63" t="s">
        <v>389</v>
      </c>
      <c r="F1860" s="63" t="s">
        <v>661</v>
      </c>
    </row>
    <row r="1861" spans="2:7" x14ac:dyDescent="0.3">
      <c r="B1861" s="63" t="s">
        <v>3857</v>
      </c>
      <c r="C1861" s="63">
        <v>1757670772522</v>
      </c>
      <c r="D1861" s="63" t="s">
        <v>3879</v>
      </c>
      <c r="E1861" s="63" t="s">
        <v>422</v>
      </c>
      <c r="F1861" s="63" t="s">
        <v>420</v>
      </c>
      <c r="G1861" s="63"/>
    </row>
    <row r="1862" spans="2:7" x14ac:dyDescent="0.3">
      <c r="B1862" s="63" t="s">
        <v>426</v>
      </c>
      <c r="C1862" s="63">
        <v>1757670790144</v>
      </c>
      <c r="D1862" s="63" t="s">
        <v>3880</v>
      </c>
      <c r="E1862" s="63" t="s">
        <v>428</v>
      </c>
      <c r="F1862" s="63" t="s">
        <v>453</v>
      </c>
      <c r="G1862" s="63"/>
    </row>
    <row r="1863" spans="2:7" x14ac:dyDescent="0.3">
      <c r="B1863" s="63" t="s">
        <v>3857</v>
      </c>
      <c r="C1863" s="63">
        <v>1757670792685</v>
      </c>
      <c r="D1863" s="63" t="s">
        <v>3881</v>
      </c>
      <c r="E1863" s="63" t="s">
        <v>520</v>
      </c>
      <c r="F1863" s="63" t="s">
        <v>2268</v>
      </c>
      <c r="G1863" s="63"/>
    </row>
    <row r="1864" spans="2:7" x14ac:dyDescent="0.3">
      <c r="B1864" s="63" t="s">
        <v>3857</v>
      </c>
      <c r="C1864" s="63">
        <v>1757670804653</v>
      </c>
      <c r="D1864" s="63" t="s">
        <v>3882</v>
      </c>
      <c r="E1864" s="63" t="s">
        <v>525</v>
      </c>
      <c r="F1864" s="63" t="s">
        <v>2270</v>
      </c>
      <c r="G1864" s="63"/>
    </row>
    <row r="1865" spans="2:7" x14ac:dyDescent="0.3">
      <c r="B1865" s="63" t="s">
        <v>426</v>
      </c>
      <c r="C1865" s="63">
        <v>1757670805578</v>
      </c>
      <c r="D1865" s="63" t="s">
        <v>3883</v>
      </c>
      <c r="E1865" s="63" t="s">
        <v>428</v>
      </c>
      <c r="F1865" s="63" t="s">
        <v>435</v>
      </c>
      <c r="G1865" s="63"/>
    </row>
    <row r="1866" spans="2:7" x14ac:dyDescent="0.3">
      <c r="B1866" s="63" t="s">
        <v>426</v>
      </c>
      <c r="C1866" s="63">
        <v>1757670820327</v>
      </c>
      <c r="D1866" s="63" t="s">
        <v>3884</v>
      </c>
      <c r="E1866" s="63" t="s">
        <v>428</v>
      </c>
      <c r="F1866" s="63" t="s">
        <v>437</v>
      </c>
      <c r="G1866" s="63"/>
    </row>
    <row r="1867" spans="2:7" x14ac:dyDescent="0.3">
      <c r="B1867" s="63" t="s">
        <v>3857</v>
      </c>
      <c r="C1867" s="63">
        <v>1757670824801</v>
      </c>
      <c r="D1867" s="63" t="s">
        <v>3885</v>
      </c>
      <c r="E1867" s="63" t="s">
        <v>520</v>
      </c>
      <c r="F1867" s="63" t="s">
        <v>1281</v>
      </c>
      <c r="G1867" s="63"/>
    </row>
    <row r="1868" spans="2:7" x14ac:dyDescent="0.3">
      <c r="B1868" s="63" t="s">
        <v>3857</v>
      </c>
      <c r="C1868" s="63">
        <v>1757670830871</v>
      </c>
      <c r="D1868" s="63" t="s">
        <v>3886</v>
      </c>
      <c r="E1868" s="63" t="s">
        <v>525</v>
      </c>
      <c r="F1868" s="63" t="s">
        <v>1283</v>
      </c>
      <c r="G1868" s="63"/>
    </row>
    <row r="1869" spans="2:7" x14ac:dyDescent="0.3">
      <c r="B1869" s="63" t="s">
        <v>426</v>
      </c>
      <c r="C1869" s="63">
        <v>1757670836619</v>
      </c>
      <c r="D1869" s="63" t="s">
        <v>3887</v>
      </c>
      <c r="E1869" s="63" t="s">
        <v>428</v>
      </c>
      <c r="F1869" s="63" t="s">
        <v>439</v>
      </c>
      <c r="G1869" s="63"/>
    </row>
    <row r="1870" spans="2:7" x14ac:dyDescent="0.3">
      <c r="B1870" s="63" t="s">
        <v>3857</v>
      </c>
      <c r="C1870" s="63">
        <v>1757670850999</v>
      </c>
      <c r="D1870" s="63" t="s">
        <v>3888</v>
      </c>
      <c r="E1870" s="63" t="s">
        <v>520</v>
      </c>
      <c r="F1870" s="63" t="s">
        <v>608</v>
      </c>
      <c r="G1870" s="63"/>
    </row>
    <row r="1871" spans="2:7" x14ac:dyDescent="0.3">
      <c r="B1871" s="63" t="s">
        <v>426</v>
      </c>
      <c r="C1871" s="63">
        <v>1757670852183</v>
      </c>
      <c r="D1871" s="63" t="s">
        <v>3889</v>
      </c>
      <c r="E1871" s="63" t="s">
        <v>428</v>
      </c>
      <c r="F1871" s="63" t="s">
        <v>447</v>
      </c>
      <c r="G1871" s="63"/>
    </row>
    <row r="1872" spans="2:7" x14ac:dyDescent="0.3">
      <c r="B1872" s="63" t="s">
        <v>3857</v>
      </c>
      <c r="C1872" s="63">
        <v>1757670862504</v>
      </c>
      <c r="D1872" s="63" t="s">
        <v>3890</v>
      </c>
      <c r="E1872" s="63" t="s">
        <v>525</v>
      </c>
      <c r="F1872" s="63" t="s">
        <v>612</v>
      </c>
      <c r="G1872" s="63"/>
    </row>
    <row r="1873" spans="2:7" x14ac:dyDescent="0.3">
      <c r="B1873" s="63" t="s">
        <v>426</v>
      </c>
      <c r="C1873" s="63">
        <v>1757670869807</v>
      </c>
      <c r="D1873" s="63" t="s">
        <v>3891</v>
      </c>
      <c r="E1873" s="63" t="s">
        <v>428</v>
      </c>
      <c r="F1873" s="63" t="s">
        <v>429</v>
      </c>
      <c r="G1873" s="63"/>
    </row>
    <row r="1874" spans="2:7" x14ac:dyDescent="0.3">
      <c r="B1874" s="63" t="s">
        <v>3857</v>
      </c>
      <c r="C1874" s="63">
        <v>1757670882644</v>
      </c>
      <c r="D1874" s="63" t="s">
        <v>3892</v>
      </c>
      <c r="E1874" s="63" t="s">
        <v>520</v>
      </c>
      <c r="F1874" s="63" t="s">
        <v>1409</v>
      </c>
      <c r="G1874" s="63"/>
    </row>
    <row r="1875" spans="2:7" x14ac:dyDescent="0.3">
      <c r="B1875" s="63" t="s">
        <v>426</v>
      </c>
      <c r="C1875" s="63">
        <v>1757670886738</v>
      </c>
      <c r="D1875" s="63" t="s">
        <v>3893</v>
      </c>
      <c r="E1875" s="63" t="s">
        <v>428</v>
      </c>
      <c r="F1875" s="63" t="s">
        <v>431</v>
      </c>
      <c r="G1875" s="63"/>
    </row>
    <row r="1876" spans="2:7" x14ac:dyDescent="0.3">
      <c r="B1876" s="63" t="s">
        <v>426</v>
      </c>
      <c r="C1876" s="63">
        <v>1757670902197</v>
      </c>
      <c r="D1876" s="63" t="s">
        <v>3894</v>
      </c>
      <c r="E1876" s="63" t="s">
        <v>428</v>
      </c>
      <c r="F1876" s="63" t="s">
        <v>538</v>
      </c>
      <c r="G1876" s="63"/>
    </row>
    <row r="1877" spans="2:7" x14ac:dyDescent="0.3">
      <c r="B1877" s="63" t="s">
        <v>3857</v>
      </c>
      <c r="C1877" s="63">
        <v>1757670907070</v>
      </c>
      <c r="D1877" s="63" t="s">
        <v>3895</v>
      </c>
      <c r="E1877" s="63" t="s">
        <v>525</v>
      </c>
      <c r="F1877" s="63" t="s">
        <v>1413</v>
      </c>
      <c r="G1877" s="63"/>
    </row>
    <row r="1878" spans="2:7" x14ac:dyDescent="0.3">
      <c r="B1878" s="63" t="s">
        <v>3857</v>
      </c>
      <c r="C1878" s="63">
        <v>1757670913128</v>
      </c>
      <c r="D1878" s="63" t="s">
        <v>3896</v>
      </c>
      <c r="E1878" s="63" t="s">
        <v>424</v>
      </c>
      <c r="F1878" s="63" t="s">
        <v>457</v>
      </c>
      <c r="G1878" s="63"/>
    </row>
    <row r="1879" spans="2:7" x14ac:dyDescent="0.3">
      <c r="B1879" s="63" t="s">
        <v>3857</v>
      </c>
      <c r="C1879" s="63">
        <v>1757670913562</v>
      </c>
      <c r="D1879" s="63" t="s">
        <v>3897</v>
      </c>
      <c r="E1879" s="63" t="s">
        <v>424</v>
      </c>
      <c r="F1879" s="63" t="s">
        <v>459</v>
      </c>
      <c r="G1879" s="63"/>
    </row>
    <row r="1880" spans="2:7" x14ac:dyDescent="0.3">
      <c r="B1880" s="63" t="s">
        <v>3857</v>
      </c>
      <c r="C1880" s="63">
        <v>1757670914139</v>
      </c>
      <c r="D1880" s="63" t="s">
        <v>3898</v>
      </c>
      <c r="E1880" s="63" t="s">
        <v>424</v>
      </c>
      <c r="F1880" s="63" t="s">
        <v>461</v>
      </c>
      <c r="G1880" s="63"/>
    </row>
    <row r="1881" spans="2:7" x14ac:dyDescent="0.3">
      <c r="B1881" s="63" t="s">
        <v>3857</v>
      </c>
      <c r="C1881" s="63">
        <v>1757670914997</v>
      </c>
      <c r="D1881" s="63" t="s">
        <v>3899</v>
      </c>
      <c r="E1881" s="63" t="s">
        <v>424</v>
      </c>
      <c r="F1881" s="63" t="s">
        <v>441</v>
      </c>
      <c r="G1881" s="63"/>
    </row>
    <row r="1882" spans="2:7" x14ac:dyDescent="0.3">
      <c r="B1882" s="63" t="s">
        <v>3857</v>
      </c>
      <c r="C1882" s="63">
        <v>1757670915685</v>
      </c>
      <c r="D1882" s="63" t="s">
        <v>3900</v>
      </c>
      <c r="E1882" s="63" t="s">
        <v>424</v>
      </c>
      <c r="F1882" s="63" t="s">
        <v>449</v>
      </c>
      <c r="G1882" s="63"/>
    </row>
    <row r="1883" spans="2:7" x14ac:dyDescent="0.3">
      <c r="B1883" s="63" t="s">
        <v>426</v>
      </c>
      <c r="C1883" s="63">
        <v>1757670919128</v>
      </c>
      <c r="D1883" s="63" t="s">
        <v>3901</v>
      </c>
      <c r="E1883" s="63" t="s">
        <v>428</v>
      </c>
      <c r="F1883" s="63" t="s">
        <v>672</v>
      </c>
      <c r="G1883" s="63"/>
    </row>
    <row r="1884" spans="2:7" x14ac:dyDescent="0.3">
      <c r="B1884" s="63" t="s">
        <v>3857</v>
      </c>
      <c r="C1884" s="63">
        <v>1757670926436</v>
      </c>
      <c r="D1884" s="63" t="s">
        <v>3902</v>
      </c>
      <c r="E1884" s="63" t="s">
        <v>424</v>
      </c>
      <c r="F1884" s="63" t="s">
        <v>451</v>
      </c>
      <c r="G1884" s="63"/>
    </row>
    <row r="1885" spans="2:7" x14ac:dyDescent="0.3">
      <c r="B1885" s="63" t="s">
        <v>3857</v>
      </c>
      <c r="C1885" s="63">
        <v>1757670927220</v>
      </c>
      <c r="D1885" s="63" t="s">
        <v>3903</v>
      </c>
      <c r="E1885" s="63" t="s">
        <v>520</v>
      </c>
      <c r="F1885" s="63" t="s">
        <v>1435</v>
      </c>
      <c r="G1885" s="63"/>
    </row>
    <row r="1886" spans="2:7" x14ac:dyDescent="0.3">
      <c r="B1886" s="63" t="s">
        <v>426</v>
      </c>
      <c r="C1886" s="63">
        <v>1757670935988</v>
      </c>
      <c r="D1886" s="63" t="s">
        <v>3904</v>
      </c>
      <c r="E1886" s="63" t="s">
        <v>428</v>
      </c>
      <c r="F1886" s="63" t="s">
        <v>523</v>
      </c>
      <c r="G1886" s="63"/>
    </row>
    <row r="1887" spans="2:7" x14ac:dyDescent="0.3">
      <c r="B1887" s="63" t="s">
        <v>3857</v>
      </c>
      <c r="C1887" s="63">
        <v>1757670937685</v>
      </c>
      <c r="D1887" s="63" t="s">
        <v>3905</v>
      </c>
      <c r="E1887" s="63" t="s">
        <v>525</v>
      </c>
      <c r="F1887" s="63" t="s">
        <v>1443</v>
      </c>
      <c r="G1887" s="63"/>
    </row>
    <row r="1888" spans="2:7" x14ac:dyDescent="0.3">
      <c r="B1888" s="63" t="s">
        <v>3857</v>
      </c>
      <c r="C1888" s="63">
        <v>1757670946933</v>
      </c>
      <c r="D1888" s="63" t="s">
        <v>3906</v>
      </c>
      <c r="E1888" s="63" t="s">
        <v>424</v>
      </c>
      <c r="F1888" s="63" t="s">
        <v>433</v>
      </c>
      <c r="G1888" s="63"/>
    </row>
    <row r="1889" spans="2:7" x14ac:dyDescent="0.3">
      <c r="B1889" s="63" t="s">
        <v>3857</v>
      </c>
      <c r="C1889" s="63">
        <v>1757670947502</v>
      </c>
      <c r="D1889" s="63" t="s">
        <v>3907</v>
      </c>
      <c r="E1889" s="63" t="s">
        <v>463</v>
      </c>
      <c r="F1889" s="63" t="s">
        <v>464</v>
      </c>
      <c r="G1889" s="63"/>
    </row>
    <row r="1890" spans="2:7" x14ac:dyDescent="0.3">
      <c r="B1890" s="63" t="s">
        <v>426</v>
      </c>
      <c r="C1890" s="63">
        <v>1757670957349</v>
      </c>
      <c r="D1890" s="63" t="s">
        <v>3908</v>
      </c>
      <c r="E1890" s="63" t="s">
        <v>428</v>
      </c>
      <c r="F1890" s="63" t="s">
        <v>455</v>
      </c>
      <c r="G1890" s="63"/>
    </row>
    <row r="1891" spans="2:7" x14ac:dyDescent="0.3">
      <c r="B1891" s="58" t="s">
        <v>3909</v>
      </c>
      <c r="C1891" s="58">
        <v>1757670965066</v>
      </c>
      <c r="D1891" s="58" t="s">
        <v>3910</v>
      </c>
      <c r="E1891" s="58" t="s">
        <v>416</v>
      </c>
      <c r="F1891" t="s">
        <v>573</v>
      </c>
    </row>
    <row r="1892" spans="2:7" x14ac:dyDescent="0.3">
      <c r="B1892" s="58" t="s">
        <v>3909</v>
      </c>
      <c r="C1892" s="58">
        <v>1757670965278</v>
      </c>
      <c r="D1892" s="58" t="s">
        <v>3911</v>
      </c>
      <c r="E1892" s="58" t="s">
        <v>468</v>
      </c>
      <c r="F1892" t="s">
        <v>3912</v>
      </c>
    </row>
    <row r="1893" spans="2:7" x14ac:dyDescent="0.3">
      <c r="B1893" s="58" t="s">
        <v>3909</v>
      </c>
      <c r="C1893" s="58">
        <v>1757670965781</v>
      </c>
      <c r="D1893" s="58" t="s">
        <v>3913</v>
      </c>
      <c r="E1893" s="58" t="s">
        <v>419</v>
      </c>
      <c r="F1893" t="s">
        <v>420</v>
      </c>
    </row>
    <row r="1894" spans="2:7" x14ac:dyDescent="0.3">
      <c r="B1894" s="58" t="s">
        <v>3909</v>
      </c>
      <c r="C1894" s="58">
        <v>1757670982052</v>
      </c>
      <c r="D1894" s="58" t="s">
        <v>3914</v>
      </c>
      <c r="E1894" s="58" t="s">
        <v>422</v>
      </c>
      <c r="F1894" t="s">
        <v>420</v>
      </c>
    </row>
    <row r="1895" spans="2:7" x14ac:dyDescent="0.3">
      <c r="B1895" s="58" t="s">
        <v>3909</v>
      </c>
      <c r="C1895" s="58">
        <v>1757670984359</v>
      </c>
      <c r="D1895" s="58" t="s">
        <v>3915</v>
      </c>
      <c r="E1895" s="58" t="s">
        <v>422</v>
      </c>
      <c r="F1895" t="s">
        <v>420</v>
      </c>
    </row>
    <row r="1896" spans="2:7" x14ac:dyDescent="0.3">
      <c r="B1896" s="58" t="s">
        <v>3909</v>
      </c>
      <c r="C1896" s="58">
        <v>1757671002183</v>
      </c>
      <c r="D1896" s="58" t="s">
        <v>3916</v>
      </c>
      <c r="E1896" s="58" t="s">
        <v>520</v>
      </c>
      <c r="F1896" t="s">
        <v>529</v>
      </c>
    </row>
    <row r="1897" spans="2:7" x14ac:dyDescent="0.3">
      <c r="B1897" s="58" t="s">
        <v>426</v>
      </c>
      <c r="C1897" s="58">
        <v>1757671002568</v>
      </c>
      <c r="D1897" s="58" t="s">
        <v>3917</v>
      </c>
      <c r="E1897" s="58" t="s">
        <v>428</v>
      </c>
      <c r="F1897" t="s">
        <v>435</v>
      </c>
    </row>
    <row r="1898" spans="2:7" x14ac:dyDescent="0.3">
      <c r="B1898" s="58" t="s">
        <v>3909</v>
      </c>
      <c r="C1898" s="58">
        <v>1757671017107</v>
      </c>
      <c r="D1898" s="58" t="s">
        <v>3918</v>
      </c>
      <c r="E1898" s="58" t="s">
        <v>525</v>
      </c>
      <c r="F1898" t="s">
        <v>531</v>
      </c>
    </row>
    <row r="1899" spans="2:7" x14ac:dyDescent="0.3">
      <c r="B1899" s="58" t="s">
        <v>426</v>
      </c>
      <c r="C1899" s="58">
        <v>1757671021747</v>
      </c>
      <c r="D1899" s="58" t="s">
        <v>3919</v>
      </c>
      <c r="E1899" s="58" t="s">
        <v>428</v>
      </c>
      <c r="F1899" t="s">
        <v>437</v>
      </c>
    </row>
    <row r="1900" spans="2:7" x14ac:dyDescent="0.3">
      <c r="B1900" s="58" t="s">
        <v>3909</v>
      </c>
      <c r="C1900" s="58">
        <v>1757671037259</v>
      </c>
      <c r="D1900" s="58" t="s">
        <v>3920</v>
      </c>
      <c r="E1900" s="58" t="s">
        <v>520</v>
      </c>
      <c r="F1900" t="s">
        <v>536</v>
      </c>
    </row>
    <row r="1901" spans="2:7" x14ac:dyDescent="0.3">
      <c r="B1901" s="58" t="s">
        <v>426</v>
      </c>
      <c r="C1901" s="58">
        <v>1757671040129</v>
      </c>
      <c r="D1901" s="58" t="s">
        <v>3921</v>
      </c>
      <c r="E1901" s="58" t="s">
        <v>428</v>
      </c>
      <c r="F1901" t="s">
        <v>439</v>
      </c>
    </row>
    <row r="1902" spans="2:7" x14ac:dyDescent="0.3">
      <c r="B1902" s="58" t="s">
        <v>3909</v>
      </c>
      <c r="C1902" s="58">
        <v>1757671045089</v>
      </c>
      <c r="D1902" s="58" t="s">
        <v>3922</v>
      </c>
      <c r="E1902" s="58" t="s">
        <v>525</v>
      </c>
      <c r="F1902" t="s">
        <v>540</v>
      </c>
    </row>
    <row r="1903" spans="2:7" x14ac:dyDescent="0.3">
      <c r="B1903" s="58" t="s">
        <v>426</v>
      </c>
      <c r="C1903" s="58">
        <v>1757671055613</v>
      </c>
      <c r="D1903" s="58" t="s">
        <v>3923</v>
      </c>
      <c r="E1903" s="58" t="s">
        <v>428</v>
      </c>
      <c r="F1903" t="s">
        <v>429</v>
      </c>
    </row>
    <row r="1904" spans="2:7" x14ac:dyDescent="0.3">
      <c r="B1904" s="58" t="s">
        <v>3909</v>
      </c>
      <c r="C1904" s="58">
        <v>1757671059696</v>
      </c>
      <c r="D1904" s="58" t="s">
        <v>3924</v>
      </c>
      <c r="E1904" s="58" t="s">
        <v>424</v>
      </c>
      <c r="F1904" t="s">
        <v>441</v>
      </c>
    </row>
    <row r="1905" spans="2:6" x14ac:dyDescent="0.3">
      <c r="B1905" s="58" t="s">
        <v>3909</v>
      </c>
      <c r="C1905" s="58">
        <v>1757671065213</v>
      </c>
      <c r="D1905" s="58" t="s">
        <v>3925</v>
      </c>
      <c r="E1905" s="58" t="s">
        <v>520</v>
      </c>
      <c r="F1905" t="s">
        <v>675</v>
      </c>
    </row>
    <row r="1906" spans="2:6" x14ac:dyDescent="0.3">
      <c r="B1906" s="58" t="s">
        <v>426</v>
      </c>
      <c r="C1906" s="58">
        <v>1757671071089</v>
      </c>
      <c r="D1906" s="58" t="s">
        <v>3926</v>
      </c>
      <c r="E1906" s="58" t="s">
        <v>428</v>
      </c>
      <c r="F1906" t="s">
        <v>431</v>
      </c>
    </row>
    <row r="1907" spans="2:6" x14ac:dyDescent="0.3">
      <c r="B1907" s="58" t="s">
        <v>3909</v>
      </c>
      <c r="C1907" s="58">
        <v>1757671079096</v>
      </c>
      <c r="D1907" s="58" t="s">
        <v>3927</v>
      </c>
      <c r="E1907" s="58" t="s">
        <v>525</v>
      </c>
      <c r="F1907" t="s">
        <v>677</v>
      </c>
    </row>
    <row r="1908" spans="2:6" x14ac:dyDescent="0.3">
      <c r="B1908" s="58" t="s">
        <v>426</v>
      </c>
      <c r="C1908" s="58">
        <v>1757671087220</v>
      </c>
      <c r="D1908" s="58" t="s">
        <v>3928</v>
      </c>
      <c r="E1908" s="58" t="s">
        <v>428</v>
      </c>
      <c r="F1908" t="s">
        <v>538</v>
      </c>
    </row>
    <row r="1909" spans="2:6" x14ac:dyDescent="0.3">
      <c r="B1909" s="58" t="s">
        <v>3909</v>
      </c>
      <c r="C1909" s="58">
        <v>1757671097634</v>
      </c>
      <c r="D1909" s="58" t="s">
        <v>3929</v>
      </c>
      <c r="E1909" s="58" t="s">
        <v>424</v>
      </c>
      <c r="F1909" t="s">
        <v>433</v>
      </c>
    </row>
    <row r="1910" spans="2:6" x14ac:dyDescent="0.3">
      <c r="B1910" s="58" t="s">
        <v>3909</v>
      </c>
      <c r="C1910" s="58">
        <v>1757671099215</v>
      </c>
      <c r="D1910" s="58" t="s">
        <v>3930</v>
      </c>
      <c r="E1910" s="58" t="s">
        <v>520</v>
      </c>
      <c r="F1910" t="s">
        <v>2311</v>
      </c>
    </row>
    <row r="1911" spans="2:6" x14ac:dyDescent="0.3">
      <c r="B1911" s="58" t="s">
        <v>426</v>
      </c>
      <c r="C1911" s="58">
        <v>1757671104948</v>
      </c>
      <c r="D1911" s="58" t="s">
        <v>3931</v>
      </c>
      <c r="E1911" s="58" t="s">
        <v>428</v>
      </c>
      <c r="F1911" t="s">
        <v>672</v>
      </c>
    </row>
    <row r="1912" spans="2:6" x14ac:dyDescent="0.3">
      <c r="B1912" s="58" t="s">
        <v>3909</v>
      </c>
      <c r="C1912" s="58">
        <v>1757671106269</v>
      </c>
      <c r="D1912" s="58" t="s">
        <v>3932</v>
      </c>
      <c r="E1912" s="58" t="s">
        <v>525</v>
      </c>
      <c r="F1912" t="s">
        <v>2313</v>
      </c>
    </row>
    <row r="1913" spans="2:6" x14ac:dyDescent="0.3">
      <c r="B1913" s="58" t="s">
        <v>426</v>
      </c>
      <c r="C1913" s="58">
        <v>1757671119714</v>
      </c>
      <c r="D1913" s="58" t="s">
        <v>3933</v>
      </c>
      <c r="E1913" s="58" t="s">
        <v>428</v>
      </c>
      <c r="F1913" t="s">
        <v>453</v>
      </c>
    </row>
    <row r="1914" spans="2:6" x14ac:dyDescent="0.3">
      <c r="B1914" s="58" t="s">
        <v>3909</v>
      </c>
      <c r="C1914" s="58">
        <v>1757671126411</v>
      </c>
      <c r="D1914" s="58" t="s">
        <v>3934</v>
      </c>
      <c r="E1914" s="58" t="s">
        <v>520</v>
      </c>
      <c r="F1914" t="s">
        <v>2268</v>
      </c>
    </row>
    <row r="1915" spans="2:6" x14ac:dyDescent="0.3">
      <c r="B1915" s="58" t="s">
        <v>426</v>
      </c>
      <c r="C1915" s="58">
        <v>1757671136628</v>
      </c>
      <c r="D1915" s="58" t="s">
        <v>3935</v>
      </c>
      <c r="E1915" s="58" t="s">
        <v>428</v>
      </c>
      <c r="F1915" t="s">
        <v>523</v>
      </c>
    </row>
    <row r="1916" spans="2:6" x14ac:dyDescent="0.3">
      <c r="B1916" s="58" t="s">
        <v>3909</v>
      </c>
      <c r="C1916" s="58">
        <v>1757671141566</v>
      </c>
      <c r="D1916" s="58" t="s">
        <v>3936</v>
      </c>
      <c r="E1916" s="58" t="s">
        <v>525</v>
      </c>
      <c r="F1916" t="s">
        <v>2270</v>
      </c>
    </row>
    <row r="1917" spans="2:6" x14ac:dyDescent="0.3">
      <c r="B1917" s="58" t="s">
        <v>426</v>
      </c>
      <c r="C1917" s="58">
        <v>1757671151336</v>
      </c>
      <c r="D1917" s="58" t="s">
        <v>3937</v>
      </c>
      <c r="E1917" s="58" t="s">
        <v>428</v>
      </c>
      <c r="F1917" t="s">
        <v>447</v>
      </c>
    </row>
    <row r="1918" spans="2:6" x14ac:dyDescent="0.3">
      <c r="B1918" s="58" t="s">
        <v>3909</v>
      </c>
      <c r="C1918" s="58">
        <v>1757671161687</v>
      </c>
      <c r="D1918" s="58" t="s">
        <v>3938</v>
      </c>
      <c r="E1918" s="58" t="s">
        <v>520</v>
      </c>
      <c r="F1918" t="s">
        <v>2268</v>
      </c>
    </row>
    <row r="1919" spans="2:6" x14ac:dyDescent="0.3">
      <c r="B1919" s="58" t="s">
        <v>3909</v>
      </c>
      <c r="C1919" s="58">
        <v>1757671167435</v>
      </c>
      <c r="D1919" s="58" t="s">
        <v>3939</v>
      </c>
      <c r="E1919" s="58" t="s">
        <v>525</v>
      </c>
      <c r="F1919" t="s">
        <v>2270</v>
      </c>
    </row>
    <row r="1920" spans="2:6" x14ac:dyDescent="0.3">
      <c r="B1920" s="58" t="s">
        <v>426</v>
      </c>
      <c r="C1920" s="58">
        <v>1757671171943</v>
      </c>
      <c r="D1920" s="58" t="s">
        <v>3940</v>
      </c>
      <c r="E1920" s="58" t="s">
        <v>428</v>
      </c>
      <c r="F1920" t="s">
        <v>455</v>
      </c>
    </row>
    <row r="1921" spans="1:6" x14ac:dyDescent="0.3">
      <c r="B1921" s="58" t="s">
        <v>3909</v>
      </c>
      <c r="C1921" s="58">
        <v>1757671187550</v>
      </c>
      <c r="D1921" s="58" t="s">
        <v>3941</v>
      </c>
      <c r="E1921" s="58" t="s">
        <v>520</v>
      </c>
      <c r="F1921" t="s">
        <v>949</v>
      </c>
    </row>
    <row r="1922" spans="1:6" x14ac:dyDescent="0.3">
      <c r="B1922" s="58" t="s">
        <v>3909</v>
      </c>
      <c r="C1922" s="58">
        <v>1757671196875</v>
      </c>
      <c r="D1922" s="58" t="s">
        <v>3942</v>
      </c>
      <c r="E1922" s="58" t="s">
        <v>525</v>
      </c>
      <c r="F1922" t="s">
        <v>951</v>
      </c>
    </row>
    <row r="1923" spans="1:6" x14ac:dyDescent="0.3">
      <c r="B1923" s="58" t="s">
        <v>3909</v>
      </c>
      <c r="C1923" s="58">
        <v>1757671200360</v>
      </c>
      <c r="D1923" s="58" t="s">
        <v>3943</v>
      </c>
      <c r="E1923" s="58" t="s">
        <v>424</v>
      </c>
      <c r="F1923" t="s">
        <v>457</v>
      </c>
    </row>
    <row r="1924" spans="1:6" x14ac:dyDescent="0.3">
      <c r="B1924" s="58" t="s">
        <v>3909</v>
      </c>
      <c r="C1924" s="58">
        <v>1757671200711</v>
      </c>
      <c r="D1924" s="58" t="s">
        <v>3944</v>
      </c>
      <c r="E1924" s="58" t="s">
        <v>424</v>
      </c>
      <c r="F1924" t="s">
        <v>459</v>
      </c>
    </row>
    <row r="1925" spans="1:6" x14ac:dyDescent="0.3">
      <c r="B1925" s="58" t="s">
        <v>3909</v>
      </c>
      <c r="C1925" s="58">
        <v>1757671201147</v>
      </c>
      <c r="D1925" s="58" t="s">
        <v>3945</v>
      </c>
      <c r="E1925" s="58" t="s">
        <v>424</v>
      </c>
      <c r="F1925" t="s">
        <v>461</v>
      </c>
    </row>
    <row r="1926" spans="1:6" x14ac:dyDescent="0.3">
      <c r="B1926" s="58" t="s">
        <v>3909</v>
      </c>
      <c r="C1926" s="58">
        <v>1757671201638</v>
      </c>
      <c r="D1926" s="58" t="s">
        <v>3946</v>
      </c>
      <c r="E1926" s="58" t="s">
        <v>424</v>
      </c>
      <c r="F1926" t="s">
        <v>449</v>
      </c>
    </row>
    <row r="1927" spans="1:6" x14ac:dyDescent="0.3">
      <c r="B1927" s="58" t="s">
        <v>3909</v>
      </c>
      <c r="C1927" s="58">
        <v>1757671202091</v>
      </c>
      <c r="D1927" s="58" t="s">
        <v>3947</v>
      </c>
      <c r="E1927" s="58" t="s">
        <v>424</v>
      </c>
      <c r="F1927" t="s">
        <v>451</v>
      </c>
    </row>
    <row r="1928" spans="1:6" x14ac:dyDescent="0.3">
      <c r="B1928" s="58" t="s">
        <v>3909</v>
      </c>
      <c r="C1928" s="58">
        <v>1757671203193</v>
      </c>
      <c r="D1928" s="58" t="s">
        <v>3948</v>
      </c>
      <c r="E1928" s="58" t="s">
        <v>463</v>
      </c>
      <c r="F1928" t="s">
        <v>464</v>
      </c>
    </row>
    <row r="1929" spans="1:6" ht="21" x14ac:dyDescent="0.4">
      <c r="A1929" s="69" t="s">
        <v>53</v>
      </c>
      <c r="B1929" s="63" t="s">
        <v>4068</v>
      </c>
      <c r="C1929" s="63">
        <v>1757678863465</v>
      </c>
      <c r="D1929" s="63" t="s">
        <v>4069</v>
      </c>
      <c r="E1929" s="63" t="s">
        <v>416</v>
      </c>
      <c r="F1929" s="63" t="s">
        <v>492</v>
      </c>
    </row>
    <row r="1930" spans="1:6" x14ac:dyDescent="0.3">
      <c r="B1930" s="63" t="s">
        <v>4068</v>
      </c>
      <c r="C1930" s="63">
        <v>1757678863968</v>
      </c>
      <c r="D1930" s="63" t="s">
        <v>4070</v>
      </c>
      <c r="E1930" s="63" t="s">
        <v>419</v>
      </c>
      <c r="F1930" s="63" t="s">
        <v>420</v>
      </c>
    </row>
    <row r="1931" spans="1:6" x14ac:dyDescent="0.3">
      <c r="B1931" s="63" t="s">
        <v>4068</v>
      </c>
      <c r="C1931" s="63">
        <v>1757678878080</v>
      </c>
      <c r="D1931" s="63" t="s">
        <v>4071</v>
      </c>
      <c r="E1931" s="63" t="s">
        <v>389</v>
      </c>
      <c r="F1931" s="63" t="s">
        <v>400</v>
      </c>
    </row>
    <row r="1932" spans="1:6" x14ac:dyDescent="0.3">
      <c r="B1932" s="63" t="s">
        <v>4068</v>
      </c>
      <c r="C1932" s="63">
        <v>1757678878161</v>
      </c>
      <c r="D1932" s="63" t="s">
        <v>4072</v>
      </c>
      <c r="E1932" s="63" t="s">
        <v>389</v>
      </c>
      <c r="F1932" s="63" t="s">
        <v>390</v>
      </c>
    </row>
    <row r="1933" spans="1:6" x14ac:dyDescent="0.3">
      <c r="B1933" s="63" t="s">
        <v>4068</v>
      </c>
      <c r="C1933" s="63">
        <v>1757678878235</v>
      </c>
      <c r="D1933" s="63" t="s">
        <v>4073</v>
      </c>
      <c r="E1933" s="63" t="s">
        <v>389</v>
      </c>
      <c r="F1933" s="63" t="s">
        <v>396</v>
      </c>
    </row>
    <row r="1934" spans="1:6" x14ac:dyDescent="0.3">
      <c r="B1934" s="63" t="s">
        <v>4068</v>
      </c>
      <c r="C1934" s="63">
        <v>1757678878309</v>
      </c>
      <c r="D1934" s="63" t="s">
        <v>4074</v>
      </c>
      <c r="E1934" s="63" t="s">
        <v>389</v>
      </c>
      <c r="F1934" s="63" t="s">
        <v>398</v>
      </c>
    </row>
    <row r="1935" spans="1:6" x14ac:dyDescent="0.3">
      <c r="B1935" s="63" t="s">
        <v>4068</v>
      </c>
      <c r="C1935" s="63">
        <v>1757678878360</v>
      </c>
      <c r="D1935" s="63" t="s">
        <v>4075</v>
      </c>
      <c r="E1935" s="63" t="s">
        <v>389</v>
      </c>
      <c r="F1935" s="63" t="s">
        <v>392</v>
      </c>
    </row>
    <row r="1936" spans="1:6" x14ac:dyDescent="0.3">
      <c r="B1936" s="63" t="s">
        <v>4068</v>
      </c>
      <c r="C1936" s="63">
        <v>1757678878409</v>
      </c>
      <c r="D1936" s="63" t="s">
        <v>4076</v>
      </c>
      <c r="E1936" s="63" t="s">
        <v>389</v>
      </c>
      <c r="F1936" s="63" t="s">
        <v>508</v>
      </c>
    </row>
    <row r="1937" spans="2:6" x14ac:dyDescent="0.3">
      <c r="B1937" s="63" t="s">
        <v>4068</v>
      </c>
      <c r="C1937" s="63">
        <v>1757678878461</v>
      </c>
      <c r="D1937" s="63" t="s">
        <v>4077</v>
      </c>
      <c r="E1937" s="63" t="s">
        <v>389</v>
      </c>
      <c r="F1937" s="63" t="s">
        <v>660</v>
      </c>
    </row>
    <row r="1938" spans="2:6" x14ac:dyDescent="0.3">
      <c r="B1938" s="63" t="s">
        <v>4068</v>
      </c>
      <c r="C1938" s="63">
        <v>1757678878520</v>
      </c>
      <c r="D1938" s="63" t="s">
        <v>4078</v>
      </c>
      <c r="E1938" s="63" t="s">
        <v>389</v>
      </c>
      <c r="F1938" s="63" t="s">
        <v>406</v>
      </c>
    </row>
    <row r="1939" spans="2:6" x14ac:dyDescent="0.3">
      <c r="B1939" s="63" t="s">
        <v>4068</v>
      </c>
      <c r="C1939" s="63">
        <v>1757678878579</v>
      </c>
      <c r="D1939" s="63" t="s">
        <v>4079</v>
      </c>
      <c r="E1939" s="63" t="s">
        <v>389</v>
      </c>
      <c r="F1939" s="63" t="s">
        <v>495</v>
      </c>
    </row>
    <row r="1940" spans="2:6" x14ac:dyDescent="0.3">
      <c r="B1940" s="63" t="s">
        <v>4068</v>
      </c>
      <c r="C1940" s="63">
        <v>1757678878671</v>
      </c>
      <c r="D1940" s="63" t="s">
        <v>4080</v>
      </c>
      <c r="E1940" s="63" t="s">
        <v>389</v>
      </c>
      <c r="F1940" s="63" t="s">
        <v>495</v>
      </c>
    </row>
    <row r="1941" spans="2:6" x14ac:dyDescent="0.3">
      <c r="B1941" s="63" t="s">
        <v>4068</v>
      </c>
      <c r="C1941" s="63">
        <v>1757678878727</v>
      </c>
      <c r="D1941" s="63" t="s">
        <v>4081</v>
      </c>
      <c r="E1941" s="63" t="s">
        <v>389</v>
      </c>
      <c r="F1941" s="63" t="s">
        <v>4082</v>
      </c>
    </row>
    <row r="1942" spans="2:6" x14ac:dyDescent="0.3">
      <c r="B1942" s="63" t="s">
        <v>4068</v>
      </c>
      <c r="C1942" s="63">
        <v>1757678878803</v>
      </c>
      <c r="D1942" s="63" t="s">
        <v>4083</v>
      </c>
      <c r="E1942" s="63" t="s">
        <v>389</v>
      </c>
      <c r="F1942" s="63" t="s">
        <v>2879</v>
      </c>
    </row>
    <row r="1943" spans="2:6" x14ac:dyDescent="0.3">
      <c r="B1943" s="63" t="s">
        <v>4068</v>
      </c>
      <c r="C1943" s="63">
        <v>1757678878895</v>
      </c>
      <c r="D1943" s="63" t="s">
        <v>4084</v>
      </c>
      <c r="E1943" s="63" t="s">
        <v>389</v>
      </c>
      <c r="F1943" s="63" t="s">
        <v>1587</v>
      </c>
    </row>
    <row r="1944" spans="2:6" x14ac:dyDescent="0.3">
      <c r="B1944" s="63" t="s">
        <v>4068</v>
      </c>
      <c r="C1944" s="63">
        <v>1757678879004</v>
      </c>
      <c r="D1944" s="63" t="s">
        <v>4085</v>
      </c>
      <c r="E1944" s="63" t="s">
        <v>389</v>
      </c>
      <c r="F1944" s="63" t="s">
        <v>2879</v>
      </c>
    </row>
    <row r="1945" spans="2:6" x14ac:dyDescent="0.3">
      <c r="B1945" s="63" t="s">
        <v>4068</v>
      </c>
      <c r="C1945" s="63">
        <v>1757678879109</v>
      </c>
      <c r="D1945" s="63" t="s">
        <v>4086</v>
      </c>
      <c r="E1945" s="63" t="s">
        <v>389</v>
      </c>
      <c r="F1945" s="63" t="s">
        <v>4082</v>
      </c>
    </row>
    <row r="1946" spans="2:6" x14ac:dyDescent="0.3">
      <c r="B1946" s="63" t="s">
        <v>4068</v>
      </c>
      <c r="C1946" s="63">
        <v>1757678879211</v>
      </c>
      <c r="D1946" s="63" t="s">
        <v>4087</v>
      </c>
      <c r="E1946" s="63" t="s">
        <v>389</v>
      </c>
      <c r="F1946" s="63" t="s">
        <v>495</v>
      </c>
    </row>
    <row r="1947" spans="2:6" x14ac:dyDescent="0.3">
      <c r="B1947" s="63" t="s">
        <v>4068</v>
      </c>
      <c r="C1947" s="63">
        <v>1757678880754</v>
      </c>
      <c r="D1947" s="63" t="s">
        <v>4088</v>
      </c>
      <c r="E1947" s="63" t="s">
        <v>389</v>
      </c>
      <c r="F1947" s="63" t="s">
        <v>410</v>
      </c>
    </row>
    <row r="1948" spans="2:6" x14ac:dyDescent="0.3">
      <c r="B1948" s="63" t="s">
        <v>4068</v>
      </c>
      <c r="C1948" s="63">
        <v>1757678882295</v>
      </c>
      <c r="D1948" s="63" t="s">
        <v>4089</v>
      </c>
      <c r="E1948" s="63" t="s">
        <v>389</v>
      </c>
      <c r="F1948" s="63" t="s">
        <v>414</v>
      </c>
    </row>
    <row r="1949" spans="2:6" x14ac:dyDescent="0.3">
      <c r="B1949" s="63" t="s">
        <v>4068</v>
      </c>
      <c r="C1949" s="63">
        <v>1757678923946</v>
      </c>
      <c r="D1949" s="63" t="s">
        <v>4090</v>
      </c>
      <c r="E1949" s="63" t="s">
        <v>422</v>
      </c>
      <c r="F1949" s="63" t="s">
        <v>420</v>
      </c>
    </row>
    <row r="1950" spans="2:6" x14ac:dyDescent="0.3">
      <c r="B1950" s="63" t="s">
        <v>426</v>
      </c>
      <c r="C1950" s="63">
        <v>1757678941638</v>
      </c>
      <c r="D1950" s="63" t="s">
        <v>4091</v>
      </c>
      <c r="E1950" s="63" t="s">
        <v>428</v>
      </c>
      <c r="F1950" s="63" t="s">
        <v>453</v>
      </c>
    </row>
    <row r="1951" spans="2:6" x14ac:dyDescent="0.3">
      <c r="B1951" s="63" t="s">
        <v>4068</v>
      </c>
      <c r="C1951" s="63">
        <v>1757678944139</v>
      </c>
      <c r="D1951" s="63" t="s">
        <v>4092</v>
      </c>
      <c r="E1951" s="63" t="s">
        <v>520</v>
      </c>
      <c r="F1951" s="63" t="s">
        <v>1281</v>
      </c>
    </row>
    <row r="1952" spans="2:6" x14ac:dyDescent="0.3">
      <c r="B1952" s="63" t="s">
        <v>4068</v>
      </c>
      <c r="C1952" s="63">
        <v>1757678954045</v>
      </c>
      <c r="D1952" s="63" t="s">
        <v>4093</v>
      </c>
      <c r="E1952" s="63" t="s">
        <v>525</v>
      </c>
      <c r="F1952" s="63" t="s">
        <v>1283</v>
      </c>
    </row>
    <row r="1953" spans="2:6" x14ac:dyDescent="0.3">
      <c r="B1953" s="63" t="s">
        <v>426</v>
      </c>
      <c r="C1953" s="63">
        <v>1757678959333</v>
      </c>
      <c r="D1953" s="63" t="s">
        <v>4094</v>
      </c>
      <c r="E1953" s="63" t="s">
        <v>428</v>
      </c>
      <c r="F1953" s="63" t="s">
        <v>429</v>
      </c>
    </row>
    <row r="1954" spans="2:6" x14ac:dyDescent="0.3">
      <c r="B1954" s="63" t="s">
        <v>4068</v>
      </c>
      <c r="C1954" s="63">
        <v>1757678965169</v>
      </c>
      <c r="D1954" s="63" t="s">
        <v>4095</v>
      </c>
      <c r="E1954" s="63" t="s">
        <v>424</v>
      </c>
      <c r="F1954" s="63" t="s">
        <v>457</v>
      </c>
    </row>
    <row r="1955" spans="2:6" x14ac:dyDescent="0.3">
      <c r="B1955" s="63" t="s">
        <v>4068</v>
      </c>
      <c r="C1955" s="63">
        <v>1757678971027</v>
      </c>
      <c r="D1955" s="63" t="s">
        <v>4096</v>
      </c>
      <c r="E1955" s="63" t="s">
        <v>424</v>
      </c>
      <c r="F1955" s="63" t="s">
        <v>459</v>
      </c>
    </row>
    <row r="1956" spans="2:6" x14ac:dyDescent="0.3">
      <c r="B1956" s="63" t="s">
        <v>4068</v>
      </c>
      <c r="C1956" s="63">
        <v>1757678974165</v>
      </c>
      <c r="D1956" s="63" t="s">
        <v>4097</v>
      </c>
      <c r="E1956" s="63" t="s">
        <v>520</v>
      </c>
      <c r="F1956" s="63" t="s">
        <v>521</v>
      </c>
    </row>
    <row r="1957" spans="2:6" x14ac:dyDescent="0.3">
      <c r="B1957" s="63" t="s">
        <v>426</v>
      </c>
      <c r="C1957" s="63">
        <v>1757678977045</v>
      </c>
      <c r="D1957" s="63" t="s">
        <v>4098</v>
      </c>
      <c r="E1957" s="63" t="s">
        <v>428</v>
      </c>
      <c r="F1957" s="63" t="s">
        <v>431</v>
      </c>
    </row>
    <row r="1958" spans="2:6" x14ac:dyDescent="0.3">
      <c r="B1958" s="63" t="s">
        <v>4068</v>
      </c>
      <c r="C1958" s="63">
        <v>1757678980000</v>
      </c>
      <c r="D1958" s="63" t="s">
        <v>4099</v>
      </c>
      <c r="E1958" s="63" t="s">
        <v>525</v>
      </c>
      <c r="F1958" s="63" t="s">
        <v>526</v>
      </c>
    </row>
    <row r="1959" spans="2:6" x14ac:dyDescent="0.3">
      <c r="B1959" s="63" t="s">
        <v>426</v>
      </c>
      <c r="C1959" s="63">
        <v>1757678992538</v>
      </c>
      <c r="D1959" s="63" t="s">
        <v>4100</v>
      </c>
      <c r="E1959" s="63" t="s">
        <v>428</v>
      </c>
      <c r="F1959" s="63" t="s">
        <v>447</v>
      </c>
    </row>
    <row r="1960" spans="2:6" x14ac:dyDescent="0.3">
      <c r="B1960" s="63" t="s">
        <v>4068</v>
      </c>
      <c r="C1960" s="63">
        <v>1757679000128</v>
      </c>
      <c r="D1960" s="63" t="s">
        <v>4101</v>
      </c>
      <c r="E1960" s="63" t="s">
        <v>520</v>
      </c>
      <c r="F1960" s="63" t="s">
        <v>949</v>
      </c>
    </row>
    <row r="1961" spans="2:6" x14ac:dyDescent="0.3">
      <c r="B1961" s="63" t="s">
        <v>4068</v>
      </c>
      <c r="C1961" s="63">
        <v>1757679006514</v>
      </c>
      <c r="D1961" s="63" t="s">
        <v>4102</v>
      </c>
      <c r="E1961" s="63" t="s">
        <v>525</v>
      </c>
      <c r="F1961" s="63" t="s">
        <v>951</v>
      </c>
    </row>
    <row r="1962" spans="2:6" x14ac:dyDescent="0.3">
      <c r="B1962" s="63" t="s">
        <v>426</v>
      </c>
      <c r="C1962" s="63">
        <v>1757679008029</v>
      </c>
      <c r="D1962" s="63" t="s">
        <v>4103</v>
      </c>
      <c r="E1962" s="63" t="s">
        <v>428</v>
      </c>
      <c r="F1962" s="63" t="s">
        <v>538</v>
      </c>
    </row>
    <row r="1963" spans="2:6" x14ac:dyDescent="0.3">
      <c r="B1963" s="63" t="s">
        <v>4068</v>
      </c>
      <c r="C1963" s="63">
        <v>1757679018180</v>
      </c>
      <c r="D1963" s="63" t="s">
        <v>4104</v>
      </c>
      <c r="E1963" s="63" t="s">
        <v>424</v>
      </c>
      <c r="F1963" s="63" t="s">
        <v>461</v>
      </c>
    </row>
    <row r="1964" spans="2:6" x14ac:dyDescent="0.3">
      <c r="B1964" s="63" t="s">
        <v>426</v>
      </c>
      <c r="C1964" s="63">
        <v>1757679024978</v>
      </c>
      <c r="D1964" s="63" t="s">
        <v>4105</v>
      </c>
      <c r="E1964" s="63" t="s">
        <v>428</v>
      </c>
      <c r="F1964" s="63" t="s">
        <v>672</v>
      </c>
    </row>
    <row r="1965" spans="2:6" x14ac:dyDescent="0.3">
      <c r="B1965" s="63" t="s">
        <v>4068</v>
      </c>
      <c r="C1965" s="63">
        <v>1757679026646</v>
      </c>
      <c r="D1965" s="63" t="s">
        <v>4106</v>
      </c>
      <c r="E1965" s="63" t="s">
        <v>520</v>
      </c>
      <c r="F1965" s="63" t="s">
        <v>1435</v>
      </c>
    </row>
    <row r="1966" spans="2:6" x14ac:dyDescent="0.3">
      <c r="B1966" s="63" t="s">
        <v>4068</v>
      </c>
      <c r="C1966" s="63">
        <v>1757679037597</v>
      </c>
      <c r="D1966" s="63" t="s">
        <v>4107</v>
      </c>
      <c r="E1966" s="63" t="s">
        <v>525</v>
      </c>
      <c r="F1966" s="63" t="s">
        <v>1443</v>
      </c>
    </row>
    <row r="1967" spans="2:6" x14ac:dyDescent="0.3">
      <c r="B1967" s="63" t="s">
        <v>4068</v>
      </c>
      <c r="C1967" s="63">
        <v>1757679040387</v>
      </c>
      <c r="D1967" s="63" t="s">
        <v>4108</v>
      </c>
      <c r="E1967" s="63" t="s">
        <v>424</v>
      </c>
      <c r="F1967" s="63" t="s">
        <v>433</v>
      </c>
    </row>
    <row r="1968" spans="2:6" x14ac:dyDescent="0.3">
      <c r="B1968" s="63" t="s">
        <v>426</v>
      </c>
      <c r="C1968" s="63">
        <v>1757679041895</v>
      </c>
      <c r="D1968" s="63" t="s">
        <v>4109</v>
      </c>
      <c r="E1968" s="63" t="s">
        <v>428</v>
      </c>
      <c r="F1968" s="63" t="s">
        <v>523</v>
      </c>
    </row>
    <row r="1969" spans="2:6" x14ac:dyDescent="0.3">
      <c r="B1969" s="63" t="s">
        <v>4068</v>
      </c>
      <c r="C1969" s="63">
        <v>1757679048349</v>
      </c>
      <c r="D1969" s="63" t="s">
        <v>4110</v>
      </c>
      <c r="E1969" s="63" t="s">
        <v>424</v>
      </c>
      <c r="F1969" s="63" t="s">
        <v>449</v>
      </c>
    </row>
    <row r="1970" spans="2:6" x14ac:dyDescent="0.3">
      <c r="B1970" s="63" t="s">
        <v>426</v>
      </c>
      <c r="C1970" s="63">
        <v>1757679057363</v>
      </c>
      <c r="D1970" s="63" t="s">
        <v>4111</v>
      </c>
      <c r="E1970" s="63" t="s">
        <v>428</v>
      </c>
      <c r="F1970" s="63" t="s">
        <v>435</v>
      </c>
    </row>
    <row r="1971" spans="2:6" x14ac:dyDescent="0.3">
      <c r="B1971" s="63" t="s">
        <v>4068</v>
      </c>
      <c r="C1971" s="63">
        <v>1757679057722</v>
      </c>
      <c r="D1971" s="63" t="s">
        <v>4112</v>
      </c>
      <c r="E1971" s="63" t="s">
        <v>520</v>
      </c>
      <c r="F1971" s="63" t="s">
        <v>3013</v>
      </c>
    </row>
    <row r="1972" spans="2:6" x14ac:dyDescent="0.3">
      <c r="B1972" s="63" t="s">
        <v>4068</v>
      </c>
      <c r="C1972" s="63">
        <v>1757679065829</v>
      </c>
      <c r="D1972" s="63" t="s">
        <v>4113</v>
      </c>
      <c r="E1972" s="63" t="s">
        <v>525</v>
      </c>
      <c r="F1972" s="63" t="s">
        <v>3016</v>
      </c>
    </row>
    <row r="1973" spans="2:6" x14ac:dyDescent="0.3">
      <c r="B1973" s="63" t="s">
        <v>4068</v>
      </c>
      <c r="C1973" s="63">
        <v>1757679067263</v>
      </c>
      <c r="D1973" s="63" t="s">
        <v>4114</v>
      </c>
      <c r="E1973" s="63" t="s">
        <v>424</v>
      </c>
      <c r="F1973" s="63" t="s">
        <v>451</v>
      </c>
    </row>
    <row r="1974" spans="2:6" x14ac:dyDescent="0.3">
      <c r="B1974" s="63" t="s">
        <v>426</v>
      </c>
      <c r="C1974" s="63">
        <v>1757679072864</v>
      </c>
      <c r="D1974" s="63" t="s">
        <v>4115</v>
      </c>
      <c r="E1974" s="63" t="s">
        <v>428</v>
      </c>
      <c r="F1974" s="63" t="s">
        <v>437</v>
      </c>
    </row>
    <row r="1975" spans="2:6" x14ac:dyDescent="0.3">
      <c r="B1975" s="63" t="s">
        <v>4068</v>
      </c>
      <c r="C1975" s="63">
        <v>1757679085947</v>
      </c>
      <c r="D1975" s="63" t="s">
        <v>4116</v>
      </c>
      <c r="E1975" s="63" t="s">
        <v>520</v>
      </c>
      <c r="F1975" s="63" t="s">
        <v>664</v>
      </c>
    </row>
    <row r="1976" spans="2:6" x14ac:dyDescent="0.3">
      <c r="B1976" s="63" t="s">
        <v>426</v>
      </c>
      <c r="C1976" s="63">
        <v>1757679089135</v>
      </c>
      <c r="D1976" s="63" t="s">
        <v>4117</v>
      </c>
      <c r="E1976" s="63" t="s">
        <v>428</v>
      </c>
      <c r="F1976" s="63" t="s">
        <v>439</v>
      </c>
    </row>
    <row r="1977" spans="2:6" x14ac:dyDescent="0.3">
      <c r="B1977" s="63" t="s">
        <v>4068</v>
      </c>
      <c r="C1977" s="63">
        <v>1757679093286</v>
      </c>
      <c r="D1977" s="63" t="s">
        <v>4118</v>
      </c>
      <c r="E1977" s="63" t="s">
        <v>525</v>
      </c>
      <c r="F1977" s="63" t="s">
        <v>665</v>
      </c>
    </row>
    <row r="1978" spans="2:6" x14ac:dyDescent="0.3">
      <c r="B1978" s="63" t="s">
        <v>426</v>
      </c>
      <c r="C1978" s="63">
        <v>1757679110452</v>
      </c>
      <c r="D1978" s="63" t="s">
        <v>4119</v>
      </c>
      <c r="E1978" s="63" t="s">
        <v>428</v>
      </c>
      <c r="F1978" s="63" t="s">
        <v>455</v>
      </c>
    </row>
    <row r="1979" spans="2:6" x14ac:dyDescent="0.3">
      <c r="B1979" s="63" t="s">
        <v>4068</v>
      </c>
      <c r="C1979" s="63">
        <v>1757679113415</v>
      </c>
      <c r="D1979" s="63" t="s">
        <v>4120</v>
      </c>
      <c r="E1979" s="63" t="s">
        <v>520</v>
      </c>
      <c r="F1979" s="63" t="s">
        <v>559</v>
      </c>
    </row>
    <row r="1980" spans="2:6" x14ac:dyDescent="0.3">
      <c r="B1980" s="63" t="s">
        <v>4068</v>
      </c>
      <c r="C1980" s="63">
        <v>1757679119335</v>
      </c>
      <c r="D1980" s="63" t="s">
        <v>4121</v>
      </c>
      <c r="E1980" s="63" t="s">
        <v>525</v>
      </c>
      <c r="F1980" s="63" t="s">
        <v>561</v>
      </c>
    </row>
    <row r="1981" spans="2:6" x14ac:dyDescent="0.3">
      <c r="B1981" s="63" t="s">
        <v>4068</v>
      </c>
      <c r="C1981" s="63">
        <v>1757679120886</v>
      </c>
      <c r="D1981" s="63" t="s">
        <v>4122</v>
      </c>
      <c r="E1981" s="63" t="s">
        <v>424</v>
      </c>
      <c r="F1981" s="63" t="s">
        <v>441</v>
      </c>
    </row>
    <row r="1982" spans="2:6" x14ac:dyDescent="0.3">
      <c r="B1982" s="63" t="s">
        <v>4068</v>
      </c>
      <c r="C1982" s="63">
        <v>1757679122932</v>
      </c>
      <c r="D1982" s="63" t="s">
        <v>4123</v>
      </c>
      <c r="E1982" s="63" t="s">
        <v>463</v>
      </c>
      <c r="F1982" s="63" t="s">
        <v>464</v>
      </c>
    </row>
    <row r="1983" spans="2:6" x14ac:dyDescent="0.3">
      <c r="B1983" s="58" t="s">
        <v>4124</v>
      </c>
      <c r="C1983" s="58">
        <v>1757679131255</v>
      </c>
      <c r="D1983" s="58" t="s">
        <v>4125</v>
      </c>
      <c r="E1983" s="58" t="s">
        <v>416</v>
      </c>
      <c r="F1983" t="s">
        <v>573</v>
      </c>
    </row>
    <row r="1984" spans="2:6" x14ac:dyDescent="0.3">
      <c r="B1984" s="58" t="s">
        <v>4124</v>
      </c>
      <c r="C1984" s="58">
        <v>1757679131422</v>
      </c>
      <c r="D1984" s="58" t="s">
        <v>4126</v>
      </c>
      <c r="E1984" s="58" t="s">
        <v>468</v>
      </c>
      <c r="F1984" t="s">
        <v>2557</v>
      </c>
    </row>
    <row r="1985" spans="2:6" x14ac:dyDescent="0.3">
      <c r="B1985" s="58" t="s">
        <v>4124</v>
      </c>
      <c r="C1985" s="58">
        <v>1757679145820</v>
      </c>
      <c r="D1985" s="58" t="s">
        <v>4127</v>
      </c>
      <c r="E1985" s="58" t="s">
        <v>419</v>
      </c>
      <c r="F1985" t="s">
        <v>420</v>
      </c>
    </row>
    <row r="1986" spans="2:6" x14ac:dyDescent="0.3">
      <c r="B1986" s="58" t="s">
        <v>4124</v>
      </c>
      <c r="C1986" s="58">
        <v>1757679151321</v>
      </c>
      <c r="D1986" s="58" t="s">
        <v>4128</v>
      </c>
      <c r="E1986" s="58" t="s">
        <v>422</v>
      </c>
      <c r="F1986" t="s">
        <v>420</v>
      </c>
    </row>
    <row r="1987" spans="2:6" x14ac:dyDescent="0.3">
      <c r="B1987" s="58" t="s">
        <v>426</v>
      </c>
      <c r="C1987" s="58">
        <v>1757679166042</v>
      </c>
      <c r="D1987" s="58" t="s">
        <v>4129</v>
      </c>
      <c r="E1987" s="58" t="s">
        <v>428</v>
      </c>
      <c r="F1987" t="s">
        <v>453</v>
      </c>
    </row>
    <row r="1988" spans="2:6" x14ac:dyDescent="0.3">
      <c r="B1988" s="58" t="s">
        <v>4124</v>
      </c>
      <c r="C1988" s="58">
        <v>1757679171467</v>
      </c>
      <c r="D1988" s="58" t="s">
        <v>4130</v>
      </c>
      <c r="E1988" s="58" t="s">
        <v>520</v>
      </c>
      <c r="F1988" t="s">
        <v>1425</v>
      </c>
    </row>
    <row r="1989" spans="2:6" x14ac:dyDescent="0.3">
      <c r="B1989" s="58" t="s">
        <v>4124</v>
      </c>
      <c r="C1989" s="58">
        <v>1757679177191</v>
      </c>
      <c r="D1989" s="58" t="s">
        <v>4131</v>
      </c>
      <c r="E1989" s="58" t="s">
        <v>525</v>
      </c>
      <c r="F1989" t="s">
        <v>1429</v>
      </c>
    </row>
    <row r="1990" spans="2:6" x14ac:dyDescent="0.3">
      <c r="B1990" s="58" t="s">
        <v>426</v>
      </c>
      <c r="C1990" s="58">
        <v>1757679180917</v>
      </c>
      <c r="D1990" s="58" t="s">
        <v>4132</v>
      </c>
      <c r="E1990" s="58" t="s">
        <v>428</v>
      </c>
      <c r="F1990" t="s">
        <v>429</v>
      </c>
    </row>
    <row r="1991" spans="2:6" x14ac:dyDescent="0.3">
      <c r="B1991" s="58" t="s">
        <v>4124</v>
      </c>
      <c r="C1991" s="58">
        <v>1757679194220</v>
      </c>
      <c r="D1991" s="58" t="s">
        <v>4133</v>
      </c>
      <c r="E1991" s="58" t="s">
        <v>424</v>
      </c>
      <c r="F1991" t="s">
        <v>457</v>
      </c>
    </row>
    <row r="1992" spans="2:6" x14ac:dyDescent="0.3">
      <c r="B1992" s="58" t="s">
        <v>426</v>
      </c>
      <c r="C1992" s="58">
        <v>1757679195744</v>
      </c>
      <c r="D1992" s="58" t="s">
        <v>4134</v>
      </c>
      <c r="E1992" s="58" t="s">
        <v>428</v>
      </c>
      <c r="F1992" t="s">
        <v>431</v>
      </c>
    </row>
    <row r="1993" spans="2:6" x14ac:dyDescent="0.3">
      <c r="B1993" s="58" t="s">
        <v>4124</v>
      </c>
      <c r="C1993" s="58">
        <v>1757679197318</v>
      </c>
      <c r="D1993" s="58" t="s">
        <v>4135</v>
      </c>
      <c r="E1993" s="58" t="s">
        <v>520</v>
      </c>
      <c r="F1993" t="s">
        <v>949</v>
      </c>
    </row>
    <row r="1994" spans="2:6" x14ac:dyDescent="0.3">
      <c r="B1994" s="58" t="s">
        <v>4124</v>
      </c>
      <c r="C1994" s="58">
        <v>1757679202017</v>
      </c>
      <c r="D1994" s="58" t="s">
        <v>4136</v>
      </c>
      <c r="E1994" s="58" t="s">
        <v>525</v>
      </c>
      <c r="F1994" t="s">
        <v>951</v>
      </c>
    </row>
    <row r="1995" spans="2:6" x14ac:dyDescent="0.3">
      <c r="B1995" s="58" t="s">
        <v>4124</v>
      </c>
      <c r="C1995" s="58">
        <v>1757679204504</v>
      </c>
      <c r="D1995" s="58" t="s">
        <v>4137</v>
      </c>
      <c r="E1995" s="58" t="s">
        <v>424</v>
      </c>
      <c r="F1995" t="s">
        <v>459</v>
      </c>
    </row>
    <row r="1996" spans="2:6" x14ac:dyDescent="0.3">
      <c r="B1996" s="58" t="s">
        <v>426</v>
      </c>
      <c r="C1996" s="58">
        <v>1757679210686</v>
      </c>
      <c r="D1996" s="58" t="s">
        <v>4138</v>
      </c>
      <c r="E1996" s="58" t="s">
        <v>428</v>
      </c>
      <c r="F1996" t="s">
        <v>447</v>
      </c>
    </row>
    <row r="1997" spans="2:6" x14ac:dyDescent="0.3">
      <c r="B1997" s="58" t="s">
        <v>4124</v>
      </c>
      <c r="C1997" s="58">
        <v>1757679222147</v>
      </c>
      <c r="D1997" s="58" t="s">
        <v>4139</v>
      </c>
      <c r="E1997" s="58" t="s">
        <v>520</v>
      </c>
      <c r="F1997" t="s">
        <v>2268</v>
      </c>
    </row>
    <row r="1998" spans="2:6" x14ac:dyDescent="0.3">
      <c r="B1998" s="58" t="s">
        <v>426</v>
      </c>
      <c r="C1998" s="58">
        <v>1757679226980</v>
      </c>
      <c r="D1998" s="58" t="s">
        <v>4140</v>
      </c>
      <c r="E1998" s="58" t="s">
        <v>428</v>
      </c>
      <c r="F1998" t="s">
        <v>538</v>
      </c>
    </row>
    <row r="1999" spans="2:6" x14ac:dyDescent="0.3">
      <c r="B1999" s="58" t="s">
        <v>4124</v>
      </c>
      <c r="C1999" s="58">
        <v>1757679230139</v>
      </c>
      <c r="D1999" s="58" t="s">
        <v>4141</v>
      </c>
      <c r="E1999" s="58" t="s">
        <v>525</v>
      </c>
      <c r="F1999" t="s">
        <v>2270</v>
      </c>
    </row>
    <row r="2000" spans="2:6" x14ac:dyDescent="0.3">
      <c r="B2000" s="58" t="s">
        <v>426</v>
      </c>
      <c r="C2000" s="58">
        <v>1757679244744</v>
      </c>
      <c r="D2000" s="58" t="s">
        <v>4142</v>
      </c>
      <c r="E2000" s="58" t="s">
        <v>428</v>
      </c>
      <c r="F2000" t="s">
        <v>672</v>
      </c>
    </row>
    <row r="2001" spans="2:7" x14ac:dyDescent="0.3">
      <c r="B2001" s="58" t="s">
        <v>4124</v>
      </c>
      <c r="C2001" s="58">
        <v>1757679246247</v>
      </c>
      <c r="D2001" s="58" t="s">
        <v>4143</v>
      </c>
      <c r="E2001" s="58" t="s">
        <v>424</v>
      </c>
      <c r="F2001" t="s">
        <v>461</v>
      </c>
    </row>
    <row r="2002" spans="2:7" x14ac:dyDescent="0.3">
      <c r="B2002" s="58" t="s">
        <v>4124</v>
      </c>
      <c r="C2002" s="58">
        <v>1757679250271</v>
      </c>
      <c r="D2002" s="58" t="s">
        <v>4144</v>
      </c>
      <c r="E2002" s="58" t="s">
        <v>520</v>
      </c>
      <c r="F2002" s="58" t="s">
        <v>3013</v>
      </c>
      <c r="G2002" s="58"/>
    </row>
    <row r="2003" spans="2:7" x14ac:dyDescent="0.3">
      <c r="B2003" s="58" t="s">
        <v>426</v>
      </c>
      <c r="C2003" s="58">
        <v>1757679261697</v>
      </c>
      <c r="D2003" s="58" t="s">
        <v>4145</v>
      </c>
      <c r="E2003" s="58" t="s">
        <v>428</v>
      </c>
      <c r="F2003" s="58" t="s">
        <v>523</v>
      </c>
      <c r="G2003" s="58"/>
    </row>
    <row r="2004" spans="2:7" x14ac:dyDescent="0.3">
      <c r="B2004" s="58" t="s">
        <v>4124</v>
      </c>
      <c r="C2004" s="58">
        <v>1757679262326</v>
      </c>
      <c r="D2004" s="58" t="s">
        <v>4146</v>
      </c>
      <c r="E2004" s="58" t="s">
        <v>525</v>
      </c>
      <c r="F2004" s="58" t="s">
        <v>3016</v>
      </c>
      <c r="G2004" s="58"/>
    </row>
    <row r="2005" spans="2:7" x14ac:dyDescent="0.3">
      <c r="B2005" s="58" t="s">
        <v>4124</v>
      </c>
      <c r="C2005" s="58">
        <v>1757679269533</v>
      </c>
      <c r="D2005" s="58" t="s">
        <v>4147</v>
      </c>
      <c r="E2005" s="58" t="s">
        <v>424</v>
      </c>
      <c r="F2005" s="58" t="s">
        <v>433</v>
      </c>
      <c r="G2005" s="58"/>
    </row>
    <row r="2006" spans="2:7" x14ac:dyDescent="0.3">
      <c r="B2006" s="58" t="s">
        <v>4124</v>
      </c>
      <c r="C2006" s="58">
        <v>1757679278501</v>
      </c>
      <c r="D2006" s="58" t="s">
        <v>4148</v>
      </c>
      <c r="E2006" s="58" t="s">
        <v>424</v>
      </c>
      <c r="F2006" s="58" t="s">
        <v>449</v>
      </c>
      <c r="G2006" s="58"/>
    </row>
    <row r="2007" spans="2:7" x14ac:dyDescent="0.3">
      <c r="B2007" s="58" t="s">
        <v>426</v>
      </c>
      <c r="C2007" s="58">
        <v>1757679282370</v>
      </c>
      <c r="D2007" s="58" t="s">
        <v>4149</v>
      </c>
      <c r="E2007" s="58" t="s">
        <v>428</v>
      </c>
      <c r="F2007" s="58" t="s">
        <v>455</v>
      </c>
      <c r="G2007" s="58"/>
    </row>
    <row r="2008" spans="2:7" x14ac:dyDescent="0.3">
      <c r="B2008" s="58" t="s">
        <v>4124</v>
      </c>
      <c r="C2008" s="58">
        <v>1757679282457</v>
      </c>
      <c r="D2008" s="58" t="s">
        <v>4150</v>
      </c>
      <c r="E2008" s="58" t="s">
        <v>520</v>
      </c>
      <c r="F2008" s="58" t="s">
        <v>3013</v>
      </c>
      <c r="G2008" s="58"/>
    </row>
    <row r="2009" spans="2:7" x14ac:dyDescent="0.3">
      <c r="B2009" s="58" t="s">
        <v>4124</v>
      </c>
      <c r="C2009" s="58">
        <v>1757679289386</v>
      </c>
      <c r="D2009" s="58" t="s">
        <v>4151</v>
      </c>
      <c r="E2009" s="58" t="s">
        <v>525</v>
      </c>
      <c r="F2009" s="58" t="s">
        <v>3016</v>
      </c>
      <c r="G2009" s="58"/>
    </row>
    <row r="2010" spans="2:7" x14ac:dyDescent="0.3">
      <c r="B2010" s="58" t="s">
        <v>426</v>
      </c>
      <c r="C2010" s="58">
        <v>1757679302221</v>
      </c>
      <c r="D2010" s="58" t="s">
        <v>4152</v>
      </c>
      <c r="E2010" s="58" t="s">
        <v>428</v>
      </c>
      <c r="F2010" s="58" t="s">
        <v>435</v>
      </c>
      <c r="G2010" s="58"/>
    </row>
    <row r="2011" spans="2:7" x14ac:dyDescent="0.3">
      <c r="B2011" s="58" t="s">
        <v>4124</v>
      </c>
      <c r="C2011" s="58">
        <v>1757679309531</v>
      </c>
      <c r="D2011" s="58" t="s">
        <v>4153</v>
      </c>
      <c r="E2011" s="58" t="s">
        <v>520</v>
      </c>
      <c r="F2011" s="58" t="s">
        <v>589</v>
      </c>
      <c r="G2011" s="58"/>
    </row>
    <row r="2012" spans="2:7" x14ac:dyDescent="0.3">
      <c r="B2012" s="58" t="s">
        <v>4124</v>
      </c>
      <c r="C2012" s="58">
        <v>1757679309615</v>
      </c>
      <c r="D2012" s="58" t="s">
        <v>4154</v>
      </c>
      <c r="E2012" s="58" t="s">
        <v>424</v>
      </c>
      <c r="F2012" s="58" t="s">
        <v>451</v>
      </c>
      <c r="G2012" s="58"/>
    </row>
    <row r="2013" spans="2:7" x14ac:dyDescent="0.3">
      <c r="B2013" s="58" t="s">
        <v>4124</v>
      </c>
      <c r="C2013" s="58">
        <v>1757679316291</v>
      </c>
      <c r="D2013" s="58" t="s">
        <v>4155</v>
      </c>
      <c r="E2013" s="58" t="s">
        <v>525</v>
      </c>
      <c r="F2013" s="58" t="s">
        <v>592</v>
      </c>
      <c r="G2013" s="58"/>
    </row>
    <row r="2014" spans="2:7" x14ac:dyDescent="0.3">
      <c r="B2014" s="58" t="s">
        <v>426</v>
      </c>
      <c r="C2014" s="58">
        <v>1757679321373</v>
      </c>
      <c r="D2014" s="58" t="s">
        <v>4156</v>
      </c>
      <c r="E2014" s="58" t="s">
        <v>428</v>
      </c>
      <c r="F2014" s="58" t="s">
        <v>437</v>
      </c>
      <c r="G2014" s="58"/>
    </row>
    <row r="2015" spans="2:7" x14ac:dyDescent="0.3">
      <c r="B2015" s="58" t="s">
        <v>4124</v>
      </c>
      <c r="C2015" s="58">
        <v>1757679336421</v>
      </c>
      <c r="D2015" s="58" t="s">
        <v>4157</v>
      </c>
      <c r="E2015" s="58" t="s">
        <v>520</v>
      </c>
      <c r="F2015" s="58" t="s">
        <v>555</v>
      </c>
      <c r="G2015" s="58"/>
    </row>
    <row r="2016" spans="2:7" x14ac:dyDescent="0.3">
      <c r="B2016" s="58" t="s">
        <v>426</v>
      </c>
      <c r="C2016" s="58">
        <v>1757679339887</v>
      </c>
      <c r="D2016" s="58" t="s">
        <v>4158</v>
      </c>
      <c r="E2016" s="58" t="s">
        <v>428</v>
      </c>
      <c r="F2016" s="58" t="s">
        <v>439</v>
      </c>
      <c r="G2016" s="58"/>
    </row>
    <row r="2017" spans="1:7" x14ac:dyDescent="0.3">
      <c r="B2017" s="58" t="s">
        <v>4124</v>
      </c>
      <c r="C2017" s="58">
        <v>1757679342183</v>
      </c>
      <c r="D2017" s="58" t="s">
        <v>4159</v>
      </c>
      <c r="E2017" s="58" t="s">
        <v>525</v>
      </c>
      <c r="F2017" s="58" t="s">
        <v>557</v>
      </c>
      <c r="G2017" s="58"/>
    </row>
    <row r="2018" spans="1:7" x14ac:dyDescent="0.3">
      <c r="B2018" s="58" t="s">
        <v>4124</v>
      </c>
      <c r="C2018" s="58">
        <v>1757679353387</v>
      </c>
      <c r="D2018" s="58" t="s">
        <v>4160</v>
      </c>
      <c r="E2018" s="58" t="s">
        <v>424</v>
      </c>
      <c r="F2018" s="58" t="s">
        <v>441</v>
      </c>
      <c r="G2018" s="58"/>
    </row>
    <row r="2019" spans="1:7" x14ac:dyDescent="0.3">
      <c r="B2019" s="58" t="s">
        <v>4124</v>
      </c>
      <c r="C2019" s="58">
        <v>1757679354683</v>
      </c>
      <c r="D2019" s="58" t="s">
        <v>4161</v>
      </c>
      <c r="E2019" s="58" t="s">
        <v>463</v>
      </c>
      <c r="F2019" s="58" t="s">
        <v>464</v>
      </c>
      <c r="G2019" s="58"/>
    </row>
    <row r="2020" spans="1:7" ht="21" x14ac:dyDescent="0.4">
      <c r="A2020" s="69" t="s">
        <v>66</v>
      </c>
      <c r="B2020" s="63" t="s">
        <v>4162</v>
      </c>
      <c r="C2020" s="63">
        <v>1757682511133</v>
      </c>
      <c r="D2020" s="63" t="s">
        <v>4163</v>
      </c>
      <c r="E2020" s="63" t="s">
        <v>416</v>
      </c>
      <c r="F2020" s="63" t="s">
        <v>492</v>
      </c>
    </row>
    <row r="2021" spans="1:7" x14ac:dyDescent="0.3">
      <c r="B2021" s="63" t="s">
        <v>4162</v>
      </c>
      <c r="C2021" s="63">
        <v>1757682516916</v>
      </c>
      <c r="D2021" s="63" t="s">
        <v>4164</v>
      </c>
      <c r="E2021" s="63" t="s">
        <v>419</v>
      </c>
      <c r="F2021" s="63" t="s">
        <v>420</v>
      </c>
    </row>
    <row r="2022" spans="1:7" x14ac:dyDescent="0.3">
      <c r="B2022" s="63" t="s">
        <v>4162</v>
      </c>
      <c r="C2022" s="63">
        <v>1757682522915</v>
      </c>
      <c r="D2022" s="63" t="s">
        <v>4165</v>
      </c>
      <c r="E2022" s="63" t="s">
        <v>389</v>
      </c>
      <c r="F2022" s="63" t="s">
        <v>1694</v>
      </c>
    </row>
    <row r="2023" spans="1:7" x14ac:dyDescent="0.3">
      <c r="B2023" s="63" t="s">
        <v>4162</v>
      </c>
      <c r="C2023" s="63">
        <v>1757682523468</v>
      </c>
      <c r="D2023" s="63" t="s">
        <v>4166</v>
      </c>
      <c r="E2023" s="63" t="s">
        <v>389</v>
      </c>
      <c r="F2023" s="63" t="s">
        <v>396</v>
      </c>
    </row>
    <row r="2024" spans="1:7" x14ac:dyDescent="0.3">
      <c r="B2024" s="63" t="s">
        <v>4162</v>
      </c>
      <c r="C2024" s="63">
        <v>1757682524436</v>
      </c>
      <c r="D2024" s="63" t="s">
        <v>4167</v>
      </c>
      <c r="E2024" s="63" t="s">
        <v>389</v>
      </c>
      <c r="F2024" s="63" t="s">
        <v>3118</v>
      </c>
    </row>
    <row r="2025" spans="1:7" x14ac:dyDescent="0.3">
      <c r="B2025" s="63" t="s">
        <v>4162</v>
      </c>
      <c r="C2025" s="63">
        <v>1757682524565</v>
      </c>
      <c r="D2025" s="63" t="s">
        <v>4168</v>
      </c>
      <c r="E2025" s="63" t="s">
        <v>389</v>
      </c>
      <c r="F2025" s="63" t="s">
        <v>1126</v>
      </c>
    </row>
    <row r="2026" spans="1:7" x14ac:dyDescent="0.3">
      <c r="B2026" s="63" t="s">
        <v>4162</v>
      </c>
      <c r="C2026" s="63">
        <v>1757682524697</v>
      </c>
      <c r="D2026" s="63" t="s">
        <v>4169</v>
      </c>
      <c r="E2026" s="63" t="s">
        <v>389</v>
      </c>
      <c r="F2026" s="63" t="s">
        <v>398</v>
      </c>
    </row>
    <row r="2027" spans="1:7" x14ac:dyDescent="0.3">
      <c r="B2027" s="63" t="s">
        <v>4162</v>
      </c>
      <c r="C2027" s="63">
        <v>1757682524776</v>
      </c>
      <c r="D2027" s="63" t="s">
        <v>4170</v>
      </c>
      <c r="E2027" s="63" t="s">
        <v>389</v>
      </c>
      <c r="F2027" s="63" t="s">
        <v>1126</v>
      </c>
    </row>
    <row r="2028" spans="1:7" x14ac:dyDescent="0.3">
      <c r="B2028" s="63" t="s">
        <v>4162</v>
      </c>
      <c r="C2028" s="63">
        <v>1757682525810</v>
      </c>
      <c r="D2028" s="63" t="s">
        <v>4171</v>
      </c>
      <c r="E2028" s="63" t="s">
        <v>389</v>
      </c>
      <c r="F2028" s="63" t="s">
        <v>1139</v>
      </c>
    </row>
    <row r="2029" spans="1:7" x14ac:dyDescent="0.3">
      <c r="B2029" s="63" t="s">
        <v>4162</v>
      </c>
      <c r="C2029" s="63">
        <v>1757682525955</v>
      </c>
      <c r="D2029" s="63" t="s">
        <v>4172</v>
      </c>
      <c r="E2029" s="63" t="s">
        <v>389</v>
      </c>
      <c r="F2029" s="63" t="s">
        <v>1146</v>
      </c>
    </row>
    <row r="2030" spans="1:7" x14ac:dyDescent="0.3">
      <c r="B2030" s="63" t="s">
        <v>4162</v>
      </c>
      <c r="C2030" s="63">
        <v>1757682526087</v>
      </c>
      <c r="D2030" s="63" t="s">
        <v>4173</v>
      </c>
      <c r="E2030" s="63" t="s">
        <v>389</v>
      </c>
      <c r="F2030" s="63" t="s">
        <v>2348</v>
      </c>
    </row>
    <row r="2031" spans="1:7" x14ac:dyDescent="0.3">
      <c r="B2031" s="63" t="s">
        <v>4162</v>
      </c>
      <c r="C2031" s="63">
        <v>1757682526198</v>
      </c>
      <c r="D2031" s="63" t="s">
        <v>4174</v>
      </c>
      <c r="E2031" s="63" t="s">
        <v>389</v>
      </c>
      <c r="F2031" s="63" t="s">
        <v>400</v>
      </c>
    </row>
    <row r="2032" spans="1:7" x14ac:dyDescent="0.3">
      <c r="B2032" s="63" t="s">
        <v>4162</v>
      </c>
      <c r="C2032" s="63">
        <v>1757682526263</v>
      </c>
      <c r="D2032" s="63" t="s">
        <v>4175</v>
      </c>
      <c r="E2032" s="63" t="s">
        <v>389</v>
      </c>
      <c r="F2032" s="63" t="s">
        <v>2348</v>
      </c>
    </row>
    <row r="2033" spans="2:6" x14ac:dyDescent="0.3">
      <c r="B2033" s="63" t="s">
        <v>4162</v>
      </c>
      <c r="C2033" s="63">
        <v>1757682527229</v>
      </c>
      <c r="D2033" s="63" t="s">
        <v>4176</v>
      </c>
      <c r="E2033" s="63" t="s">
        <v>389</v>
      </c>
      <c r="F2033" s="63" t="s">
        <v>398</v>
      </c>
    </row>
    <row r="2034" spans="2:6" x14ac:dyDescent="0.3">
      <c r="B2034" s="63" t="s">
        <v>4162</v>
      </c>
      <c r="C2034" s="63">
        <v>1757682528035</v>
      </c>
      <c r="D2034" s="63" t="s">
        <v>4177</v>
      </c>
      <c r="E2034" s="63" t="s">
        <v>389</v>
      </c>
      <c r="F2034" s="63" t="s">
        <v>400</v>
      </c>
    </row>
    <row r="2035" spans="2:6" x14ac:dyDescent="0.3">
      <c r="B2035" s="63" t="s">
        <v>4162</v>
      </c>
      <c r="C2035" s="63">
        <v>1757682529701</v>
      </c>
      <c r="D2035" s="63" t="s">
        <v>4178</v>
      </c>
      <c r="E2035" s="63" t="s">
        <v>389</v>
      </c>
      <c r="F2035" s="63" t="s">
        <v>390</v>
      </c>
    </row>
    <row r="2036" spans="2:6" x14ac:dyDescent="0.3">
      <c r="B2036" s="63" t="s">
        <v>4162</v>
      </c>
      <c r="C2036" s="63">
        <v>1757682530303</v>
      </c>
      <c r="D2036" s="63" t="s">
        <v>4179</v>
      </c>
      <c r="E2036" s="63" t="s">
        <v>389</v>
      </c>
      <c r="F2036" s="63" t="s">
        <v>392</v>
      </c>
    </row>
    <row r="2037" spans="2:6" x14ac:dyDescent="0.3">
      <c r="B2037" s="63" t="s">
        <v>4162</v>
      </c>
      <c r="C2037" s="63">
        <v>1757682531378</v>
      </c>
      <c r="D2037" s="63" t="s">
        <v>4180</v>
      </c>
      <c r="E2037" s="63" t="s">
        <v>389</v>
      </c>
      <c r="F2037" s="63" t="s">
        <v>508</v>
      </c>
    </row>
    <row r="2038" spans="2:6" x14ac:dyDescent="0.3">
      <c r="B2038" s="63" t="s">
        <v>4162</v>
      </c>
      <c r="C2038" s="63">
        <v>1757682532086</v>
      </c>
      <c r="D2038" s="63" t="s">
        <v>4181</v>
      </c>
      <c r="E2038" s="63" t="s">
        <v>389</v>
      </c>
      <c r="F2038" s="63" t="s">
        <v>660</v>
      </c>
    </row>
    <row r="2039" spans="2:6" x14ac:dyDescent="0.3">
      <c r="B2039" s="63" t="s">
        <v>4162</v>
      </c>
      <c r="C2039" s="63">
        <v>1757682535252</v>
      </c>
      <c r="D2039" s="63" t="s">
        <v>4182</v>
      </c>
      <c r="E2039" s="63" t="s">
        <v>389</v>
      </c>
      <c r="F2039" s="63" t="s">
        <v>406</v>
      </c>
    </row>
    <row r="2040" spans="2:6" x14ac:dyDescent="0.3">
      <c r="B2040" s="63" t="s">
        <v>4162</v>
      </c>
      <c r="C2040" s="63">
        <v>1757682536714</v>
      </c>
      <c r="D2040" s="63" t="s">
        <v>4183</v>
      </c>
      <c r="E2040" s="63" t="s">
        <v>389</v>
      </c>
      <c r="F2040" s="63" t="s">
        <v>495</v>
      </c>
    </row>
    <row r="2041" spans="2:6" x14ac:dyDescent="0.3">
      <c r="B2041" s="63" t="s">
        <v>4162</v>
      </c>
      <c r="C2041" s="63">
        <v>1757682537824</v>
      </c>
      <c r="D2041" s="63" t="s">
        <v>4184</v>
      </c>
      <c r="E2041" s="63" t="s">
        <v>389</v>
      </c>
      <c r="F2041" s="63" t="s">
        <v>410</v>
      </c>
    </row>
    <row r="2042" spans="2:6" x14ac:dyDescent="0.3">
      <c r="B2042" s="63" t="s">
        <v>4162</v>
      </c>
      <c r="C2042" s="63">
        <v>1757682539224</v>
      </c>
      <c r="D2042" s="63" t="s">
        <v>4185</v>
      </c>
      <c r="E2042" s="63" t="s">
        <v>389</v>
      </c>
      <c r="F2042" s="63" t="s">
        <v>414</v>
      </c>
    </row>
    <row r="2043" spans="2:6" x14ac:dyDescent="0.3">
      <c r="B2043" s="63" t="s">
        <v>4162</v>
      </c>
      <c r="C2043" s="63">
        <v>1757682545654</v>
      </c>
      <c r="D2043" s="63" t="s">
        <v>4186</v>
      </c>
      <c r="E2043" s="63" t="s">
        <v>422</v>
      </c>
      <c r="F2043" s="63" t="s">
        <v>420</v>
      </c>
    </row>
    <row r="2044" spans="2:6" x14ac:dyDescent="0.3">
      <c r="B2044" s="63" t="s">
        <v>426</v>
      </c>
      <c r="C2044" s="63">
        <v>1757682561110</v>
      </c>
      <c r="D2044" s="63" t="s">
        <v>4187</v>
      </c>
      <c r="E2044" s="63" t="s">
        <v>428</v>
      </c>
      <c r="F2044" s="63" t="s">
        <v>435</v>
      </c>
    </row>
    <row r="2045" spans="2:6" x14ac:dyDescent="0.3">
      <c r="B2045" s="63" t="s">
        <v>4162</v>
      </c>
      <c r="C2045" s="63">
        <v>1757682565849</v>
      </c>
      <c r="D2045" s="63" t="s">
        <v>4188</v>
      </c>
      <c r="E2045" s="63" t="s">
        <v>520</v>
      </c>
      <c r="F2045" s="63" t="s">
        <v>949</v>
      </c>
    </row>
    <row r="2046" spans="2:6" x14ac:dyDescent="0.3">
      <c r="B2046" s="63" t="s">
        <v>4162</v>
      </c>
      <c r="C2046" s="63">
        <v>1757682571620</v>
      </c>
      <c r="D2046" s="63" t="s">
        <v>4189</v>
      </c>
      <c r="E2046" s="63" t="s">
        <v>525</v>
      </c>
      <c r="F2046" s="63" t="s">
        <v>951</v>
      </c>
    </row>
    <row r="2047" spans="2:6" x14ac:dyDescent="0.3">
      <c r="B2047" s="63" t="s">
        <v>426</v>
      </c>
      <c r="C2047" s="63">
        <v>1757682575891</v>
      </c>
      <c r="D2047" s="63" t="s">
        <v>4190</v>
      </c>
      <c r="E2047" s="63" t="s">
        <v>428</v>
      </c>
      <c r="F2047" s="63" t="s">
        <v>437</v>
      </c>
    </row>
    <row r="2048" spans="2:6" x14ac:dyDescent="0.3">
      <c r="B2048" s="63" t="s">
        <v>4162</v>
      </c>
      <c r="C2048" s="63">
        <v>1757682591737</v>
      </c>
      <c r="D2048" s="63" t="s">
        <v>4191</v>
      </c>
      <c r="E2048" s="63" t="s">
        <v>520</v>
      </c>
      <c r="F2048" s="63" t="s">
        <v>1631</v>
      </c>
    </row>
    <row r="2049" spans="2:6" x14ac:dyDescent="0.3">
      <c r="B2049" s="63" t="s">
        <v>426</v>
      </c>
      <c r="C2049" s="63">
        <v>1757682592184</v>
      </c>
      <c r="D2049" s="63" t="s">
        <v>4192</v>
      </c>
      <c r="E2049" s="63" t="s">
        <v>428</v>
      </c>
      <c r="F2049" s="63" t="s">
        <v>439</v>
      </c>
    </row>
    <row r="2050" spans="2:6" x14ac:dyDescent="0.3">
      <c r="B2050" s="63" t="s">
        <v>4162</v>
      </c>
      <c r="C2050" s="63">
        <v>1757682597384</v>
      </c>
      <c r="D2050" s="63" t="s">
        <v>4193</v>
      </c>
      <c r="E2050" s="63" t="s">
        <v>525</v>
      </c>
      <c r="F2050" s="63" t="s">
        <v>1633</v>
      </c>
    </row>
    <row r="2051" spans="2:6" x14ac:dyDescent="0.3">
      <c r="B2051" s="63" t="s">
        <v>4162</v>
      </c>
      <c r="C2051" s="63">
        <v>1757682606810</v>
      </c>
      <c r="D2051" s="63" t="s">
        <v>4194</v>
      </c>
      <c r="E2051" s="63" t="s">
        <v>424</v>
      </c>
      <c r="F2051" s="63" t="s">
        <v>441</v>
      </c>
    </row>
    <row r="2052" spans="2:6" x14ac:dyDescent="0.3">
      <c r="B2052" s="63" t="s">
        <v>426</v>
      </c>
      <c r="C2052" s="63">
        <v>1757682609847</v>
      </c>
      <c r="D2052" s="63" t="s">
        <v>4195</v>
      </c>
      <c r="E2052" s="63" t="s">
        <v>428</v>
      </c>
      <c r="F2052" s="63" t="s">
        <v>429</v>
      </c>
    </row>
    <row r="2053" spans="2:6" x14ac:dyDescent="0.3">
      <c r="B2053" s="63" t="s">
        <v>4162</v>
      </c>
      <c r="C2053" s="63">
        <v>1757682617502</v>
      </c>
      <c r="D2053" s="63" t="s">
        <v>4196</v>
      </c>
      <c r="E2053" s="63" t="s">
        <v>520</v>
      </c>
      <c r="F2053" s="63" t="s">
        <v>1532</v>
      </c>
    </row>
    <row r="2054" spans="2:6" x14ac:dyDescent="0.3">
      <c r="B2054" s="63" t="s">
        <v>4162</v>
      </c>
      <c r="C2054" s="63">
        <v>1757682622673</v>
      </c>
      <c r="D2054" s="63" t="s">
        <v>4197</v>
      </c>
      <c r="E2054" s="63" t="s">
        <v>525</v>
      </c>
      <c r="F2054" s="63" t="s">
        <v>1535</v>
      </c>
    </row>
    <row r="2055" spans="2:6" x14ac:dyDescent="0.3">
      <c r="B2055" s="63" t="s">
        <v>426</v>
      </c>
      <c r="C2055" s="63">
        <v>1757682627503</v>
      </c>
      <c r="D2055" s="63" t="s">
        <v>4198</v>
      </c>
      <c r="E2055" s="63" t="s">
        <v>428</v>
      </c>
      <c r="F2055" s="63" t="s">
        <v>431</v>
      </c>
    </row>
    <row r="2056" spans="2:6" x14ac:dyDescent="0.3">
      <c r="B2056" s="63" t="s">
        <v>4162</v>
      </c>
      <c r="C2056" s="63">
        <v>1757682642801</v>
      </c>
      <c r="D2056" s="63" t="s">
        <v>4199</v>
      </c>
      <c r="E2056" s="63" t="s">
        <v>520</v>
      </c>
      <c r="F2056" s="63" t="s">
        <v>1606</v>
      </c>
    </row>
    <row r="2057" spans="2:6" x14ac:dyDescent="0.3">
      <c r="B2057" s="63" t="s">
        <v>426</v>
      </c>
      <c r="C2057" s="63">
        <v>1757682643019</v>
      </c>
      <c r="D2057" s="63" t="s">
        <v>4200</v>
      </c>
      <c r="E2057" s="63" t="s">
        <v>428</v>
      </c>
      <c r="F2057" s="63" t="s">
        <v>538</v>
      </c>
    </row>
    <row r="2058" spans="2:6" x14ac:dyDescent="0.3">
      <c r="B2058" s="63" t="s">
        <v>4162</v>
      </c>
      <c r="C2058" s="63">
        <v>1757682657058</v>
      </c>
      <c r="D2058" s="63" t="s">
        <v>4201</v>
      </c>
      <c r="E2058" s="63" t="s">
        <v>525</v>
      </c>
      <c r="F2058" s="63" t="s">
        <v>1608</v>
      </c>
    </row>
    <row r="2059" spans="2:6" x14ac:dyDescent="0.3">
      <c r="B2059" s="63" t="s">
        <v>426</v>
      </c>
      <c r="C2059" s="63">
        <v>1757682659945</v>
      </c>
      <c r="D2059" s="63" t="s">
        <v>4202</v>
      </c>
      <c r="E2059" s="63" t="s">
        <v>428</v>
      </c>
      <c r="F2059" s="63" t="s">
        <v>672</v>
      </c>
    </row>
    <row r="2060" spans="2:6" x14ac:dyDescent="0.3">
      <c r="B2060" s="63" t="s">
        <v>4162</v>
      </c>
      <c r="C2060" s="63">
        <v>1757682661298</v>
      </c>
      <c r="D2060" s="63" t="s">
        <v>4203</v>
      </c>
      <c r="E2060" s="63" t="s">
        <v>424</v>
      </c>
      <c r="F2060" s="63" t="s">
        <v>433</v>
      </c>
    </row>
    <row r="2061" spans="2:6" x14ac:dyDescent="0.3">
      <c r="B2061" s="63" t="s">
        <v>4162</v>
      </c>
      <c r="C2061" s="63">
        <v>1757682677188</v>
      </c>
      <c r="D2061" s="63" t="s">
        <v>4204</v>
      </c>
      <c r="E2061" s="63" t="s">
        <v>520</v>
      </c>
      <c r="F2061" s="63" t="s">
        <v>559</v>
      </c>
    </row>
    <row r="2062" spans="2:6" x14ac:dyDescent="0.3">
      <c r="B2062" s="63" t="s">
        <v>426</v>
      </c>
      <c r="C2062" s="63">
        <v>1757682677553</v>
      </c>
      <c r="D2062" s="63" t="s">
        <v>4205</v>
      </c>
      <c r="E2062" s="63" t="s">
        <v>428</v>
      </c>
      <c r="F2062" s="63" t="s">
        <v>453</v>
      </c>
    </row>
    <row r="2063" spans="2:6" x14ac:dyDescent="0.3">
      <c r="B2063" s="63" t="s">
        <v>4162</v>
      </c>
      <c r="C2063" s="63">
        <v>1757682683591</v>
      </c>
      <c r="D2063" s="63" t="s">
        <v>4206</v>
      </c>
      <c r="E2063" s="63" t="s">
        <v>525</v>
      </c>
      <c r="F2063" s="63" t="s">
        <v>561</v>
      </c>
    </row>
    <row r="2064" spans="2:6" x14ac:dyDescent="0.3">
      <c r="B2064" s="63" t="s">
        <v>426</v>
      </c>
      <c r="C2064" s="63">
        <v>1757682694462</v>
      </c>
      <c r="D2064" s="63" t="s">
        <v>4207</v>
      </c>
      <c r="E2064" s="63" t="s">
        <v>428</v>
      </c>
      <c r="F2064" s="63" t="s">
        <v>523</v>
      </c>
    </row>
    <row r="2065" spans="2:6" x14ac:dyDescent="0.3">
      <c r="B2065" s="63" t="s">
        <v>4162</v>
      </c>
      <c r="C2065" s="63">
        <v>1757682696822</v>
      </c>
      <c r="D2065" s="63" t="s">
        <v>4208</v>
      </c>
      <c r="E2065" s="63" t="s">
        <v>424</v>
      </c>
      <c r="F2065" s="63" t="s">
        <v>457</v>
      </c>
    </row>
    <row r="2066" spans="2:6" x14ac:dyDescent="0.3">
      <c r="B2066" s="63" t="s">
        <v>4162</v>
      </c>
      <c r="C2066" s="63">
        <v>1757682703718</v>
      </c>
      <c r="D2066" s="63" t="s">
        <v>4209</v>
      </c>
      <c r="E2066" s="63" t="s">
        <v>520</v>
      </c>
      <c r="F2066" s="63" t="s">
        <v>1975</v>
      </c>
    </row>
    <row r="2067" spans="2:6" x14ac:dyDescent="0.3">
      <c r="B2067" s="63" t="s">
        <v>426</v>
      </c>
      <c r="C2067" s="63">
        <v>1757682709892</v>
      </c>
      <c r="D2067" s="63" t="s">
        <v>4210</v>
      </c>
      <c r="E2067" s="63" t="s">
        <v>428</v>
      </c>
      <c r="F2067" s="63" t="s">
        <v>447</v>
      </c>
    </row>
    <row r="2068" spans="2:6" x14ac:dyDescent="0.3">
      <c r="B2068" s="63" t="s">
        <v>4162</v>
      </c>
      <c r="C2068" s="63">
        <v>1757682717899</v>
      </c>
      <c r="D2068" s="63" t="s">
        <v>4211</v>
      </c>
      <c r="E2068" s="63" t="s">
        <v>525</v>
      </c>
      <c r="F2068" s="63" t="s">
        <v>1977</v>
      </c>
    </row>
    <row r="2069" spans="2:6" x14ac:dyDescent="0.3">
      <c r="B2069" s="63" t="s">
        <v>426</v>
      </c>
      <c r="C2069" s="63">
        <v>1757682731183</v>
      </c>
      <c r="D2069" s="63" t="s">
        <v>4212</v>
      </c>
      <c r="E2069" s="63" t="s">
        <v>428</v>
      </c>
      <c r="F2069" s="63" t="s">
        <v>455</v>
      </c>
    </row>
    <row r="2070" spans="2:6" x14ac:dyDescent="0.3">
      <c r="B2070" s="63" t="s">
        <v>4162</v>
      </c>
      <c r="C2070" s="63">
        <v>1757682738015</v>
      </c>
      <c r="D2070" s="63" t="s">
        <v>4213</v>
      </c>
      <c r="E2070" s="63" t="s">
        <v>520</v>
      </c>
      <c r="F2070" s="63" t="s">
        <v>3013</v>
      </c>
    </row>
    <row r="2071" spans="2:6" x14ac:dyDescent="0.3">
      <c r="B2071" s="63" t="s">
        <v>4162</v>
      </c>
      <c r="C2071" s="63">
        <v>1757682757541</v>
      </c>
      <c r="D2071" s="63" t="s">
        <v>4214</v>
      </c>
      <c r="E2071" s="63" t="s">
        <v>1438</v>
      </c>
      <c r="F2071" s="63" t="s">
        <v>4215</v>
      </c>
    </row>
    <row r="2072" spans="2:6" x14ac:dyDescent="0.3">
      <c r="B2072" s="63" t="s">
        <v>4162</v>
      </c>
      <c r="C2072" s="63">
        <v>1757682763503</v>
      </c>
      <c r="D2072" s="63" t="s">
        <v>4216</v>
      </c>
      <c r="E2072" s="63" t="s">
        <v>1438</v>
      </c>
      <c r="F2072" s="63" t="s">
        <v>4215</v>
      </c>
    </row>
    <row r="2073" spans="2:6" x14ac:dyDescent="0.3">
      <c r="B2073" s="63" t="s">
        <v>4162</v>
      </c>
      <c r="C2073" s="63">
        <v>1757682768938</v>
      </c>
      <c r="D2073" s="63" t="s">
        <v>4217</v>
      </c>
      <c r="E2073" s="63" t="s">
        <v>525</v>
      </c>
      <c r="F2073" s="63" t="s">
        <v>3016</v>
      </c>
    </row>
    <row r="2074" spans="2:6" x14ac:dyDescent="0.3">
      <c r="B2074" s="63" t="s">
        <v>4162</v>
      </c>
      <c r="C2074" s="63">
        <v>1757682773624</v>
      </c>
      <c r="D2074" s="63" t="s">
        <v>4218</v>
      </c>
      <c r="E2074" s="63" t="s">
        <v>424</v>
      </c>
      <c r="F2074" s="63" t="s">
        <v>459</v>
      </c>
    </row>
    <row r="2075" spans="2:6" x14ac:dyDescent="0.3">
      <c r="B2075" s="63" t="s">
        <v>4162</v>
      </c>
      <c r="C2075" s="63">
        <v>1757682774322</v>
      </c>
      <c r="D2075" s="63" t="s">
        <v>4219</v>
      </c>
      <c r="E2075" s="63" t="s">
        <v>424</v>
      </c>
      <c r="F2075" s="63" t="s">
        <v>461</v>
      </c>
    </row>
    <row r="2076" spans="2:6" x14ac:dyDescent="0.3">
      <c r="B2076" s="63" t="s">
        <v>4162</v>
      </c>
      <c r="C2076" s="63">
        <v>1757682789082</v>
      </c>
      <c r="D2076" s="63" t="s">
        <v>4220</v>
      </c>
      <c r="E2076" s="63" t="s">
        <v>520</v>
      </c>
      <c r="F2076" s="63" t="s">
        <v>1975</v>
      </c>
    </row>
    <row r="2077" spans="2:6" x14ac:dyDescent="0.3">
      <c r="B2077" s="63" t="s">
        <v>4162</v>
      </c>
      <c r="C2077" s="63">
        <v>1757682803154</v>
      </c>
      <c r="D2077" s="63" t="s">
        <v>4221</v>
      </c>
      <c r="E2077" s="63" t="s">
        <v>525</v>
      </c>
      <c r="F2077" s="63" t="s">
        <v>1977</v>
      </c>
    </row>
    <row r="2078" spans="2:6" x14ac:dyDescent="0.3">
      <c r="B2078" s="63" t="s">
        <v>4162</v>
      </c>
      <c r="C2078" s="63">
        <v>1757682804795</v>
      </c>
      <c r="D2078" s="63" t="s">
        <v>4222</v>
      </c>
      <c r="E2078" s="63" t="s">
        <v>424</v>
      </c>
      <c r="F2078" s="63" t="s">
        <v>449</v>
      </c>
    </row>
    <row r="2079" spans="2:6" x14ac:dyDescent="0.3">
      <c r="B2079" s="63" t="s">
        <v>4162</v>
      </c>
      <c r="C2079" s="63">
        <v>1757682808304</v>
      </c>
      <c r="D2079" s="63" t="s">
        <v>4223</v>
      </c>
      <c r="E2079" s="63" t="s">
        <v>424</v>
      </c>
      <c r="F2079" s="63" t="s">
        <v>451</v>
      </c>
    </row>
    <row r="2080" spans="2:6" x14ac:dyDescent="0.3">
      <c r="B2080" s="63" t="s">
        <v>4162</v>
      </c>
      <c r="C2080" s="63">
        <v>1757682815140</v>
      </c>
      <c r="D2080" s="63" t="s">
        <v>4224</v>
      </c>
      <c r="E2080" s="63" t="s">
        <v>463</v>
      </c>
      <c r="F2080" s="63" t="s">
        <v>464</v>
      </c>
    </row>
    <row r="2081" spans="2:6" x14ac:dyDescent="0.3">
      <c r="B2081" s="58" t="s">
        <v>4225</v>
      </c>
      <c r="C2081" s="58">
        <v>1757682826656</v>
      </c>
      <c r="D2081" s="58" t="s">
        <v>4226</v>
      </c>
      <c r="E2081" s="58" t="s">
        <v>416</v>
      </c>
      <c r="F2081" s="58" t="s">
        <v>573</v>
      </c>
    </row>
    <row r="2082" spans="2:6" x14ac:dyDescent="0.3">
      <c r="B2082" s="58" t="s">
        <v>4225</v>
      </c>
      <c r="C2082" s="58">
        <v>1757682826905</v>
      </c>
      <c r="D2082" s="58" t="s">
        <v>4227</v>
      </c>
      <c r="E2082" s="58" t="s">
        <v>468</v>
      </c>
      <c r="F2082" s="58" t="s">
        <v>2557</v>
      </c>
    </row>
    <row r="2083" spans="2:6" x14ac:dyDescent="0.3">
      <c r="B2083" s="58" t="s">
        <v>4225</v>
      </c>
      <c r="C2083" s="58">
        <v>1757682827407</v>
      </c>
      <c r="D2083" s="58" t="s">
        <v>4228</v>
      </c>
      <c r="E2083" s="58" t="s">
        <v>419</v>
      </c>
      <c r="F2083" s="58" t="s">
        <v>420</v>
      </c>
    </row>
    <row r="2084" spans="2:6" x14ac:dyDescent="0.3">
      <c r="B2084" s="58" t="s">
        <v>4225</v>
      </c>
      <c r="C2084" s="58">
        <v>1757682843089</v>
      </c>
      <c r="D2084" s="58" t="s">
        <v>4229</v>
      </c>
      <c r="E2084" s="58" t="s">
        <v>422</v>
      </c>
      <c r="F2084" s="58" t="s">
        <v>420</v>
      </c>
    </row>
    <row r="2085" spans="2:6" x14ac:dyDescent="0.3">
      <c r="B2085" s="58" t="s">
        <v>426</v>
      </c>
      <c r="C2085" s="58">
        <v>1757682862891</v>
      </c>
      <c r="D2085" s="58" t="s">
        <v>4230</v>
      </c>
      <c r="E2085" s="58" t="s">
        <v>428</v>
      </c>
      <c r="F2085" s="58" t="s">
        <v>435</v>
      </c>
    </row>
    <row r="2086" spans="2:6" x14ac:dyDescent="0.3">
      <c r="B2086" s="58" t="s">
        <v>4225</v>
      </c>
      <c r="C2086" s="58">
        <v>1757682863233</v>
      </c>
      <c r="D2086" s="58" t="s">
        <v>4231</v>
      </c>
      <c r="E2086" s="58" t="s">
        <v>520</v>
      </c>
      <c r="F2086" s="58" t="s">
        <v>536</v>
      </c>
    </row>
    <row r="2087" spans="2:6" x14ac:dyDescent="0.3">
      <c r="B2087" s="58" t="s">
        <v>4225</v>
      </c>
      <c r="C2087" s="58">
        <v>1757682876321</v>
      </c>
      <c r="D2087" s="58" t="s">
        <v>4232</v>
      </c>
      <c r="E2087" s="58" t="s">
        <v>525</v>
      </c>
      <c r="F2087" s="58" t="s">
        <v>540</v>
      </c>
    </row>
    <row r="2088" spans="2:6" x14ac:dyDescent="0.3">
      <c r="B2088" s="58" t="s">
        <v>426</v>
      </c>
      <c r="C2088" s="58">
        <v>1757682882060</v>
      </c>
      <c r="D2088" s="58" t="s">
        <v>4233</v>
      </c>
      <c r="E2088" s="58" t="s">
        <v>428</v>
      </c>
      <c r="F2088" s="58" t="s">
        <v>437</v>
      </c>
    </row>
    <row r="2089" spans="2:6" x14ac:dyDescent="0.3">
      <c r="B2089" s="58" t="s">
        <v>4225</v>
      </c>
      <c r="C2089" s="58">
        <v>1757682896439</v>
      </c>
      <c r="D2089" s="58" t="s">
        <v>4234</v>
      </c>
      <c r="E2089" s="58" t="s">
        <v>520</v>
      </c>
      <c r="F2089" s="58" t="s">
        <v>521</v>
      </c>
    </row>
    <row r="2090" spans="2:6" x14ac:dyDescent="0.3">
      <c r="B2090" s="58" t="s">
        <v>426</v>
      </c>
      <c r="C2090" s="58">
        <v>1757682900458</v>
      </c>
      <c r="D2090" s="58" t="s">
        <v>4235</v>
      </c>
      <c r="E2090" s="58" t="s">
        <v>428</v>
      </c>
      <c r="F2090" s="58" t="s">
        <v>439</v>
      </c>
    </row>
    <row r="2091" spans="2:6" x14ac:dyDescent="0.3">
      <c r="B2091" s="58" t="s">
        <v>4225</v>
      </c>
      <c r="C2091" s="58">
        <v>1757682901326</v>
      </c>
      <c r="D2091" s="58" t="s">
        <v>4236</v>
      </c>
      <c r="E2091" s="58" t="s">
        <v>525</v>
      </c>
      <c r="F2091" s="58" t="s">
        <v>526</v>
      </c>
    </row>
    <row r="2092" spans="2:6" x14ac:dyDescent="0.3">
      <c r="B2092" s="58" t="s">
        <v>426</v>
      </c>
      <c r="C2092" s="58">
        <v>1757682915900</v>
      </c>
      <c r="D2092" s="58" t="s">
        <v>4237</v>
      </c>
      <c r="E2092" s="58" t="s">
        <v>428</v>
      </c>
      <c r="F2092" s="58" t="s">
        <v>429</v>
      </c>
    </row>
    <row r="2093" spans="2:6" x14ac:dyDescent="0.3">
      <c r="B2093" s="58" t="s">
        <v>4225</v>
      </c>
      <c r="C2093" s="58">
        <v>1757682919606</v>
      </c>
      <c r="D2093" s="58" t="s">
        <v>4238</v>
      </c>
      <c r="E2093" s="58" t="s">
        <v>424</v>
      </c>
      <c r="F2093" s="58" t="s">
        <v>441</v>
      </c>
    </row>
    <row r="2094" spans="2:6" x14ac:dyDescent="0.3">
      <c r="B2094" s="58" t="s">
        <v>4225</v>
      </c>
      <c r="C2094" s="58">
        <v>1757682921450</v>
      </c>
      <c r="D2094" s="58" t="s">
        <v>4239</v>
      </c>
      <c r="E2094" s="58" t="s">
        <v>520</v>
      </c>
      <c r="F2094" s="58" t="s">
        <v>2258</v>
      </c>
    </row>
    <row r="2095" spans="2:6" x14ac:dyDescent="0.3">
      <c r="B2095" s="58" t="s">
        <v>426</v>
      </c>
      <c r="C2095" s="58">
        <v>1757682931374</v>
      </c>
      <c r="D2095" s="58" t="s">
        <v>4240</v>
      </c>
      <c r="E2095" s="58" t="s">
        <v>428</v>
      </c>
      <c r="F2095" s="58" t="s">
        <v>431</v>
      </c>
    </row>
    <row r="2096" spans="2:6" x14ac:dyDescent="0.3">
      <c r="B2096" s="58" t="s">
        <v>426</v>
      </c>
      <c r="C2096" s="58">
        <v>1757682947552</v>
      </c>
      <c r="D2096" s="58" t="s">
        <v>4241</v>
      </c>
      <c r="E2096" s="58" t="s">
        <v>428</v>
      </c>
      <c r="F2096" s="58" t="s">
        <v>538</v>
      </c>
    </row>
    <row r="2097" spans="2:6" x14ac:dyDescent="0.3">
      <c r="B2097" s="58" t="s">
        <v>426</v>
      </c>
      <c r="C2097" s="58">
        <v>1757682965257</v>
      </c>
      <c r="D2097" s="58" t="s">
        <v>4242</v>
      </c>
      <c r="E2097" s="58" t="s">
        <v>428</v>
      </c>
      <c r="F2097" s="58" t="s">
        <v>672</v>
      </c>
    </row>
    <row r="2098" spans="2:6" x14ac:dyDescent="0.3">
      <c r="B2098" s="58" t="s">
        <v>4225</v>
      </c>
      <c r="C2098" s="58">
        <v>1757682965308</v>
      </c>
      <c r="D2098" s="58" t="s">
        <v>4243</v>
      </c>
      <c r="E2098" s="58" t="s">
        <v>1438</v>
      </c>
      <c r="F2098" s="58" t="s">
        <v>4244</v>
      </c>
    </row>
    <row r="2099" spans="2:6" x14ac:dyDescent="0.3">
      <c r="B2099" s="58" t="s">
        <v>426</v>
      </c>
      <c r="C2099" s="58">
        <v>1757682979951</v>
      </c>
      <c r="D2099" s="58" t="s">
        <v>4245</v>
      </c>
      <c r="E2099" s="58" t="s">
        <v>428</v>
      </c>
      <c r="F2099" s="58" t="s">
        <v>453</v>
      </c>
    </row>
    <row r="2100" spans="2:6" x14ac:dyDescent="0.3">
      <c r="B2100" s="58" t="s">
        <v>4225</v>
      </c>
      <c r="C2100" s="58">
        <v>1757682980595</v>
      </c>
      <c r="D2100" s="58" t="s">
        <v>4246</v>
      </c>
      <c r="E2100" s="58" t="s">
        <v>1438</v>
      </c>
      <c r="F2100" s="58" t="s">
        <v>4247</v>
      </c>
    </row>
    <row r="2101" spans="2:6" x14ac:dyDescent="0.3">
      <c r="B2101" s="58" t="s">
        <v>426</v>
      </c>
      <c r="C2101" s="58">
        <v>1757682996804</v>
      </c>
      <c r="D2101" s="58" t="s">
        <v>4248</v>
      </c>
      <c r="E2101" s="58" t="s">
        <v>428</v>
      </c>
      <c r="F2101" s="58" t="s">
        <v>523</v>
      </c>
    </row>
    <row r="2102" spans="2:6" x14ac:dyDescent="0.3">
      <c r="B2102" s="58" t="s">
        <v>426</v>
      </c>
      <c r="C2102" s="58">
        <v>1757683011520</v>
      </c>
      <c r="D2102" s="58" t="s">
        <v>4249</v>
      </c>
      <c r="E2102" s="58" t="s">
        <v>428</v>
      </c>
      <c r="F2102" s="58" t="s">
        <v>447</v>
      </c>
    </row>
    <row r="2103" spans="2:6" x14ac:dyDescent="0.3">
      <c r="B2103" s="58" t="s">
        <v>4225</v>
      </c>
      <c r="C2103" s="58">
        <v>1757683026018</v>
      </c>
      <c r="D2103" s="58" t="s">
        <v>4250</v>
      </c>
      <c r="E2103" s="58" t="s">
        <v>525</v>
      </c>
      <c r="F2103" s="58" t="s">
        <v>2264</v>
      </c>
    </row>
    <row r="2104" spans="2:6" x14ac:dyDescent="0.3">
      <c r="B2104" s="58" t="s">
        <v>4225</v>
      </c>
      <c r="C2104" s="58">
        <v>1757683028765</v>
      </c>
      <c r="D2104" s="58" t="s">
        <v>4251</v>
      </c>
      <c r="E2104" s="58" t="s">
        <v>424</v>
      </c>
      <c r="F2104" s="58" t="s">
        <v>433</v>
      </c>
    </row>
    <row r="2105" spans="2:6" x14ac:dyDescent="0.3">
      <c r="B2105" s="58" t="s">
        <v>426</v>
      </c>
      <c r="C2105" s="58">
        <v>1757683032808</v>
      </c>
      <c r="D2105" s="58" t="s">
        <v>4252</v>
      </c>
      <c r="E2105" s="58" t="s">
        <v>428</v>
      </c>
      <c r="F2105" s="58" t="s">
        <v>455</v>
      </c>
    </row>
    <row r="2106" spans="2:6" x14ac:dyDescent="0.3">
      <c r="B2106" s="58" t="s">
        <v>4225</v>
      </c>
      <c r="C2106" s="58">
        <v>1757683046140</v>
      </c>
      <c r="D2106" s="58" t="s">
        <v>4253</v>
      </c>
      <c r="E2106" s="58" t="s">
        <v>520</v>
      </c>
      <c r="F2106" s="58" t="s">
        <v>2258</v>
      </c>
    </row>
    <row r="2107" spans="2:6" x14ac:dyDescent="0.3">
      <c r="B2107" s="58" t="s">
        <v>4225</v>
      </c>
      <c r="C2107" s="58">
        <v>1757683061524</v>
      </c>
      <c r="D2107" s="58" t="s">
        <v>4254</v>
      </c>
      <c r="E2107" s="58" t="s">
        <v>525</v>
      </c>
      <c r="F2107" s="58" t="s">
        <v>2264</v>
      </c>
    </row>
    <row r="2108" spans="2:6" x14ac:dyDescent="0.3">
      <c r="B2108" s="58" t="s">
        <v>4225</v>
      </c>
      <c r="C2108" s="58">
        <v>1757683081643</v>
      </c>
      <c r="D2108" s="58" t="s">
        <v>4255</v>
      </c>
      <c r="E2108" s="58" t="s">
        <v>520</v>
      </c>
      <c r="F2108" s="58" t="s">
        <v>2268</v>
      </c>
    </row>
    <row r="2109" spans="2:6" x14ac:dyDescent="0.3">
      <c r="B2109" s="58" t="s">
        <v>4225</v>
      </c>
      <c r="C2109" s="58">
        <v>1757683104165</v>
      </c>
      <c r="D2109" s="58" t="s">
        <v>4256</v>
      </c>
      <c r="E2109" s="58" t="s">
        <v>525</v>
      </c>
      <c r="F2109" s="58" t="s">
        <v>2270</v>
      </c>
    </row>
    <row r="2110" spans="2:6" x14ac:dyDescent="0.3">
      <c r="B2110" s="58" t="s">
        <v>4225</v>
      </c>
      <c r="C2110" s="58">
        <v>1757683107350</v>
      </c>
      <c r="D2110" s="58" t="s">
        <v>4257</v>
      </c>
      <c r="E2110" s="58" t="s">
        <v>424</v>
      </c>
      <c r="F2110" s="58" t="s">
        <v>457</v>
      </c>
    </row>
    <row r="2111" spans="2:6" x14ac:dyDescent="0.3">
      <c r="B2111" s="58" t="s">
        <v>4225</v>
      </c>
      <c r="C2111" s="58">
        <v>1757683124270</v>
      </c>
      <c r="D2111" s="58" t="s">
        <v>4258</v>
      </c>
      <c r="E2111" s="58" t="s">
        <v>520</v>
      </c>
      <c r="F2111" s="58" t="s">
        <v>559</v>
      </c>
    </row>
    <row r="2112" spans="2:6" x14ac:dyDescent="0.3">
      <c r="B2112" s="58" t="s">
        <v>4225</v>
      </c>
      <c r="C2112" s="58">
        <v>1757683128532</v>
      </c>
      <c r="D2112" s="58" t="s">
        <v>4259</v>
      </c>
      <c r="E2112" s="58" t="s">
        <v>525</v>
      </c>
      <c r="F2112" s="58" t="s">
        <v>561</v>
      </c>
    </row>
    <row r="2113" spans="1:6" x14ac:dyDescent="0.3">
      <c r="B2113" s="58" t="s">
        <v>4225</v>
      </c>
      <c r="C2113" s="58">
        <v>1757683129883</v>
      </c>
      <c r="D2113" s="58" t="s">
        <v>4260</v>
      </c>
      <c r="E2113" s="58" t="s">
        <v>424</v>
      </c>
      <c r="F2113" s="58" t="s">
        <v>459</v>
      </c>
    </row>
    <row r="2114" spans="1:6" x14ac:dyDescent="0.3">
      <c r="B2114" s="58" t="s">
        <v>4225</v>
      </c>
      <c r="C2114" s="58">
        <v>1757683131589</v>
      </c>
      <c r="D2114" s="58" t="s">
        <v>4261</v>
      </c>
      <c r="E2114" s="58" t="s">
        <v>424</v>
      </c>
      <c r="F2114" s="58" t="s">
        <v>461</v>
      </c>
    </row>
    <row r="2115" spans="1:6" x14ac:dyDescent="0.3">
      <c r="B2115" s="58" t="s">
        <v>4225</v>
      </c>
      <c r="C2115" s="58">
        <v>1757683133017</v>
      </c>
      <c r="D2115" s="58" t="s">
        <v>4262</v>
      </c>
      <c r="E2115" s="58" t="s">
        <v>424</v>
      </c>
      <c r="F2115" s="58" t="s">
        <v>449</v>
      </c>
    </row>
    <row r="2116" spans="1:6" x14ac:dyDescent="0.3">
      <c r="B2116" s="58" t="s">
        <v>4225</v>
      </c>
      <c r="C2116" s="58">
        <v>1757683133851</v>
      </c>
      <c r="D2116" s="58" t="s">
        <v>4263</v>
      </c>
      <c r="E2116" s="58" t="s">
        <v>424</v>
      </c>
      <c r="F2116" s="58" t="s">
        <v>451</v>
      </c>
    </row>
    <row r="2117" spans="1:6" x14ac:dyDescent="0.3">
      <c r="B2117" s="58" t="s">
        <v>4225</v>
      </c>
      <c r="C2117" s="58">
        <v>1757683134920</v>
      </c>
      <c r="D2117" s="58" t="s">
        <v>4264</v>
      </c>
      <c r="E2117" s="58" t="s">
        <v>463</v>
      </c>
      <c r="F2117" s="58" t="s">
        <v>464</v>
      </c>
    </row>
    <row r="2118" spans="1:6" ht="21" x14ac:dyDescent="0.4">
      <c r="A2118" s="69" t="s">
        <v>54</v>
      </c>
      <c r="B2118" s="63" t="s">
        <v>4420</v>
      </c>
      <c r="C2118" s="63">
        <v>1757686574780</v>
      </c>
      <c r="D2118" s="63" t="s">
        <v>4421</v>
      </c>
      <c r="E2118" s="63" t="s">
        <v>416</v>
      </c>
      <c r="F2118" s="63" t="s">
        <v>492</v>
      </c>
    </row>
    <row r="2119" spans="1:6" x14ac:dyDescent="0.3">
      <c r="B2119" s="63" t="s">
        <v>4420</v>
      </c>
      <c r="C2119" s="63">
        <v>1757686589192</v>
      </c>
      <c r="D2119" s="63" t="s">
        <v>4422</v>
      </c>
      <c r="E2119" s="63" t="s">
        <v>419</v>
      </c>
      <c r="F2119" s="63" t="s">
        <v>420</v>
      </c>
    </row>
    <row r="2120" spans="1:6" x14ac:dyDescent="0.3">
      <c r="B2120" s="63" t="s">
        <v>4420</v>
      </c>
      <c r="C2120" s="63">
        <v>1757686609353</v>
      </c>
      <c r="D2120" s="63" t="s">
        <v>4423</v>
      </c>
      <c r="E2120" s="63" t="s">
        <v>389</v>
      </c>
      <c r="F2120" s="63" t="s">
        <v>406</v>
      </c>
    </row>
    <row r="2121" spans="1:6" x14ac:dyDescent="0.3">
      <c r="B2121" s="63" t="s">
        <v>4420</v>
      </c>
      <c r="C2121" s="63">
        <v>1757686610757</v>
      </c>
      <c r="D2121" s="63" t="s">
        <v>4424</v>
      </c>
      <c r="E2121" s="63" t="s">
        <v>389</v>
      </c>
      <c r="F2121" s="63" t="s">
        <v>2737</v>
      </c>
    </row>
    <row r="2122" spans="1:6" x14ac:dyDescent="0.3">
      <c r="B2122" s="63" t="s">
        <v>4420</v>
      </c>
      <c r="C2122" s="63">
        <v>1757686611385</v>
      </c>
      <c r="D2122" s="63" t="s">
        <v>4425</v>
      </c>
      <c r="E2122" s="63" t="s">
        <v>389</v>
      </c>
      <c r="F2122" s="63" t="s">
        <v>2731</v>
      </c>
    </row>
    <row r="2123" spans="1:6" x14ac:dyDescent="0.3">
      <c r="B2123" s="63" t="s">
        <v>4420</v>
      </c>
      <c r="C2123" s="63">
        <v>1757686640808</v>
      </c>
      <c r="D2123" s="63" t="s">
        <v>4426</v>
      </c>
      <c r="E2123" s="63" t="s">
        <v>389</v>
      </c>
      <c r="F2123" s="63" t="s">
        <v>396</v>
      </c>
    </row>
    <row r="2124" spans="1:6" x14ac:dyDescent="0.3">
      <c r="B2124" s="63" t="s">
        <v>4420</v>
      </c>
      <c r="C2124" s="63">
        <v>1757686641264</v>
      </c>
      <c r="D2124" s="63" t="s">
        <v>4427</v>
      </c>
      <c r="E2124" s="63" t="s">
        <v>389</v>
      </c>
      <c r="F2124" s="63" t="s">
        <v>398</v>
      </c>
    </row>
    <row r="2125" spans="1:6" x14ac:dyDescent="0.3">
      <c r="B2125" s="63" t="s">
        <v>4420</v>
      </c>
      <c r="C2125" s="63">
        <v>1757686642135</v>
      </c>
      <c r="D2125" s="63" t="s">
        <v>4428</v>
      </c>
      <c r="E2125" s="63" t="s">
        <v>389</v>
      </c>
      <c r="F2125" s="63" t="s">
        <v>400</v>
      </c>
    </row>
    <row r="2126" spans="1:6" x14ac:dyDescent="0.3">
      <c r="B2126" s="63" t="s">
        <v>4420</v>
      </c>
      <c r="C2126" s="63">
        <v>1757686644290</v>
      </c>
      <c r="D2126" s="63" t="s">
        <v>4429</v>
      </c>
      <c r="E2126" s="63" t="s">
        <v>389</v>
      </c>
      <c r="F2126" s="63" t="s">
        <v>390</v>
      </c>
    </row>
    <row r="2127" spans="1:6" x14ac:dyDescent="0.3">
      <c r="B2127" s="63" t="s">
        <v>4420</v>
      </c>
      <c r="C2127" s="63">
        <v>1757686644896</v>
      </c>
      <c r="D2127" s="63" t="s">
        <v>4430</v>
      </c>
      <c r="E2127" s="63" t="s">
        <v>389</v>
      </c>
      <c r="F2127" s="63" t="s">
        <v>392</v>
      </c>
    </row>
    <row r="2128" spans="1:6" x14ac:dyDescent="0.3">
      <c r="B2128" s="63" t="s">
        <v>4420</v>
      </c>
      <c r="C2128" s="63">
        <v>1757686649193</v>
      </c>
      <c r="D2128" s="63" t="s">
        <v>4431</v>
      </c>
      <c r="E2128" s="63" t="s">
        <v>389</v>
      </c>
      <c r="F2128" s="63" t="s">
        <v>508</v>
      </c>
    </row>
    <row r="2129" spans="2:6" x14ac:dyDescent="0.3">
      <c r="B2129" s="63" t="s">
        <v>4420</v>
      </c>
      <c r="C2129" s="63">
        <v>1757686650327</v>
      </c>
      <c r="D2129" s="63" t="s">
        <v>4432</v>
      </c>
      <c r="E2129" s="63" t="s">
        <v>389</v>
      </c>
      <c r="F2129" s="63" t="s">
        <v>3238</v>
      </c>
    </row>
    <row r="2130" spans="2:6" x14ac:dyDescent="0.3">
      <c r="B2130" s="63" t="s">
        <v>4420</v>
      </c>
      <c r="C2130" s="63">
        <v>1757686653588</v>
      </c>
      <c r="D2130" s="63" t="s">
        <v>4433</v>
      </c>
      <c r="E2130" s="63" t="s">
        <v>389</v>
      </c>
      <c r="F2130" s="63" t="s">
        <v>3240</v>
      </c>
    </row>
    <row r="2131" spans="2:6" x14ac:dyDescent="0.3">
      <c r="B2131" s="63" t="s">
        <v>4420</v>
      </c>
      <c r="C2131" s="63">
        <v>1757686657675</v>
      </c>
      <c r="D2131" s="63" t="s">
        <v>4434</v>
      </c>
      <c r="E2131" s="63" t="s">
        <v>389</v>
      </c>
      <c r="F2131" s="63" t="s">
        <v>495</v>
      </c>
    </row>
    <row r="2132" spans="2:6" x14ac:dyDescent="0.3">
      <c r="B2132" s="63" t="s">
        <v>4420</v>
      </c>
      <c r="C2132" s="63">
        <v>1757686657770</v>
      </c>
      <c r="D2132" s="63" t="s">
        <v>4435</v>
      </c>
      <c r="E2132" s="63" t="s">
        <v>389</v>
      </c>
      <c r="F2132" s="63" t="s">
        <v>495</v>
      </c>
    </row>
    <row r="2133" spans="2:6" x14ac:dyDescent="0.3">
      <c r="B2133" s="63" t="s">
        <v>4420</v>
      </c>
      <c r="C2133" s="63">
        <v>1757686667755</v>
      </c>
      <c r="D2133" s="63" t="s">
        <v>4436</v>
      </c>
      <c r="E2133" s="63" t="s">
        <v>389</v>
      </c>
      <c r="F2133" s="63" t="s">
        <v>410</v>
      </c>
    </row>
    <row r="2134" spans="2:6" x14ac:dyDescent="0.3">
      <c r="B2134" s="63" t="s">
        <v>4420</v>
      </c>
      <c r="C2134" s="63">
        <v>1757686671703</v>
      </c>
      <c r="D2134" s="63" t="s">
        <v>4437</v>
      </c>
      <c r="E2134" s="63" t="s">
        <v>389</v>
      </c>
      <c r="F2134" s="63" t="s">
        <v>414</v>
      </c>
    </row>
    <row r="2135" spans="2:6" x14ac:dyDescent="0.3">
      <c r="B2135" s="63" t="s">
        <v>4420</v>
      </c>
      <c r="C2135" s="63">
        <v>1757686679525</v>
      </c>
      <c r="D2135" s="63" t="s">
        <v>4438</v>
      </c>
      <c r="E2135" s="63" t="s">
        <v>422</v>
      </c>
      <c r="F2135" s="63" t="s">
        <v>420</v>
      </c>
    </row>
    <row r="2136" spans="2:6" x14ac:dyDescent="0.3">
      <c r="B2136" s="63" t="s">
        <v>4420</v>
      </c>
      <c r="C2136" s="63">
        <v>1757686688724</v>
      </c>
      <c r="D2136" s="63" t="s">
        <v>4439</v>
      </c>
      <c r="E2136" s="63" t="s">
        <v>424</v>
      </c>
      <c r="F2136" s="63" t="s">
        <v>518</v>
      </c>
    </row>
    <row r="2137" spans="2:6" x14ac:dyDescent="0.3">
      <c r="B2137" s="63" t="s">
        <v>426</v>
      </c>
      <c r="C2137" s="63">
        <v>1757686695039</v>
      </c>
      <c r="D2137" s="63" t="s">
        <v>4440</v>
      </c>
      <c r="E2137" s="63" t="s">
        <v>428</v>
      </c>
      <c r="F2137" s="63" t="s">
        <v>435</v>
      </c>
    </row>
    <row r="2138" spans="2:6" x14ac:dyDescent="0.3">
      <c r="B2138" s="63" t="s">
        <v>4420</v>
      </c>
      <c r="C2138" s="63">
        <v>1757686699725</v>
      </c>
      <c r="D2138" s="63" t="s">
        <v>4441</v>
      </c>
      <c r="E2138" s="63" t="s">
        <v>520</v>
      </c>
      <c r="F2138" s="63" t="s">
        <v>662</v>
      </c>
    </row>
    <row r="2139" spans="2:6" x14ac:dyDescent="0.3">
      <c r="B2139" s="63" t="s">
        <v>4420</v>
      </c>
      <c r="C2139" s="63">
        <v>1757686705550</v>
      </c>
      <c r="D2139" s="63" t="s">
        <v>4442</v>
      </c>
      <c r="E2139" s="63" t="s">
        <v>525</v>
      </c>
      <c r="F2139" s="63" t="s">
        <v>663</v>
      </c>
    </row>
    <row r="2140" spans="2:6" x14ac:dyDescent="0.3">
      <c r="B2140" s="63" t="s">
        <v>426</v>
      </c>
      <c r="C2140" s="63">
        <v>1757686709772</v>
      </c>
      <c r="D2140" s="63" t="s">
        <v>4443</v>
      </c>
      <c r="E2140" s="63" t="s">
        <v>428</v>
      </c>
      <c r="F2140" s="63" t="s">
        <v>437</v>
      </c>
    </row>
    <row r="2141" spans="2:6" x14ac:dyDescent="0.3">
      <c r="B2141" s="63" t="s">
        <v>4420</v>
      </c>
      <c r="C2141" s="63">
        <v>1757686709952</v>
      </c>
      <c r="D2141" s="63" t="s">
        <v>4444</v>
      </c>
      <c r="E2141" s="63" t="s">
        <v>424</v>
      </c>
      <c r="F2141" s="63" t="s">
        <v>457</v>
      </c>
    </row>
    <row r="2142" spans="2:6" x14ac:dyDescent="0.3">
      <c r="B2142" s="63" t="s">
        <v>4420</v>
      </c>
      <c r="C2142" s="63">
        <v>1757686710655</v>
      </c>
      <c r="D2142" s="63" t="s">
        <v>4445</v>
      </c>
      <c r="E2142" s="63" t="s">
        <v>424</v>
      </c>
      <c r="F2142" s="63" t="s">
        <v>459</v>
      </c>
    </row>
    <row r="2143" spans="2:6" x14ac:dyDescent="0.3">
      <c r="B2143" s="63" t="s">
        <v>4420</v>
      </c>
      <c r="C2143" s="63">
        <v>1757686725664</v>
      </c>
      <c r="D2143" s="63" t="s">
        <v>4446</v>
      </c>
      <c r="E2143" s="63" t="s">
        <v>520</v>
      </c>
      <c r="F2143" s="63" t="s">
        <v>1281</v>
      </c>
    </row>
    <row r="2144" spans="2:6" x14ac:dyDescent="0.3">
      <c r="B2144" s="63" t="s">
        <v>426</v>
      </c>
      <c r="C2144" s="63">
        <v>1757686725993</v>
      </c>
      <c r="D2144" s="63" t="s">
        <v>4447</v>
      </c>
      <c r="E2144" s="63" t="s">
        <v>428</v>
      </c>
      <c r="F2144" s="63" t="s">
        <v>439</v>
      </c>
    </row>
    <row r="2145" spans="2:6" x14ac:dyDescent="0.3">
      <c r="B2145" s="63" t="s">
        <v>4420</v>
      </c>
      <c r="C2145" s="63">
        <v>1757686733615</v>
      </c>
      <c r="D2145" s="63" t="s">
        <v>4448</v>
      </c>
      <c r="E2145" s="63" t="s">
        <v>525</v>
      </c>
      <c r="F2145" s="63" t="s">
        <v>1283</v>
      </c>
    </row>
    <row r="2146" spans="2:6" x14ac:dyDescent="0.3">
      <c r="B2146" s="63" t="s">
        <v>426</v>
      </c>
      <c r="C2146" s="63">
        <v>1757686743677</v>
      </c>
      <c r="D2146" s="63" t="s">
        <v>4449</v>
      </c>
      <c r="E2146" s="63" t="s">
        <v>428</v>
      </c>
      <c r="F2146" s="63" t="s">
        <v>429</v>
      </c>
    </row>
    <row r="2147" spans="2:6" x14ac:dyDescent="0.3">
      <c r="B2147" s="63" t="s">
        <v>4420</v>
      </c>
      <c r="C2147" s="63">
        <v>1757686749638</v>
      </c>
      <c r="D2147" s="63" t="s">
        <v>4450</v>
      </c>
      <c r="E2147" s="63" t="s">
        <v>424</v>
      </c>
      <c r="F2147" s="63" t="s">
        <v>461</v>
      </c>
    </row>
    <row r="2148" spans="2:6" x14ac:dyDescent="0.3">
      <c r="B2148" s="63" t="s">
        <v>4420</v>
      </c>
      <c r="C2148" s="63">
        <v>1757686753766</v>
      </c>
      <c r="D2148" s="63" t="s">
        <v>4451</v>
      </c>
      <c r="E2148" s="63" t="s">
        <v>520</v>
      </c>
      <c r="F2148" s="63" t="s">
        <v>1409</v>
      </c>
    </row>
    <row r="2149" spans="2:6" x14ac:dyDescent="0.3">
      <c r="B2149" s="63" t="s">
        <v>426</v>
      </c>
      <c r="C2149" s="63">
        <v>1757686761350</v>
      </c>
      <c r="D2149" s="63" t="s">
        <v>4452</v>
      </c>
      <c r="E2149" s="63" t="s">
        <v>428</v>
      </c>
      <c r="F2149" s="63" t="s">
        <v>431</v>
      </c>
    </row>
    <row r="2150" spans="2:6" x14ac:dyDescent="0.3">
      <c r="B2150" s="63" t="s">
        <v>4420</v>
      </c>
      <c r="C2150" s="63">
        <v>1757686766558</v>
      </c>
      <c r="D2150" s="63" t="s">
        <v>4453</v>
      </c>
      <c r="E2150" s="63" t="s">
        <v>525</v>
      </c>
      <c r="F2150" s="63" t="s">
        <v>1413</v>
      </c>
    </row>
    <row r="2151" spans="2:6" x14ac:dyDescent="0.3">
      <c r="B2151" s="63" t="s">
        <v>4420</v>
      </c>
      <c r="C2151" s="63">
        <v>1757686776440</v>
      </c>
      <c r="D2151" s="63" t="s">
        <v>4454</v>
      </c>
      <c r="E2151" s="63" t="s">
        <v>424</v>
      </c>
      <c r="F2151" s="63" t="s">
        <v>441</v>
      </c>
    </row>
    <row r="2152" spans="2:6" x14ac:dyDescent="0.3">
      <c r="B2152" s="63" t="s">
        <v>426</v>
      </c>
      <c r="C2152" s="63">
        <v>1757686776840</v>
      </c>
      <c r="D2152" s="63" t="s">
        <v>4455</v>
      </c>
      <c r="E2152" s="63" t="s">
        <v>428</v>
      </c>
      <c r="F2152" s="63" t="s">
        <v>538</v>
      </c>
    </row>
    <row r="2153" spans="2:6" x14ac:dyDescent="0.3">
      <c r="B2153" s="63" t="s">
        <v>4420</v>
      </c>
      <c r="C2153" s="63">
        <v>1757686784480</v>
      </c>
      <c r="D2153" s="63" t="s">
        <v>4456</v>
      </c>
      <c r="E2153" s="63" t="s">
        <v>424</v>
      </c>
      <c r="F2153" s="63" t="s">
        <v>433</v>
      </c>
    </row>
    <row r="2154" spans="2:6" x14ac:dyDescent="0.3">
      <c r="B2154" s="63" t="s">
        <v>4420</v>
      </c>
      <c r="C2154" s="63">
        <v>1757686786685</v>
      </c>
      <c r="D2154" s="63" t="s">
        <v>4457</v>
      </c>
      <c r="E2154" s="63" t="s">
        <v>520</v>
      </c>
      <c r="F2154" s="63" t="s">
        <v>662</v>
      </c>
    </row>
    <row r="2155" spans="2:6" x14ac:dyDescent="0.3">
      <c r="B2155" s="63" t="s">
        <v>426</v>
      </c>
      <c r="C2155" s="63">
        <v>1757686792292</v>
      </c>
      <c r="D2155" s="63" t="s">
        <v>4458</v>
      </c>
      <c r="E2155" s="63" t="s">
        <v>428</v>
      </c>
      <c r="F2155" s="63" t="s">
        <v>447</v>
      </c>
    </row>
    <row r="2156" spans="2:6" x14ac:dyDescent="0.3">
      <c r="B2156" s="63" t="s">
        <v>4420</v>
      </c>
      <c r="C2156" s="63">
        <v>1757686794729</v>
      </c>
      <c r="D2156" s="63" t="s">
        <v>4459</v>
      </c>
      <c r="E2156" s="63" t="s">
        <v>525</v>
      </c>
      <c r="F2156" s="63" t="s">
        <v>663</v>
      </c>
    </row>
    <row r="2157" spans="2:6" x14ac:dyDescent="0.3">
      <c r="B2157" s="63" t="s">
        <v>4420</v>
      </c>
      <c r="C2157" s="63">
        <v>1757686797205</v>
      </c>
      <c r="D2157" s="63" t="s">
        <v>4460</v>
      </c>
      <c r="E2157" s="63" t="s">
        <v>424</v>
      </c>
      <c r="F2157" s="63" t="s">
        <v>445</v>
      </c>
    </row>
    <row r="2158" spans="2:6" x14ac:dyDescent="0.3">
      <c r="B2158" s="63" t="s">
        <v>4420</v>
      </c>
      <c r="C2158" s="63">
        <v>1757686804723</v>
      </c>
      <c r="D2158" s="63" t="s">
        <v>4461</v>
      </c>
      <c r="E2158" s="63" t="s">
        <v>424</v>
      </c>
      <c r="F2158" s="63" t="s">
        <v>449</v>
      </c>
    </row>
    <row r="2159" spans="2:6" x14ac:dyDescent="0.3">
      <c r="B2159" s="63" t="s">
        <v>426</v>
      </c>
      <c r="C2159" s="63">
        <v>1757686809190</v>
      </c>
      <c r="D2159" s="63" t="s">
        <v>4462</v>
      </c>
      <c r="E2159" s="63" t="s">
        <v>428</v>
      </c>
      <c r="F2159" s="63" t="s">
        <v>523</v>
      </c>
    </row>
    <row r="2160" spans="2:6" x14ac:dyDescent="0.3">
      <c r="B2160" s="63" t="s">
        <v>4420</v>
      </c>
      <c r="C2160" s="63">
        <v>1757686810635</v>
      </c>
      <c r="D2160" s="63" t="s">
        <v>4463</v>
      </c>
      <c r="E2160" s="63" t="s">
        <v>424</v>
      </c>
      <c r="F2160" s="63" t="s">
        <v>451</v>
      </c>
    </row>
    <row r="2161" spans="2:6" x14ac:dyDescent="0.3">
      <c r="B2161" s="63" t="s">
        <v>4420</v>
      </c>
      <c r="C2161" s="63">
        <v>1757686814860</v>
      </c>
      <c r="D2161" s="63" t="s">
        <v>4464</v>
      </c>
      <c r="E2161" s="63" t="s">
        <v>520</v>
      </c>
      <c r="F2161" s="63" t="s">
        <v>1532</v>
      </c>
    </row>
    <row r="2162" spans="2:6" x14ac:dyDescent="0.3">
      <c r="B2162" s="63" t="s">
        <v>4420</v>
      </c>
      <c r="C2162" s="63">
        <v>1757686819951</v>
      </c>
      <c r="D2162" s="63" t="s">
        <v>4465</v>
      </c>
      <c r="E2162" s="63" t="s">
        <v>525</v>
      </c>
      <c r="F2162" s="63" t="s">
        <v>1535</v>
      </c>
    </row>
    <row r="2163" spans="2:6" x14ac:dyDescent="0.3">
      <c r="B2163" s="63" t="s">
        <v>4420</v>
      </c>
      <c r="C2163" s="63">
        <v>1757686826416</v>
      </c>
      <c r="D2163" s="63" t="s">
        <v>4466</v>
      </c>
      <c r="E2163" s="63" t="s">
        <v>463</v>
      </c>
      <c r="F2163" s="63" t="s">
        <v>464</v>
      </c>
    </row>
    <row r="2164" spans="2:6" x14ac:dyDescent="0.3">
      <c r="B2164" s="63" t="s">
        <v>426</v>
      </c>
      <c r="C2164" s="63">
        <v>1757686830471</v>
      </c>
      <c r="D2164" s="63" t="s">
        <v>4467</v>
      </c>
      <c r="E2164" s="63" t="s">
        <v>428</v>
      </c>
      <c r="F2164" s="63" t="s">
        <v>455</v>
      </c>
    </row>
    <row r="2165" spans="2:6" x14ac:dyDescent="0.3">
      <c r="B2165" s="58" t="s">
        <v>4468</v>
      </c>
      <c r="C2165" s="58">
        <v>1757686834669</v>
      </c>
      <c r="D2165" s="58" t="s">
        <v>4469</v>
      </c>
      <c r="E2165" s="58" t="s">
        <v>416</v>
      </c>
      <c r="F2165" s="58" t="s">
        <v>573</v>
      </c>
    </row>
    <row r="2166" spans="2:6" x14ac:dyDescent="0.3">
      <c r="B2166" s="58" t="s">
        <v>4468</v>
      </c>
      <c r="C2166" s="58">
        <v>1757686834835</v>
      </c>
      <c r="D2166" s="58" t="s">
        <v>4470</v>
      </c>
      <c r="E2166" s="58" t="s">
        <v>468</v>
      </c>
      <c r="F2166" s="58" t="s">
        <v>4471</v>
      </c>
    </row>
    <row r="2167" spans="2:6" x14ac:dyDescent="0.3">
      <c r="B2167" s="58" t="s">
        <v>4468</v>
      </c>
      <c r="C2167" s="58">
        <v>1757686835350</v>
      </c>
      <c r="D2167" s="58" t="s">
        <v>4472</v>
      </c>
      <c r="E2167" s="58" t="s">
        <v>419</v>
      </c>
      <c r="F2167" s="58" t="s">
        <v>420</v>
      </c>
    </row>
    <row r="2168" spans="2:6" x14ac:dyDescent="0.3">
      <c r="B2168" s="58" t="s">
        <v>4468</v>
      </c>
      <c r="C2168" s="58">
        <v>1757686906968</v>
      </c>
      <c r="D2168" s="58" t="s">
        <v>4473</v>
      </c>
      <c r="E2168" s="58" t="s">
        <v>422</v>
      </c>
      <c r="F2168" s="58" t="s">
        <v>420</v>
      </c>
    </row>
    <row r="2169" spans="2:6" x14ac:dyDescent="0.3">
      <c r="B2169" s="58" t="s">
        <v>4468</v>
      </c>
      <c r="C2169" s="58">
        <v>1757686916688</v>
      </c>
      <c r="D2169" s="58" t="s">
        <v>4474</v>
      </c>
      <c r="E2169" s="58" t="s">
        <v>424</v>
      </c>
      <c r="F2169" s="58" t="s">
        <v>518</v>
      </c>
    </row>
    <row r="2170" spans="2:6" x14ac:dyDescent="0.3">
      <c r="B2170" s="58" t="s">
        <v>426</v>
      </c>
      <c r="C2170" s="58">
        <v>1757686922382</v>
      </c>
      <c r="D2170" s="58" t="s">
        <v>4475</v>
      </c>
      <c r="E2170" s="58" t="s">
        <v>428</v>
      </c>
      <c r="F2170" s="58" t="s">
        <v>429</v>
      </c>
    </row>
    <row r="2171" spans="2:6" x14ac:dyDescent="0.3">
      <c r="B2171" s="58" t="s">
        <v>4468</v>
      </c>
      <c r="C2171" s="58">
        <v>1757686927107</v>
      </c>
      <c r="D2171" s="58" t="s">
        <v>4476</v>
      </c>
      <c r="E2171" s="58" t="s">
        <v>520</v>
      </c>
      <c r="F2171" s="58" t="s">
        <v>1975</v>
      </c>
    </row>
    <row r="2172" spans="2:6" x14ac:dyDescent="0.3">
      <c r="B2172" s="58" t="s">
        <v>4468</v>
      </c>
      <c r="C2172" s="58">
        <v>1757686935871</v>
      </c>
      <c r="D2172" s="58" t="s">
        <v>4477</v>
      </c>
      <c r="E2172" s="58" t="s">
        <v>1438</v>
      </c>
      <c r="F2172" s="58" t="s">
        <v>4478</v>
      </c>
    </row>
    <row r="2173" spans="2:6" x14ac:dyDescent="0.3">
      <c r="B2173" s="58" t="s">
        <v>426</v>
      </c>
      <c r="C2173" s="58">
        <v>1757686937104</v>
      </c>
      <c r="D2173" s="58" t="s">
        <v>4479</v>
      </c>
      <c r="E2173" s="58" t="s">
        <v>428</v>
      </c>
      <c r="F2173" s="58" t="s">
        <v>431</v>
      </c>
    </row>
    <row r="2174" spans="2:6" x14ac:dyDescent="0.3">
      <c r="B2174" s="58" t="s">
        <v>4468</v>
      </c>
      <c r="C2174" s="58">
        <v>1757686944979</v>
      </c>
      <c r="D2174" s="58" t="s">
        <v>4480</v>
      </c>
      <c r="E2174" s="58" t="s">
        <v>525</v>
      </c>
      <c r="F2174" s="58" t="s">
        <v>1977</v>
      </c>
    </row>
    <row r="2175" spans="2:6" x14ac:dyDescent="0.3">
      <c r="B2175" s="58" t="s">
        <v>4468</v>
      </c>
      <c r="C2175" s="58">
        <v>1757686952229</v>
      </c>
      <c r="D2175" s="58" t="s">
        <v>4481</v>
      </c>
      <c r="E2175" s="58" t="s">
        <v>424</v>
      </c>
      <c r="F2175" s="58" t="s">
        <v>457</v>
      </c>
    </row>
    <row r="2176" spans="2:6" x14ac:dyDescent="0.3">
      <c r="B2176" s="58" t="s">
        <v>426</v>
      </c>
      <c r="C2176" s="58">
        <v>1757686953291</v>
      </c>
      <c r="D2176" s="58" t="s">
        <v>4482</v>
      </c>
      <c r="E2176" s="58" t="s">
        <v>428</v>
      </c>
      <c r="F2176" s="58" t="s">
        <v>538</v>
      </c>
    </row>
    <row r="2177" spans="2:6" x14ac:dyDescent="0.3">
      <c r="B2177" s="58" t="s">
        <v>4468</v>
      </c>
      <c r="C2177" s="58">
        <v>1757686955600</v>
      </c>
      <c r="D2177" s="58" t="s">
        <v>4483</v>
      </c>
      <c r="E2177" s="58" t="s">
        <v>424</v>
      </c>
      <c r="F2177" s="58" t="s">
        <v>459</v>
      </c>
    </row>
    <row r="2178" spans="2:6" x14ac:dyDescent="0.3">
      <c r="B2178" s="58" t="s">
        <v>4468</v>
      </c>
      <c r="C2178" s="58">
        <v>1757686965096</v>
      </c>
      <c r="D2178" s="58" t="s">
        <v>4484</v>
      </c>
      <c r="E2178" s="58" t="s">
        <v>520</v>
      </c>
      <c r="F2178" s="58" t="s">
        <v>1532</v>
      </c>
    </row>
    <row r="2179" spans="2:6" x14ac:dyDescent="0.3">
      <c r="B2179" s="58" t="s">
        <v>4468</v>
      </c>
      <c r="C2179" s="58">
        <v>1757686972943</v>
      </c>
      <c r="D2179" s="58" t="s">
        <v>4485</v>
      </c>
      <c r="E2179" s="58" t="s">
        <v>525</v>
      </c>
      <c r="F2179" s="58" t="s">
        <v>1535</v>
      </c>
    </row>
    <row r="2180" spans="2:6" x14ac:dyDescent="0.3">
      <c r="B2180" s="58" t="s">
        <v>426</v>
      </c>
      <c r="C2180" s="58">
        <v>1757686973084</v>
      </c>
      <c r="D2180" s="58" t="s">
        <v>4486</v>
      </c>
      <c r="E2180" s="58" t="s">
        <v>428</v>
      </c>
      <c r="F2180" s="58" t="s">
        <v>435</v>
      </c>
    </row>
    <row r="2181" spans="2:6" x14ac:dyDescent="0.3">
      <c r="B2181" s="58" t="s">
        <v>4468</v>
      </c>
      <c r="C2181" s="58">
        <v>1757686974347</v>
      </c>
      <c r="D2181" s="58" t="s">
        <v>4487</v>
      </c>
      <c r="E2181" s="58" t="s">
        <v>424</v>
      </c>
      <c r="F2181" s="58" t="s">
        <v>461</v>
      </c>
    </row>
    <row r="2182" spans="2:6" x14ac:dyDescent="0.3">
      <c r="B2182" s="58" t="s">
        <v>4468</v>
      </c>
      <c r="C2182" s="58">
        <v>1757686984571</v>
      </c>
      <c r="D2182" s="58" t="s">
        <v>4488</v>
      </c>
      <c r="E2182" s="58" t="s">
        <v>424</v>
      </c>
      <c r="F2182" s="58" t="s">
        <v>433</v>
      </c>
    </row>
    <row r="2183" spans="2:6" x14ac:dyDescent="0.3">
      <c r="B2183" s="58" t="s">
        <v>426</v>
      </c>
      <c r="C2183" s="58">
        <v>1757686991436</v>
      </c>
      <c r="D2183" s="58" t="s">
        <v>4489</v>
      </c>
      <c r="E2183" s="58" t="s">
        <v>428</v>
      </c>
      <c r="F2183" s="58" t="s">
        <v>437</v>
      </c>
    </row>
    <row r="2184" spans="2:6" x14ac:dyDescent="0.3">
      <c r="B2184" s="58" t="s">
        <v>4468</v>
      </c>
      <c r="C2184" s="58">
        <v>1757686991516</v>
      </c>
      <c r="D2184" s="58" t="s">
        <v>4490</v>
      </c>
      <c r="E2184" s="58" t="s">
        <v>424</v>
      </c>
      <c r="F2184" s="58" t="s">
        <v>445</v>
      </c>
    </row>
    <row r="2185" spans="2:6" x14ac:dyDescent="0.3">
      <c r="B2185" s="58" t="s">
        <v>4468</v>
      </c>
      <c r="C2185" s="58">
        <v>1757686992992</v>
      </c>
      <c r="D2185" s="58" t="s">
        <v>4491</v>
      </c>
      <c r="E2185" s="58" t="s">
        <v>520</v>
      </c>
      <c r="F2185" s="58" t="s">
        <v>1435</v>
      </c>
    </row>
    <row r="2186" spans="2:6" x14ac:dyDescent="0.3">
      <c r="B2186" s="58" t="s">
        <v>4468</v>
      </c>
      <c r="C2186" s="58">
        <v>1757687004264</v>
      </c>
      <c r="D2186" s="58" t="s">
        <v>4492</v>
      </c>
      <c r="E2186" s="58" t="s">
        <v>525</v>
      </c>
      <c r="F2186" s="58" t="s">
        <v>1443</v>
      </c>
    </row>
    <row r="2187" spans="2:6" x14ac:dyDescent="0.3">
      <c r="B2187" s="58" t="s">
        <v>426</v>
      </c>
      <c r="C2187" s="58">
        <v>1757687009805</v>
      </c>
      <c r="D2187" s="58" t="s">
        <v>4493</v>
      </c>
      <c r="E2187" s="58" t="s">
        <v>428</v>
      </c>
      <c r="F2187" s="58" t="s">
        <v>439</v>
      </c>
    </row>
    <row r="2188" spans="2:6" x14ac:dyDescent="0.3">
      <c r="B2188" s="58" t="s">
        <v>4468</v>
      </c>
      <c r="C2188" s="58">
        <v>1757687016835</v>
      </c>
      <c r="D2188" s="58" t="s">
        <v>4494</v>
      </c>
      <c r="E2188" s="58" t="s">
        <v>424</v>
      </c>
      <c r="F2188" s="58" t="s">
        <v>441</v>
      </c>
    </row>
    <row r="2189" spans="2:6" x14ac:dyDescent="0.3">
      <c r="B2189" s="58" t="s">
        <v>4468</v>
      </c>
      <c r="C2189" s="58">
        <v>1757687024377</v>
      </c>
      <c r="D2189" s="58" t="s">
        <v>4495</v>
      </c>
      <c r="E2189" s="58" t="s">
        <v>520</v>
      </c>
      <c r="F2189" s="58" t="s">
        <v>2258</v>
      </c>
    </row>
    <row r="2190" spans="2:6" x14ac:dyDescent="0.3">
      <c r="B2190" s="58" t="s">
        <v>426</v>
      </c>
      <c r="C2190" s="58">
        <v>1757687024522</v>
      </c>
      <c r="D2190" s="58" t="s">
        <v>4496</v>
      </c>
      <c r="E2190" s="58" t="s">
        <v>428</v>
      </c>
      <c r="F2190" s="58" t="s">
        <v>447</v>
      </c>
    </row>
    <row r="2191" spans="2:6" x14ac:dyDescent="0.3">
      <c r="B2191" s="58" t="s">
        <v>4468</v>
      </c>
      <c r="C2191" s="58">
        <v>1757687030519</v>
      </c>
      <c r="D2191" s="58" t="s">
        <v>4497</v>
      </c>
      <c r="E2191" s="58" t="s">
        <v>525</v>
      </c>
      <c r="F2191" s="58" t="s">
        <v>2264</v>
      </c>
    </row>
    <row r="2192" spans="2:6" x14ac:dyDescent="0.3">
      <c r="B2192" s="58" t="s">
        <v>4468</v>
      </c>
      <c r="C2192" s="58">
        <v>1757687032076</v>
      </c>
      <c r="D2192" s="58" t="s">
        <v>4498</v>
      </c>
      <c r="E2192" s="58" t="s">
        <v>424</v>
      </c>
      <c r="F2192" s="58" t="s">
        <v>449</v>
      </c>
    </row>
    <row r="2193" spans="1:6" x14ac:dyDescent="0.3">
      <c r="B2193" s="58" t="s">
        <v>4468</v>
      </c>
      <c r="C2193" s="58">
        <v>1757687039471</v>
      </c>
      <c r="D2193" s="58" t="s">
        <v>4499</v>
      </c>
      <c r="E2193" s="58" t="s">
        <v>424</v>
      </c>
      <c r="F2193" s="58" t="s">
        <v>451</v>
      </c>
    </row>
    <row r="2194" spans="1:6" x14ac:dyDescent="0.3">
      <c r="B2194" s="58" t="s">
        <v>426</v>
      </c>
      <c r="C2194" s="58">
        <v>1757687041430</v>
      </c>
      <c r="D2194" s="58" t="s">
        <v>4500</v>
      </c>
      <c r="E2194" s="58" t="s">
        <v>428</v>
      </c>
      <c r="F2194" s="58" t="s">
        <v>523</v>
      </c>
    </row>
    <row r="2195" spans="1:6" x14ac:dyDescent="0.3">
      <c r="B2195" s="58" t="s">
        <v>4468</v>
      </c>
      <c r="C2195" s="58">
        <v>1757687050644</v>
      </c>
      <c r="D2195" s="58" t="s">
        <v>4501</v>
      </c>
      <c r="E2195" s="58" t="s">
        <v>520</v>
      </c>
      <c r="F2195" s="58" t="s">
        <v>2258</v>
      </c>
    </row>
    <row r="2196" spans="1:6" x14ac:dyDescent="0.3">
      <c r="B2196" s="58" t="s">
        <v>4468</v>
      </c>
      <c r="C2196" s="58">
        <v>1757687055361</v>
      </c>
      <c r="D2196" s="58" t="s">
        <v>4502</v>
      </c>
      <c r="E2196" s="58" t="s">
        <v>525</v>
      </c>
      <c r="F2196" s="58" t="s">
        <v>2264</v>
      </c>
    </row>
    <row r="2197" spans="1:6" x14ac:dyDescent="0.3">
      <c r="B2197" s="58" t="s">
        <v>4468</v>
      </c>
      <c r="C2197" s="58">
        <v>1757687059161</v>
      </c>
      <c r="D2197" s="58" t="s">
        <v>4503</v>
      </c>
      <c r="E2197" s="58" t="s">
        <v>463</v>
      </c>
      <c r="F2197" s="58" t="s">
        <v>464</v>
      </c>
    </row>
    <row r="2198" spans="1:6" x14ac:dyDescent="0.3">
      <c r="B2198" s="58" t="s">
        <v>426</v>
      </c>
      <c r="C2198" s="58">
        <v>1757687061954</v>
      </c>
      <c r="D2198" s="58" t="s">
        <v>4504</v>
      </c>
      <c r="E2198" s="58" t="s">
        <v>428</v>
      </c>
      <c r="F2198" s="58" t="s">
        <v>455</v>
      </c>
    </row>
    <row r="2199" spans="1:6" ht="21" x14ac:dyDescent="0.4">
      <c r="A2199" s="69" t="s">
        <v>55</v>
      </c>
      <c r="B2199" s="63" t="s">
        <v>4505</v>
      </c>
      <c r="C2199" s="63">
        <v>1757690215749</v>
      </c>
      <c r="D2199" s="63" t="s">
        <v>4506</v>
      </c>
      <c r="E2199" s="63" t="s">
        <v>416</v>
      </c>
      <c r="F2199" t="s">
        <v>492</v>
      </c>
    </row>
    <row r="2200" spans="1:6" x14ac:dyDescent="0.3">
      <c r="B2200" s="63" t="s">
        <v>4505</v>
      </c>
      <c r="C2200" s="63">
        <v>1757690221742</v>
      </c>
      <c r="D2200" s="63" t="s">
        <v>4507</v>
      </c>
      <c r="E2200" s="63" t="s">
        <v>419</v>
      </c>
      <c r="F2200" t="s">
        <v>420</v>
      </c>
    </row>
    <row r="2201" spans="1:6" x14ac:dyDescent="0.3">
      <c r="B2201" s="63" t="s">
        <v>4505</v>
      </c>
      <c r="C2201" s="63">
        <v>1757690245633</v>
      </c>
      <c r="D2201" s="63" t="s">
        <v>4508</v>
      </c>
      <c r="E2201" s="63" t="s">
        <v>389</v>
      </c>
      <c r="F2201" t="s">
        <v>2020</v>
      </c>
    </row>
    <row r="2202" spans="1:6" x14ac:dyDescent="0.3">
      <c r="B2202" s="63" t="s">
        <v>4505</v>
      </c>
      <c r="C2202" s="63">
        <v>1757690247500</v>
      </c>
      <c r="D2202" s="63" t="s">
        <v>4509</v>
      </c>
      <c r="E2202" s="63" t="s">
        <v>389</v>
      </c>
      <c r="F2202" t="s">
        <v>1597</v>
      </c>
    </row>
    <row r="2203" spans="1:6" x14ac:dyDescent="0.3">
      <c r="B2203" s="63" t="s">
        <v>4505</v>
      </c>
      <c r="C2203" s="63">
        <v>1757690262867</v>
      </c>
      <c r="D2203" s="63" t="s">
        <v>4510</v>
      </c>
      <c r="E2203" s="63" t="s">
        <v>389</v>
      </c>
      <c r="F2203" t="s">
        <v>502</v>
      </c>
    </row>
    <row r="2204" spans="1:6" x14ac:dyDescent="0.3">
      <c r="B2204" s="63" t="s">
        <v>4505</v>
      </c>
      <c r="C2204" s="63">
        <v>1757690264131</v>
      </c>
      <c r="D2204" s="63" t="s">
        <v>4511</v>
      </c>
      <c r="E2204" s="63" t="s">
        <v>389</v>
      </c>
      <c r="F2204" t="s">
        <v>1126</v>
      </c>
    </row>
    <row r="2205" spans="1:6" x14ac:dyDescent="0.3">
      <c r="B2205" s="63" t="s">
        <v>4505</v>
      </c>
      <c r="C2205" s="63">
        <v>1757690266722</v>
      </c>
      <c r="D2205" s="63" t="s">
        <v>4512</v>
      </c>
      <c r="E2205" s="63" t="s">
        <v>389</v>
      </c>
      <c r="F2205" t="s">
        <v>1180</v>
      </c>
    </row>
    <row r="2206" spans="1:6" x14ac:dyDescent="0.3">
      <c r="B2206" s="63" t="s">
        <v>4505</v>
      </c>
      <c r="C2206" s="63">
        <v>1757690278738</v>
      </c>
      <c r="D2206" s="63" t="s">
        <v>4513</v>
      </c>
      <c r="E2206" s="63" t="s">
        <v>389</v>
      </c>
      <c r="F2206" t="s">
        <v>410</v>
      </c>
    </row>
    <row r="2207" spans="1:6" x14ac:dyDescent="0.3">
      <c r="B2207" s="63" t="s">
        <v>4505</v>
      </c>
      <c r="C2207" s="63">
        <v>1757690286194</v>
      </c>
      <c r="D2207" s="63" t="s">
        <v>4514</v>
      </c>
      <c r="E2207" s="63" t="s">
        <v>389</v>
      </c>
      <c r="F2207" t="s">
        <v>406</v>
      </c>
    </row>
    <row r="2208" spans="1:6" x14ac:dyDescent="0.3">
      <c r="B2208" s="63" t="s">
        <v>4505</v>
      </c>
      <c r="C2208" s="63">
        <v>1757690293116</v>
      </c>
      <c r="D2208" s="63" t="s">
        <v>4515</v>
      </c>
      <c r="E2208" s="63" t="s">
        <v>389</v>
      </c>
      <c r="F2208" t="s">
        <v>495</v>
      </c>
    </row>
    <row r="2209" spans="2:6" x14ac:dyDescent="0.3">
      <c r="B2209" s="63" t="s">
        <v>4505</v>
      </c>
      <c r="C2209" s="63">
        <v>1757690293206</v>
      </c>
      <c r="D2209" s="63" t="s">
        <v>4516</v>
      </c>
      <c r="E2209" s="63" t="s">
        <v>389</v>
      </c>
      <c r="F2209" t="s">
        <v>495</v>
      </c>
    </row>
    <row r="2210" spans="2:6" x14ac:dyDescent="0.3">
      <c r="B2210" s="63" t="s">
        <v>4505</v>
      </c>
      <c r="C2210" s="63">
        <v>1757690293307</v>
      </c>
      <c r="D2210" s="63" t="s">
        <v>4517</v>
      </c>
      <c r="E2210" s="63" t="s">
        <v>389</v>
      </c>
      <c r="F2210" t="s">
        <v>495</v>
      </c>
    </row>
    <row r="2211" spans="2:6" x14ac:dyDescent="0.3">
      <c r="B2211" s="63" t="s">
        <v>4505</v>
      </c>
      <c r="C2211" s="63">
        <v>1757690296828</v>
      </c>
      <c r="D2211" s="63" t="s">
        <v>4518</v>
      </c>
      <c r="E2211" s="63" t="s">
        <v>389</v>
      </c>
      <c r="F2211" t="s">
        <v>4519</v>
      </c>
    </row>
    <row r="2212" spans="2:6" x14ac:dyDescent="0.3">
      <c r="B2212" s="63" t="s">
        <v>4505</v>
      </c>
      <c r="C2212" s="63">
        <v>1757690298140</v>
      </c>
      <c r="D2212" s="63" t="s">
        <v>4520</v>
      </c>
      <c r="E2212" s="63" t="s">
        <v>389</v>
      </c>
      <c r="F2212" t="s">
        <v>2768</v>
      </c>
    </row>
    <row r="2213" spans="2:6" x14ac:dyDescent="0.3">
      <c r="B2213" s="63" t="s">
        <v>4505</v>
      </c>
      <c r="C2213" s="63">
        <v>1757690303039</v>
      </c>
      <c r="D2213" s="63" t="s">
        <v>4521</v>
      </c>
      <c r="E2213" s="63" t="s">
        <v>389</v>
      </c>
      <c r="F2213" t="s">
        <v>414</v>
      </c>
    </row>
    <row r="2214" spans="2:6" x14ac:dyDescent="0.3">
      <c r="B2214" s="63" t="s">
        <v>4505</v>
      </c>
      <c r="C2214" s="63">
        <v>1757690304179</v>
      </c>
      <c r="D2214" s="63" t="s">
        <v>4522</v>
      </c>
      <c r="E2214" s="63" t="s">
        <v>389</v>
      </c>
      <c r="F2214" t="s">
        <v>661</v>
      </c>
    </row>
    <row r="2215" spans="2:6" x14ac:dyDescent="0.3">
      <c r="B2215" s="63" t="s">
        <v>4505</v>
      </c>
      <c r="C2215" s="63">
        <v>1757690304327</v>
      </c>
      <c r="D2215" s="63" t="s">
        <v>4523</v>
      </c>
      <c r="E2215" s="63" t="s">
        <v>389</v>
      </c>
      <c r="F2215" s="63" t="s">
        <v>661</v>
      </c>
    </row>
    <row r="2216" spans="2:6" x14ac:dyDescent="0.3">
      <c r="B2216" s="63" t="s">
        <v>4505</v>
      </c>
      <c r="C2216" s="63">
        <v>1757690305310</v>
      </c>
      <c r="D2216" s="63" t="s">
        <v>4524</v>
      </c>
      <c r="E2216" s="63" t="s">
        <v>389</v>
      </c>
      <c r="F2216" s="63" t="s">
        <v>1581</v>
      </c>
    </row>
    <row r="2217" spans="2:6" x14ac:dyDescent="0.3">
      <c r="B2217" s="63" t="s">
        <v>4505</v>
      </c>
      <c r="C2217" s="63">
        <v>1757690311216</v>
      </c>
      <c r="D2217" s="63" t="s">
        <v>4525</v>
      </c>
      <c r="E2217" s="63" t="s">
        <v>422</v>
      </c>
      <c r="F2217" s="63" t="s">
        <v>420</v>
      </c>
    </row>
    <row r="2218" spans="2:6" x14ac:dyDescent="0.3">
      <c r="B2218" s="63" t="s">
        <v>426</v>
      </c>
      <c r="C2218" s="63">
        <v>1757690326744</v>
      </c>
      <c r="D2218" s="63" t="s">
        <v>4526</v>
      </c>
      <c r="E2218" s="63" t="s">
        <v>428</v>
      </c>
      <c r="F2218" s="63" t="s">
        <v>538</v>
      </c>
    </row>
    <row r="2219" spans="2:6" x14ac:dyDescent="0.3">
      <c r="B2219" s="63" t="s">
        <v>4505</v>
      </c>
      <c r="C2219" s="63">
        <v>1757690331378</v>
      </c>
      <c r="D2219" s="63" t="s">
        <v>4527</v>
      </c>
      <c r="E2219" s="63" t="s">
        <v>520</v>
      </c>
      <c r="F2219" s="63" t="s">
        <v>2268</v>
      </c>
    </row>
    <row r="2220" spans="2:6" x14ac:dyDescent="0.3">
      <c r="B2220" s="63" t="s">
        <v>426</v>
      </c>
      <c r="C2220" s="63">
        <v>1757690343660</v>
      </c>
      <c r="D2220" s="63" t="s">
        <v>4528</v>
      </c>
      <c r="E2220" s="63" t="s">
        <v>428</v>
      </c>
      <c r="F2220" s="63" t="s">
        <v>672</v>
      </c>
    </row>
    <row r="2221" spans="2:6" x14ac:dyDescent="0.3">
      <c r="B2221" s="63" t="s">
        <v>4505</v>
      </c>
      <c r="C2221" s="63">
        <v>1757690365118</v>
      </c>
      <c r="D2221" s="63" t="s">
        <v>4529</v>
      </c>
      <c r="E2221" s="63" t="s">
        <v>525</v>
      </c>
      <c r="F2221" s="63" t="s">
        <v>2270</v>
      </c>
    </row>
    <row r="2222" spans="2:6" x14ac:dyDescent="0.3">
      <c r="B2222" s="63" t="s">
        <v>4505</v>
      </c>
      <c r="C2222" s="63">
        <v>1757690369418</v>
      </c>
      <c r="D2222" s="63" t="s">
        <v>4530</v>
      </c>
      <c r="E2222" s="63" t="s">
        <v>424</v>
      </c>
      <c r="F2222" s="63" t="s">
        <v>549</v>
      </c>
    </row>
    <row r="2223" spans="2:6" x14ac:dyDescent="0.3">
      <c r="B2223" s="63" t="s">
        <v>426</v>
      </c>
      <c r="C2223" s="63">
        <v>1757690384632</v>
      </c>
      <c r="D2223" s="63" t="s">
        <v>4531</v>
      </c>
      <c r="E2223" s="63" t="s">
        <v>428</v>
      </c>
      <c r="F2223" s="63" t="s">
        <v>437</v>
      </c>
    </row>
    <row r="2224" spans="2:6" x14ac:dyDescent="0.3">
      <c r="B2224" s="63" t="s">
        <v>4505</v>
      </c>
      <c r="C2224" s="63">
        <v>1757690385215</v>
      </c>
      <c r="D2224" s="63" t="s">
        <v>4532</v>
      </c>
      <c r="E2224" s="63" t="s">
        <v>520</v>
      </c>
      <c r="F2224" s="63" t="s">
        <v>1606</v>
      </c>
    </row>
    <row r="2225" spans="2:6" x14ac:dyDescent="0.3">
      <c r="B2225" s="63" t="s">
        <v>4505</v>
      </c>
      <c r="C2225" s="63">
        <v>1757690392951</v>
      </c>
      <c r="D2225" s="63" t="s">
        <v>4533</v>
      </c>
      <c r="E2225" s="63" t="s">
        <v>525</v>
      </c>
      <c r="F2225" s="63" t="s">
        <v>1608</v>
      </c>
    </row>
    <row r="2226" spans="2:6" x14ac:dyDescent="0.3">
      <c r="B2226" s="63" t="s">
        <v>4505</v>
      </c>
      <c r="C2226" s="63">
        <v>1757690395389</v>
      </c>
      <c r="D2226" s="63" t="s">
        <v>4534</v>
      </c>
      <c r="E2226" s="63" t="s">
        <v>424</v>
      </c>
      <c r="F2226" s="63" t="s">
        <v>553</v>
      </c>
    </row>
    <row r="2227" spans="2:6" x14ac:dyDescent="0.3">
      <c r="B2227" s="63" t="s">
        <v>426</v>
      </c>
      <c r="C2227" s="63">
        <v>1757690400084</v>
      </c>
      <c r="D2227" s="63" t="s">
        <v>4535</v>
      </c>
      <c r="E2227" s="63" t="s">
        <v>428</v>
      </c>
      <c r="F2227" s="63" t="s">
        <v>447</v>
      </c>
    </row>
    <row r="2228" spans="2:6" x14ac:dyDescent="0.3">
      <c r="B2228" s="63" t="s">
        <v>4505</v>
      </c>
      <c r="C2228" s="63">
        <v>1757690413082</v>
      </c>
      <c r="D2228" s="63" t="s">
        <v>4536</v>
      </c>
      <c r="E2228" s="63" t="s">
        <v>520</v>
      </c>
      <c r="F2228" s="63" t="s">
        <v>521</v>
      </c>
    </row>
    <row r="2229" spans="2:6" x14ac:dyDescent="0.3">
      <c r="B2229" s="63" t="s">
        <v>426</v>
      </c>
      <c r="C2229" s="63">
        <v>1757690417758</v>
      </c>
      <c r="D2229" s="63" t="s">
        <v>4537</v>
      </c>
      <c r="E2229" s="63" t="s">
        <v>428</v>
      </c>
      <c r="F2229" s="63" t="s">
        <v>453</v>
      </c>
    </row>
    <row r="2230" spans="2:6" x14ac:dyDescent="0.3">
      <c r="B2230" s="63" t="s">
        <v>4505</v>
      </c>
      <c r="C2230" s="63">
        <v>1757690418355</v>
      </c>
      <c r="D2230" s="63" t="s">
        <v>4538</v>
      </c>
      <c r="E2230" s="63" t="s">
        <v>525</v>
      </c>
      <c r="F2230" s="63" t="s">
        <v>526</v>
      </c>
    </row>
    <row r="2231" spans="2:6" x14ac:dyDescent="0.3">
      <c r="B2231" s="63" t="s">
        <v>4505</v>
      </c>
      <c r="C2231" s="63">
        <v>1757690419132</v>
      </c>
      <c r="D2231" s="63" t="s">
        <v>4539</v>
      </c>
      <c r="E2231" s="63" t="s">
        <v>424</v>
      </c>
      <c r="F2231" s="63" t="s">
        <v>441</v>
      </c>
    </row>
    <row r="2232" spans="2:6" x14ac:dyDescent="0.3">
      <c r="B2232" s="63" t="s">
        <v>4505</v>
      </c>
      <c r="C2232" s="63">
        <v>1757690432700</v>
      </c>
      <c r="D2232" s="63" t="s">
        <v>4540</v>
      </c>
      <c r="E2232" s="63" t="s">
        <v>424</v>
      </c>
      <c r="F2232" s="63" t="s">
        <v>449</v>
      </c>
    </row>
    <row r="2233" spans="2:6" x14ac:dyDescent="0.3">
      <c r="B2233" s="63" t="s">
        <v>426</v>
      </c>
      <c r="C2233" s="63">
        <v>1757690434683</v>
      </c>
      <c r="D2233" s="63" t="s">
        <v>4541</v>
      </c>
      <c r="E2233" s="63" t="s">
        <v>428</v>
      </c>
      <c r="F2233" s="63" t="s">
        <v>523</v>
      </c>
    </row>
    <row r="2234" spans="2:6" x14ac:dyDescent="0.3">
      <c r="B2234" s="63" t="s">
        <v>4505</v>
      </c>
      <c r="C2234" s="63">
        <v>1757690437964</v>
      </c>
      <c r="D2234" s="63" t="s">
        <v>4542</v>
      </c>
      <c r="E2234" s="63" t="s">
        <v>424</v>
      </c>
      <c r="F2234" s="63" t="s">
        <v>451</v>
      </c>
    </row>
    <row r="2235" spans="2:6" x14ac:dyDescent="0.3">
      <c r="B2235" s="63" t="s">
        <v>4505</v>
      </c>
      <c r="C2235" s="63">
        <v>1757690438474</v>
      </c>
      <c r="D2235" s="63" t="s">
        <v>4543</v>
      </c>
      <c r="E2235" s="63" t="s">
        <v>520</v>
      </c>
      <c r="F2235" s="63" t="s">
        <v>521</v>
      </c>
    </row>
    <row r="2236" spans="2:6" x14ac:dyDescent="0.3">
      <c r="B2236" s="63" t="s">
        <v>4505</v>
      </c>
      <c r="C2236" s="63">
        <v>1757690442455</v>
      </c>
      <c r="D2236" s="63" t="s">
        <v>4544</v>
      </c>
      <c r="E2236" s="63" t="s">
        <v>525</v>
      </c>
      <c r="F2236" s="63" t="s">
        <v>526</v>
      </c>
    </row>
    <row r="2237" spans="2:6" x14ac:dyDescent="0.3">
      <c r="B2237" s="63" t="s">
        <v>426</v>
      </c>
      <c r="C2237" s="63">
        <v>1757690455954</v>
      </c>
      <c r="D2237" s="63" t="s">
        <v>4545</v>
      </c>
      <c r="E2237" s="63" t="s">
        <v>428</v>
      </c>
      <c r="F2237" s="63" t="s">
        <v>455</v>
      </c>
    </row>
    <row r="2238" spans="2:6" x14ac:dyDescent="0.3">
      <c r="B2238" s="63" t="s">
        <v>4505</v>
      </c>
      <c r="C2238" s="63">
        <v>1757690462591</v>
      </c>
      <c r="D2238" s="63" t="s">
        <v>4546</v>
      </c>
      <c r="E2238" s="63" t="s">
        <v>520</v>
      </c>
      <c r="F2238" s="63" t="s">
        <v>529</v>
      </c>
    </row>
    <row r="2239" spans="2:6" x14ac:dyDescent="0.3">
      <c r="B2239" s="63" t="s">
        <v>4505</v>
      </c>
      <c r="C2239" s="63">
        <v>1757690472389</v>
      </c>
      <c r="D2239" s="63" t="s">
        <v>4547</v>
      </c>
      <c r="E2239" s="63" t="s">
        <v>525</v>
      </c>
      <c r="F2239" s="63" t="s">
        <v>531</v>
      </c>
    </row>
    <row r="2240" spans="2:6" x14ac:dyDescent="0.3">
      <c r="B2240" s="63" t="s">
        <v>4505</v>
      </c>
      <c r="C2240" s="63">
        <v>1757690474232</v>
      </c>
      <c r="D2240" s="63" t="s">
        <v>4548</v>
      </c>
      <c r="E2240" s="63" t="s">
        <v>424</v>
      </c>
      <c r="F2240" s="63" t="s">
        <v>457</v>
      </c>
    </row>
    <row r="2241" spans="2:6" x14ac:dyDescent="0.3">
      <c r="B2241" s="63" t="s">
        <v>4505</v>
      </c>
      <c r="C2241" s="63">
        <v>1757690492509</v>
      </c>
      <c r="D2241" s="63" t="s">
        <v>4549</v>
      </c>
      <c r="E2241" s="63" t="s">
        <v>520</v>
      </c>
      <c r="F2241" s="63" t="s">
        <v>2421</v>
      </c>
    </row>
    <row r="2242" spans="2:6" x14ac:dyDescent="0.3">
      <c r="B2242" s="63" t="s">
        <v>4505</v>
      </c>
      <c r="C2242" s="63">
        <v>1757690503115</v>
      </c>
      <c r="D2242" s="63" t="s">
        <v>4550</v>
      </c>
      <c r="E2242" s="63" t="s">
        <v>525</v>
      </c>
      <c r="F2242" s="63" t="s">
        <v>2424</v>
      </c>
    </row>
    <row r="2243" spans="2:6" x14ac:dyDescent="0.3">
      <c r="B2243" s="63" t="s">
        <v>4505</v>
      </c>
      <c r="C2243" s="63">
        <v>1757690504193</v>
      </c>
      <c r="D2243" s="63" t="s">
        <v>4551</v>
      </c>
      <c r="E2243" s="63" t="s">
        <v>424</v>
      </c>
      <c r="F2243" s="63" t="s">
        <v>459</v>
      </c>
    </row>
    <row r="2244" spans="2:6" x14ac:dyDescent="0.3">
      <c r="B2244" s="63" t="s">
        <v>4505</v>
      </c>
      <c r="C2244" s="63">
        <v>1757690504837</v>
      </c>
      <c r="D2244" s="63" t="s">
        <v>4552</v>
      </c>
      <c r="E2244" s="63" t="s">
        <v>424</v>
      </c>
      <c r="F2244" s="63" t="s">
        <v>461</v>
      </c>
    </row>
    <row r="2245" spans="2:6" x14ac:dyDescent="0.3">
      <c r="B2245" s="63" t="s">
        <v>4505</v>
      </c>
      <c r="C2245" s="63">
        <v>1757690511372</v>
      </c>
      <c r="D2245" s="63" t="s">
        <v>4553</v>
      </c>
      <c r="E2245" s="63" t="s">
        <v>424</v>
      </c>
      <c r="F2245" s="63" t="s">
        <v>830</v>
      </c>
    </row>
    <row r="2246" spans="2:6" x14ac:dyDescent="0.3">
      <c r="B2246" s="63" t="s">
        <v>4505</v>
      </c>
      <c r="C2246" s="63">
        <v>1757690516582</v>
      </c>
      <c r="D2246" s="63" t="s">
        <v>4554</v>
      </c>
      <c r="E2246" s="63" t="s">
        <v>424</v>
      </c>
      <c r="F2246" s="63" t="s">
        <v>667</v>
      </c>
    </row>
    <row r="2247" spans="2:6" x14ac:dyDescent="0.3">
      <c r="B2247" s="63" t="s">
        <v>4505</v>
      </c>
      <c r="C2247" s="63">
        <v>1757690523240</v>
      </c>
      <c r="D2247" s="63" t="s">
        <v>4555</v>
      </c>
      <c r="E2247" s="63" t="s">
        <v>520</v>
      </c>
      <c r="F2247" s="63" t="s">
        <v>1947</v>
      </c>
    </row>
    <row r="2248" spans="2:6" x14ac:dyDescent="0.3">
      <c r="B2248" s="63" t="s">
        <v>4505</v>
      </c>
      <c r="C2248" s="63">
        <v>1757690529766</v>
      </c>
      <c r="D2248" s="63" t="s">
        <v>4556</v>
      </c>
      <c r="E2248" s="63" t="s">
        <v>525</v>
      </c>
      <c r="F2248" s="63" t="s">
        <v>1950</v>
      </c>
    </row>
    <row r="2249" spans="2:6" x14ac:dyDescent="0.3">
      <c r="B2249" s="63" t="s">
        <v>4505</v>
      </c>
      <c r="C2249" s="63">
        <v>1757690530698</v>
      </c>
      <c r="D2249" s="63" t="s">
        <v>4557</v>
      </c>
      <c r="E2249" s="63" t="s">
        <v>424</v>
      </c>
      <c r="F2249" s="63" t="s">
        <v>433</v>
      </c>
    </row>
    <row r="2250" spans="2:6" x14ac:dyDescent="0.3">
      <c r="B2250" s="63" t="s">
        <v>4505</v>
      </c>
      <c r="C2250" s="63">
        <v>1757690536325</v>
      </c>
      <c r="D2250" s="63" t="s">
        <v>4558</v>
      </c>
      <c r="E2250" s="63" t="s">
        <v>463</v>
      </c>
      <c r="F2250" s="63" t="s">
        <v>464</v>
      </c>
    </row>
    <row r="2251" spans="2:6" x14ac:dyDescent="0.3">
      <c r="B2251" s="58" t="s">
        <v>4559</v>
      </c>
      <c r="C2251" s="58">
        <v>1757690544274</v>
      </c>
      <c r="D2251" s="58" t="s">
        <v>4560</v>
      </c>
      <c r="E2251" s="58" t="s">
        <v>416</v>
      </c>
      <c r="F2251" t="s">
        <v>573</v>
      </c>
    </row>
    <row r="2252" spans="2:6" x14ac:dyDescent="0.3">
      <c r="B2252" s="58" t="s">
        <v>4559</v>
      </c>
      <c r="C2252" s="58">
        <v>1757690544419</v>
      </c>
      <c r="D2252" s="58" t="s">
        <v>4561</v>
      </c>
      <c r="E2252" s="58" t="s">
        <v>468</v>
      </c>
      <c r="F2252" t="s">
        <v>4562</v>
      </c>
    </row>
    <row r="2253" spans="2:6" x14ac:dyDescent="0.3">
      <c r="B2253" s="58" t="s">
        <v>4559</v>
      </c>
      <c r="C2253" s="58">
        <v>1757690544920</v>
      </c>
      <c r="D2253" s="58" t="s">
        <v>4563</v>
      </c>
      <c r="E2253" s="58" t="s">
        <v>419</v>
      </c>
      <c r="F2253" t="s">
        <v>420</v>
      </c>
    </row>
    <row r="2254" spans="2:6" x14ac:dyDescent="0.3">
      <c r="B2254" s="58" t="s">
        <v>4559</v>
      </c>
      <c r="C2254" s="58">
        <v>1757690558882</v>
      </c>
      <c r="D2254" s="58" t="s">
        <v>4564</v>
      </c>
      <c r="E2254" s="58" t="s">
        <v>389</v>
      </c>
      <c r="F2254" t="s">
        <v>400</v>
      </c>
    </row>
    <row r="2255" spans="2:6" x14ac:dyDescent="0.3">
      <c r="B2255" s="58" t="s">
        <v>4559</v>
      </c>
      <c r="C2255" s="58">
        <v>1757690563612</v>
      </c>
      <c r="D2255" s="58" t="s">
        <v>4565</v>
      </c>
      <c r="E2255" s="58" t="s">
        <v>389</v>
      </c>
      <c r="F2255" t="s">
        <v>964</v>
      </c>
    </row>
    <row r="2256" spans="2:6" x14ac:dyDescent="0.3">
      <c r="B2256" s="58" t="s">
        <v>4559</v>
      </c>
      <c r="C2256" s="58">
        <v>1757690585949</v>
      </c>
      <c r="D2256" s="58" t="s">
        <v>4566</v>
      </c>
      <c r="E2256" s="58" t="s">
        <v>422</v>
      </c>
      <c r="F2256" t="s">
        <v>420</v>
      </c>
    </row>
    <row r="2257" spans="2:6" x14ac:dyDescent="0.3">
      <c r="B2257" s="58" t="s">
        <v>4559</v>
      </c>
      <c r="C2257" s="58">
        <v>1757690599311</v>
      </c>
      <c r="D2257" s="58" t="s">
        <v>4567</v>
      </c>
      <c r="E2257" s="58" t="s">
        <v>424</v>
      </c>
      <c r="F2257" t="s">
        <v>549</v>
      </c>
    </row>
    <row r="2258" spans="2:6" x14ac:dyDescent="0.3">
      <c r="B2258" s="58" t="s">
        <v>4559</v>
      </c>
      <c r="C2258" s="58">
        <v>1757690606114</v>
      </c>
      <c r="D2258" s="58" t="s">
        <v>4568</v>
      </c>
      <c r="E2258" s="58" t="s">
        <v>520</v>
      </c>
      <c r="F2258" t="s">
        <v>521</v>
      </c>
    </row>
    <row r="2259" spans="2:6" x14ac:dyDescent="0.3">
      <c r="B2259" s="58" t="s">
        <v>4559</v>
      </c>
      <c r="C2259" s="58">
        <v>1757690612179</v>
      </c>
      <c r="D2259" s="58" t="s">
        <v>4569</v>
      </c>
      <c r="E2259" s="58" t="s">
        <v>525</v>
      </c>
      <c r="F2259" t="s">
        <v>526</v>
      </c>
    </row>
    <row r="2260" spans="2:6" x14ac:dyDescent="0.3">
      <c r="B2260" s="58" t="s">
        <v>426</v>
      </c>
      <c r="C2260" s="58">
        <v>1757690619147</v>
      </c>
      <c r="D2260" s="58" t="s">
        <v>4570</v>
      </c>
      <c r="E2260" s="58" t="s">
        <v>428</v>
      </c>
      <c r="F2260" t="s">
        <v>437</v>
      </c>
    </row>
    <row r="2261" spans="2:6" x14ac:dyDescent="0.3">
      <c r="B2261" s="58" t="s">
        <v>4559</v>
      </c>
      <c r="C2261" s="58">
        <v>1757690632309</v>
      </c>
      <c r="D2261" s="58" t="s">
        <v>4571</v>
      </c>
      <c r="E2261" s="58" t="s">
        <v>520</v>
      </c>
      <c r="F2261" t="s">
        <v>1975</v>
      </c>
    </row>
    <row r="2262" spans="2:6" x14ac:dyDescent="0.3">
      <c r="B2262" s="58" t="s">
        <v>426</v>
      </c>
      <c r="C2262" s="58">
        <v>1757690637543</v>
      </c>
      <c r="D2262" s="58" t="s">
        <v>4572</v>
      </c>
      <c r="E2262" s="58" t="s">
        <v>428</v>
      </c>
      <c r="F2262" t="s">
        <v>439</v>
      </c>
    </row>
    <row r="2263" spans="2:6" x14ac:dyDescent="0.3">
      <c r="B2263" s="58" t="s">
        <v>4559</v>
      </c>
      <c r="C2263" s="58">
        <v>1757690641446</v>
      </c>
      <c r="D2263" s="58" t="s">
        <v>4573</v>
      </c>
      <c r="E2263" s="58" t="s">
        <v>525</v>
      </c>
      <c r="F2263" t="s">
        <v>1977</v>
      </c>
    </row>
    <row r="2264" spans="2:6" x14ac:dyDescent="0.3">
      <c r="B2264" s="58" t="s">
        <v>4559</v>
      </c>
      <c r="C2264" s="58">
        <v>1757690649796</v>
      </c>
      <c r="D2264" s="58" t="s">
        <v>4574</v>
      </c>
      <c r="E2264" s="58" t="s">
        <v>424</v>
      </c>
      <c r="F2264" t="s">
        <v>441</v>
      </c>
    </row>
    <row r="2265" spans="2:6" x14ac:dyDescent="0.3">
      <c r="B2265" s="58" t="s">
        <v>426</v>
      </c>
      <c r="C2265" s="58">
        <v>1757690653009</v>
      </c>
      <c r="D2265" s="58" t="s">
        <v>4575</v>
      </c>
      <c r="E2265" s="58" t="s">
        <v>428</v>
      </c>
      <c r="F2265" t="s">
        <v>429</v>
      </c>
    </row>
    <row r="2266" spans="2:6" x14ac:dyDescent="0.3">
      <c r="B2266" s="58" t="s">
        <v>4559</v>
      </c>
      <c r="C2266" s="58">
        <v>1757690657651</v>
      </c>
      <c r="D2266" s="58" t="s">
        <v>4576</v>
      </c>
      <c r="E2266" s="58" t="s">
        <v>424</v>
      </c>
      <c r="F2266" t="s">
        <v>667</v>
      </c>
    </row>
    <row r="2267" spans="2:6" x14ac:dyDescent="0.3">
      <c r="B2267" s="58" t="s">
        <v>4559</v>
      </c>
      <c r="C2267" s="58">
        <v>1757690661568</v>
      </c>
      <c r="D2267" s="58" t="s">
        <v>4577</v>
      </c>
      <c r="E2267" s="58" t="s">
        <v>520</v>
      </c>
      <c r="F2267" t="s">
        <v>2421</v>
      </c>
    </row>
    <row r="2268" spans="2:6" x14ac:dyDescent="0.3">
      <c r="B2268" s="58" t="s">
        <v>426</v>
      </c>
      <c r="C2268" s="58">
        <v>1757690669167</v>
      </c>
      <c r="D2268" s="58" t="s">
        <v>4578</v>
      </c>
      <c r="E2268" s="58" t="s">
        <v>428</v>
      </c>
      <c r="F2268" t="s">
        <v>538</v>
      </c>
    </row>
    <row r="2269" spans="2:6" x14ac:dyDescent="0.3">
      <c r="B2269" s="58" t="s">
        <v>4559</v>
      </c>
      <c r="C2269" s="58">
        <v>1757690670393</v>
      </c>
      <c r="D2269" s="58" t="s">
        <v>4579</v>
      </c>
      <c r="E2269" s="58" t="s">
        <v>525</v>
      </c>
      <c r="F2269" t="s">
        <v>2424</v>
      </c>
    </row>
    <row r="2270" spans="2:6" x14ac:dyDescent="0.3">
      <c r="B2270" s="58" t="s">
        <v>4559</v>
      </c>
      <c r="C2270" s="58">
        <v>1757690671303</v>
      </c>
      <c r="D2270" s="58" t="s">
        <v>4580</v>
      </c>
      <c r="E2270" s="58" t="s">
        <v>424</v>
      </c>
      <c r="F2270" t="s">
        <v>433</v>
      </c>
    </row>
    <row r="2271" spans="2:6" x14ac:dyDescent="0.3">
      <c r="B2271" s="58" t="s">
        <v>426</v>
      </c>
      <c r="C2271" s="58">
        <v>1757690686893</v>
      </c>
      <c r="D2271" s="58" t="s">
        <v>4581</v>
      </c>
      <c r="E2271" s="58" t="s">
        <v>428</v>
      </c>
      <c r="F2271" t="s">
        <v>672</v>
      </c>
    </row>
    <row r="2272" spans="2:6" x14ac:dyDescent="0.3">
      <c r="B2272" s="58" t="s">
        <v>4559</v>
      </c>
      <c r="C2272" s="58">
        <v>1757690690515</v>
      </c>
      <c r="D2272" s="58" t="s">
        <v>4582</v>
      </c>
      <c r="E2272" s="58" t="s">
        <v>520</v>
      </c>
      <c r="F2272" t="s">
        <v>1975</v>
      </c>
    </row>
    <row r="2273" spans="1:6" x14ac:dyDescent="0.3">
      <c r="B2273" s="58" t="s">
        <v>426</v>
      </c>
      <c r="C2273" s="58">
        <v>1757690701644</v>
      </c>
      <c r="D2273" s="58" t="s">
        <v>4583</v>
      </c>
      <c r="E2273" s="58" t="s">
        <v>428</v>
      </c>
      <c r="F2273" t="s">
        <v>453</v>
      </c>
    </row>
    <row r="2274" spans="1:6" x14ac:dyDescent="0.3">
      <c r="B2274" s="58" t="s">
        <v>4559</v>
      </c>
      <c r="C2274" s="58">
        <v>1757690704207</v>
      </c>
      <c r="D2274" s="58" t="s">
        <v>4584</v>
      </c>
      <c r="E2274" s="58" t="s">
        <v>525</v>
      </c>
      <c r="F2274" t="s">
        <v>1977</v>
      </c>
    </row>
    <row r="2275" spans="1:6" x14ac:dyDescent="0.3">
      <c r="B2275" s="58" t="s">
        <v>426</v>
      </c>
      <c r="C2275" s="58">
        <v>1757690718566</v>
      </c>
      <c r="D2275" s="58" t="s">
        <v>4585</v>
      </c>
      <c r="E2275" s="58" t="s">
        <v>428</v>
      </c>
      <c r="F2275" t="s">
        <v>523</v>
      </c>
    </row>
    <row r="2276" spans="1:6" x14ac:dyDescent="0.3">
      <c r="B2276" s="58" t="s">
        <v>4559</v>
      </c>
      <c r="C2276" s="58">
        <v>1757690721767</v>
      </c>
      <c r="D2276" s="58" t="s">
        <v>4586</v>
      </c>
      <c r="E2276" s="58" t="s">
        <v>424</v>
      </c>
      <c r="F2276" t="s">
        <v>457</v>
      </c>
    </row>
    <row r="2277" spans="1:6" x14ac:dyDescent="0.3">
      <c r="B2277" s="58" t="s">
        <v>4559</v>
      </c>
      <c r="C2277" s="58">
        <v>1757690724332</v>
      </c>
      <c r="D2277" s="58" t="s">
        <v>4587</v>
      </c>
      <c r="E2277" s="58" t="s">
        <v>520</v>
      </c>
      <c r="F2277" t="s">
        <v>1281</v>
      </c>
    </row>
    <row r="2278" spans="1:6" x14ac:dyDescent="0.3">
      <c r="B2278" s="58" t="s">
        <v>4559</v>
      </c>
      <c r="C2278" s="58">
        <v>1757690730572</v>
      </c>
      <c r="D2278" s="58" t="s">
        <v>4588</v>
      </c>
      <c r="E2278" s="58" t="s">
        <v>525</v>
      </c>
      <c r="F2278" t="s">
        <v>1283</v>
      </c>
    </row>
    <row r="2279" spans="1:6" x14ac:dyDescent="0.3">
      <c r="B2279" s="58" t="s">
        <v>426</v>
      </c>
      <c r="C2279" s="58">
        <v>1757690733310</v>
      </c>
      <c r="D2279" s="58" t="s">
        <v>4589</v>
      </c>
      <c r="E2279" s="58" t="s">
        <v>428</v>
      </c>
      <c r="F2279" t="s">
        <v>447</v>
      </c>
    </row>
    <row r="2280" spans="1:6" x14ac:dyDescent="0.3">
      <c r="B2280" s="58" t="s">
        <v>4559</v>
      </c>
      <c r="C2280" s="58">
        <v>1757690750713</v>
      </c>
      <c r="D2280" s="58" t="s">
        <v>4590</v>
      </c>
      <c r="E2280" s="58" t="s">
        <v>520</v>
      </c>
      <c r="F2280" t="s">
        <v>521</v>
      </c>
    </row>
    <row r="2281" spans="1:6" x14ac:dyDescent="0.3">
      <c r="B2281" s="58" t="s">
        <v>426</v>
      </c>
      <c r="C2281" s="58">
        <v>1757690753856</v>
      </c>
      <c r="D2281" s="58" t="s">
        <v>4591</v>
      </c>
      <c r="E2281" s="58" t="s">
        <v>428</v>
      </c>
      <c r="F2281" t="s">
        <v>455</v>
      </c>
    </row>
    <row r="2282" spans="1:6" x14ac:dyDescent="0.3">
      <c r="B2282" s="58" t="s">
        <v>4559</v>
      </c>
      <c r="C2282" s="58">
        <v>1757690754760</v>
      </c>
      <c r="D2282" s="58" t="s">
        <v>4592</v>
      </c>
      <c r="E2282" s="58" t="s">
        <v>525</v>
      </c>
      <c r="F2282" t="s">
        <v>526</v>
      </c>
    </row>
    <row r="2283" spans="1:6" x14ac:dyDescent="0.3">
      <c r="B2283" s="58" t="s">
        <v>4559</v>
      </c>
      <c r="C2283" s="58">
        <v>1757690755807</v>
      </c>
      <c r="D2283" s="58" t="s">
        <v>4593</v>
      </c>
      <c r="E2283" s="58" t="s">
        <v>424</v>
      </c>
      <c r="F2283" t="s">
        <v>459</v>
      </c>
    </row>
    <row r="2284" spans="1:6" x14ac:dyDescent="0.3">
      <c r="B2284" s="58" t="s">
        <v>4559</v>
      </c>
      <c r="C2284" s="58">
        <v>1757690756369</v>
      </c>
      <c r="D2284" s="58" t="s">
        <v>4594</v>
      </c>
      <c r="E2284" s="58" t="s">
        <v>424</v>
      </c>
      <c r="F2284" t="s">
        <v>461</v>
      </c>
    </row>
    <row r="2285" spans="1:6" x14ac:dyDescent="0.3">
      <c r="B2285" s="58" t="s">
        <v>4559</v>
      </c>
      <c r="C2285" s="58">
        <v>1757690767609</v>
      </c>
      <c r="D2285" s="58" t="s">
        <v>4595</v>
      </c>
      <c r="E2285" s="58" t="s">
        <v>424</v>
      </c>
      <c r="F2285" t="s">
        <v>449</v>
      </c>
    </row>
    <row r="2286" spans="1:6" x14ac:dyDescent="0.3">
      <c r="B2286" s="58" t="s">
        <v>4559</v>
      </c>
      <c r="C2286" s="58">
        <v>1757690768551</v>
      </c>
      <c r="D2286" s="58" t="s">
        <v>4596</v>
      </c>
      <c r="E2286" s="58" t="s">
        <v>424</v>
      </c>
      <c r="F2286" t="s">
        <v>451</v>
      </c>
    </row>
    <row r="2287" spans="1:6" x14ac:dyDescent="0.3">
      <c r="B2287" s="58" t="s">
        <v>4559</v>
      </c>
      <c r="C2287" s="58">
        <v>1757690770123</v>
      </c>
      <c r="D2287" s="58" t="s">
        <v>4597</v>
      </c>
      <c r="E2287" s="58" t="s">
        <v>463</v>
      </c>
      <c r="F2287" t="s">
        <v>464</v>
      </c>
    </row>
    <row r="2288" spans="1:6" ht="21" x14ac:dyDescent="0.4">
      <c r="A2288" s="69" t="s">
        <v>56</v>
      </c>
      <c r="B2288" s="63" t="s">
        <v>4740</v>
      </c>
      <c r="C2288" s="63">
        <v>1757930415994</v>
      </c>
      <c r="D2288" s="63" t="s">
        <v>4741</v>
      </c>
      <c r="E2288" s="63" t="s">
        <v>416</v>
      </c>
      <c r="F2288" t="s">
        <v>492</v>
      </c>
    </row>
    <row r="2289" spans="2:6" x14ac:dyDescent="0.3">
      <c r="B2289" s="63" t="s">
        <v>4740</v>
      </c>
      <c r="C2289" s="63">
        <v>1757930416500</v>
      </c>
      <c r="D2289" s="63" t="s">
        <v>4742</v>
      </c>
      <c r="E2289" s="63" t="s">
        <v>419</v>
      </c>
      <c r="F2289" t="s">
        <v>420</v>
      </c>
    </row>
    <row r="2290" spans="2:6" x14ac:dyDescent="0.3">
      <c r="B2290" s="63" t="s">
        <v>4740</v>
      </c>
      <c r="C2290" s="63">
        <v>1757930432442</v>
      </c>
      <c r="D2290" s="63" t="s">
        <v>4743</v>
      </c>
      <c r="E2290" s="63" t="s">
        <v>389</v>
      </c>
      <c r="F2290" t="s">
        <v>406</v>
      </c>
    </row>
    <row r="2291" spans="2:6" x14ac:dyDescent="0.3">
      <c r="B2291" s="63" t="s">
        <v>4740</v>
      </c>
      <c r="C2291" s="63">
        <v>1757930438524</v>
      </c>
      <c r="D2291" s="63" t="s">
        <v>4744</v>
      </c>
      <c r="E2291" s="63" t="s">
        <v>389</v>
      </c>
      <c r="F2291" t="s">
        <v>396</v>
      </c>
    </row>
    <row r="2292" spans="2:6" x14ac:dyDescent="0.3">
      <c r="B2292" s="63" t="s">
        <v>4740</v>
      </c>
      <c r="C2292" s="63">
        <v>1757930439310</v>
      </c>
      <c r="D2292" s="63" t="s">
        <v>4745</v>
      </c>
      <c r="E2292" s="63" t="s">
        <v>389</v>
      </c>
      <c r="F2292" t="s">
        <v>398</v>
      </c>
    </row>
    <row r="2293" spans="2:6" x14ac:dyDescent="0.3">
      <c r="B2293" s="63" t="s">
        <v>4740</v>
      </c>
      <c r="C2293" s="63">
        <v>1757930440271</v>
      </c>
      <c r="D2293" s="63" t="s">
        <v>4746</v>
      </c>
      <c r="E2293" s="63" t="s">
        <v>389</v>
      </c>
      <c r="F2293" t="s">
        <v>400</v>
      </c>
    </row>
    <row r="2294" spans="2:6" x14ac:dyDescent="0.3">
      <c r="B2294" s="63" t="s">
        <v>4740</v>
      </c>
      <c r="C2294" s="63">
        <v>1757930446121</v>
      </c>
      <c r="D2294" s="63" t="s">
        <v>4747</v>
      </c>
      <c r="E2294" s="63" t="s">
        <v>389</v>
      </c>
      <c r="F2294" t="s">
        <v>390</v>
      </c>
    </row>
    <row r="2295" spans="2:6" x14ac:dyDescent="0.3">
      <c r="B2295" s="63" t="s">
        <v>4740</v>
      </c>
      <c r="C2295" s="63">
        <v>1757930446864</v>
      </c>
      <c r="D2295" s="63" t="s">
        <v>4748</v>
      </c>
      <c r="E2295" s="63" t="s">
        <v>389</v>
      </c>
      <c r="F2295" t="s">
        <v>392</v>
      </c>
    </row>
    <row r="2296" spans="2:6" x14ac:dyDescent="0.3">
      <c r="B2296" s="63" t="s">
        <v>4740</v>
      </c>
      <c r="C2296" s="63">
        <v>1757930449910</v>
      </c>
      <c r="D2296" s="63" t="s">
        <v>4749</v>
      </c>
      <c r="E2296" s="63" t="s">
        <v>389</v>
      </c>
      <c r="F2296" t="s">
        <v>508</v>
      </c>
    </row>
    <row r="2297" spans="2:6" x14ac:dyDescent="0.3">
      <c r="B2297" s="63" t="s">
        <v>4740</v>
      </c>
      <c r="C2297" s="63">
        <v>1757930450817</v>
      </c>
      <c r="D2297" s="63" t="s">
        <v>4750</v>
      </c>
      <c r="E2297" s="63" t="s">
        <v>389</v>
      </c>
      <c r="F2297" t="s">
        <v>660</v>
      </c>
    </row>
    <row r="2298" spans="2:6" x14ac:dyDescent="0.3">
      <c r="B2298" s="63" t="s">
        <v>4740</v>
      </c>
      <c r="C2298" s="63">
        <v>1757930453301</v>
      </c>
      <c r="D2298" s="63" t="s">
        <v>4751</v>
      </c>
      <c r="E2298" s="63" t="s">
        <v>389</v>
      </c>
      <c r="F2298" t="s">
        <v>495</v>
      </c>
    </row>
    <row r="2299" spans="2:6" x14ac:dyDescent="0.3">
      <c r="B2299" s="63" t="s">
        <v>4740</v>
      </c>
      <c r="C2299" s="63">
        <v>1757930456388</v>
      </c>
      <c r="D2299" s="63" t="s">
        <v>4752</v>
      </c>
      <c r="E2299" s="63" t="s">
        <v>389</v>
      </c>
      <c r="F2299" t="s">
        <v>410</v>
      </c>
    </row>
    <row r="2300" spans="2:6" x14ac:dyDescent="0.3">
      <c r="B2300" s="63" t="s">
        <v>4740</v>
      </c>
      <c r="C2300" s="63">
        <v>1757930463970</v>
      </c>
      <c r="D2300" s="63" t="s">
        <v>4753</v>
      </c>
      <c r="E2300" s="63" t="s">
        <v>389</v>
      </c>
      <c r="F2300" t="s">
        <v>414</v>
      </c>
    </row>
    <row r="2301" spans="2:6" x14ac:dyDescent="0.3">
      <c r="B2301" s="63" t="s">
        <v>4740</v>
      </c>
      <c r="C2301" s="63">
        <v>1757930471464</v>
      </c>
      <c r="D2301" s="63" t="s">
        <v>4754</v>
      </c>
      <c r="E2301" s="63" t="s">
        <v>422</v>
      </c>
      <c r="F2301" t="s">
        <v>420</v>
      </c>
    </row>
    <row r="2302" spans="2:6" x14ac:dyDescent="0.3">
      <c r="B2302" s="63" t="s">
        <v>426</v>
      </c>
      <c r="C2302" s="63">
        <v>1757930489054</v>
      </c>
      <c r="D2302" s="63" t="s">
        <v>4755</v>
      </c>
      <c r="E2302" s="63" t="s">
        <v>428</v>
      </c>
      <c r="F2302" t="s">
        <v>453</v>
      </c>
    </row>
    <row r="2303" spans="2:6" x14ac:dyDescent="0.3">
      <c r="B2303" s="63" t="s">
        <v>4740</v>
      </c>
      <c r="C2303" s="63">
        <v>1757930491677</v>
      </c>
      <c r="D2303" s="63" t="s">
        <v>4756</v>
      </c>
      <c r="E2303" s="63" t="s">
        <v>520</v>
      </c>
      <c r="F2303" t="s">
        <v>521</v>
      </c>
    </row>
    <row r="2304" spans="2:6" x14ac:dyDescent="0.3">
      <c r="B2304" s="63" t="s">
        <v>4740</v>
      </c>
      <c r="C2304" s="63">
        <v>1757930502358</v>
      </c>
      <c r="D2304" s="63" t="s">
        <v>4757</v>
      </c>
      <c r="E2304" s="63" t="s">
        <v>525</v>
      </c>
      <c r="F2304" t="s">
        <v>526</v>
      </c>
    </row>
    <row r="2305" spans="2:6" x14ac:dyDescent="0.3">
      <c r="B2305" s="63" t="s">
        <v>426</v>
      </c>
      <c r="C2305" s="63">
        <v>1757930504468</v>
      </c>
      <c r="D2305" s="63" t="s">
        <v>4758</v>
      </c>
      <c r="E2305" s="63" t="s">
        <v>428</v>
      </c>
      <c r="F2305" t="s">
        <v>435</v>
      </c>
    </row>
    <row r="2306" spans="2:6" x14ac:dyDescent="0.3">
      <c r="B2306" s="63" t="s">
        <v>4740</v>
      </c>
      <c r="C2306" s="63">
        <v>1757930512037</v>
      </c>
      <c r="D2306" s="63" t="s">
        <v>4759</v>
      </c>
      <c r="E2306" s="63" t="s">
        <v>424</v>
      </c>
      <c r="F2306" t="s">
        <v>457</v>
      </c>
    </row>
    <row r="2307" spans="2:6" x14ac:dyDescent="0.3">
      <c r="B2307" s="63" t="s">
        <v>4740</v>
      </c>
      <c r="C2307" s="63">
        <v>1757930519056</v>
      </c>
      <c r="D2307" s="63" t="s">
        <v>4760</v>
      </c>
      <c r="E2307" s="63" t="s">
        <v>424</v>
      </c>
      <c r="F2307" t="s">
        <v>459</v>
      </c>
    </row>
    <row r="2308" spans="2:6" x14ac:dyDescent="0.3">
      <c r="B2308" s="63" t="s">
        <v>426</v>
      </c>
      <c r="C2308" s="63">
        <v>1757930519941</v>
      </c>
      <c r="D2308" s="63" t="s">
        <v>4761</v>
      </c>
      <c r="E2308" s="63" t="s">
        <v>428</v>
      </c>
      <c r="F2308" t="s">
        <v>437</v>
      </c>
    </row>
    <row r="2309" spans="2:6" x14ac:dyDescent="0.3">
      <c r="B2309" s="63" t="s">
        <v>4740</v>
      </c>
      <c r="C2309" s="63">
        <v>1757930522487</v>
      </c>
      <c r="D2309" s="63" t="s">
        <v>4762</v>
      </c>
      <c r="E2309" s="63" t="s">
        <v>520</v>
      </c>
      <c r="F2309" t="s">
        <v>1656</v>
      </c>
    </row>
    <row r="2310" spans="2:6" x14ac:dyDescent="0.3">
      <c r="B2310" s="63" t="s">
        <v>426</v>
      </c>
      <c r="C2310" s="63">
        <v>1757930536224</v>
      </c>
      <c r="D2310" s="63" t="s">
        <v>4763</v>
      </c>
      <c r="E2310" s="63" t="s">
        <v>428</v>
      </c>
      <c r="F2310" t="s">
        <v>439</v>
      </c>
    </row>
    <row r="2311" spans="2:6" x14ac:dyDescent="0.3">
      <c r="B2311" s="63" t="s">
        <v>4740</v>
      </c>
      <c r="C2311" s="63">
        <v>1757930544858</v>
      </c>
      <c r="D2311" s="63" t="s">
        <v>4764</v>
      </c>
      <c r="E2311" s="63" t="s">
        <v>525</v>
      </c>
      <c r="F2311" t="s">
        <v>1658</v>
      </c>
    </row>
    <row r="2312" spans="2:6" x14ac:dyDescent="0.3">
      <c r="B2312" s="63" t="s">
        <v>426</v>
      </c>
      <c r="C2312" s="63">
        <v>1757930554642</v>
      </c>
      <c r="D2312" s="63" t="s">
        <v>4765</v>
      </c>
      <c r="E2312" s="63" t="s">
        <v>428</v>
      </c>
      <c r="F2312" t="s">
        <v>429</v>
      </c>
    </row>
    <row r="2313" spans="2:6" x14ac:dyDescent="0.3">
      <c r="B2313" s="63" t="s">
        <v>4740</v>
      </c>
      <c r="C2313" s="63">
        <v>1757930564969</v>
      </c>
      <c r="D2313" s="63" t="s">
        <v>4766</v>
      </c>
      <c r="E2313" s="63" t="s">
        <v>520</v>
      </c>
      <c r="F2313" t="s">
        <v>608</v>
      </c>
    </row>
    <row r="2314" spans="2:6" x14ac:dyDescent="0.3">
      <c r="B2314" s="63" t="s">
        <v>426</v>
      </c>
      <c r="C2314" s="63">
        <v>1757930572282</v>
      </c>
      <c r="D2314" s="63" t="s">
        <v>4767</v>
      </c>
      <c r="E2314" s="63" t="s">
        <v>428</v>
      </c>
      <c r="F2314" t="s">
        <v>431</v>
      </c>
    </row>
    <row r="2315" spans="2:6" x14ac:dyDescent="0.3">
      <c r="B2315" s="63" t="s">
        <v>4740</v>
      </c>
      <c r="C2315" s="63">
        <v>1757930574747</v>
      </c>
      <c r="D2315" s="63" t="s">
        <v>4768</v>
      </c>
      <c r="E2315" s="63" t="s">
        <v>1438</v>
      </c>
      <c r="F2315" t="s">
        <v>4769</v>
      </c>
    </row>
    <row r="2316" spans="2:6" x14ac:dyDescent="0.3">
      <c r="B2316" s="63" t="s">
        <v>426</v>
      </c>
      <c r="C2316" s="63">
        <v>1757930587697</v>
      </c>
      <c r="D2316" s="63" t="s">
        <v>4770</v>
      </c>
      <c r="E2316" s="63" t="s">
        <v>428</v>
      </c>
      <c r="F2316" t="s">
        <v>538</v>
      </c>
    </row>
    <row r="2317" spans="2:6" x14ac:dyDescent="0.3">
      <c r="B2317" s="63" t="s">
        <v>4740</v>
      </c>
      <c r="C2317" s="63">
        <v>1757930591506</v>
      </c>
      <c r="D2317" s="63" t="s">
        <v>4771</v>
      </c>
      <c r="E2317" s="63" t="s">
        <v>525</v>
      </c>
      <c r="F2317" t="s">
        <v>612</v>
      </c>
    </row>
    <row r="2318" spans="2:6" x14ac:dyDescent="0.3">
      <c r="B2318" s="63" t="s">
        <v>4740</v>
      </c>
      <c r="C2318" s="63">
        <v>1757930595222</v>
      </c>
      <c r="D2318" s="63" t="s">
        <v>4772</v>
      </c>
      <c r="E2318" s="63" t="s">
        <v>424</v>
      </c>
      <c r="F2318" t="s">
        <v>461</v>
      </c>
    </row>
    <row r="2319" spans="2:6" x14ac:dyDescent="0.3">
      <c r="B2319" s="63" t="s">
        <v>426</v>
      </c>
      <c r="C2319" s="63">
        <v>1757930604656</v>
      </c>
      <c r="D2319" s="63" t="s">
        <v>4773</v>
      </c>
      <c r="E2319" s="63" t="s">
        <v>428</v>
      </c>
      <c r="F2319" t="s">
        <v>672</v>
      </c>
    </row>
    <row r="2320" spans="2:6" x14ac:dyDescent="0.3">
      <c r="B2320" s="63" t="s">
        <v>4740</v>
      </c>
      <c r="C2320" s="63">
        <v>1757930608187</v>
      </c>
      <c r="D2320" s="63" t="s">
        <v>4774</v>
      </c>
      <c r="E2320" s="63" t="s">
        <v>424</v>
      </c>
      <c r="F2320" t="s">
        <v>441</v>
      </c>
    </row>
    <row r="2321" spans="2:6" x14ac:dyDescent="0.3">
      <c r="B2321" s="63" t="s">
        <v>4740</v>
      </c>
      <c r="C2321" s="63">
        <v>1757930611622</v>
      </c>
      <c r="D2321" s="63" t="s">
        <v>4775</v>
      </c>
      <c r="E2321" s="63" t="s">
        <v>520</v>
      </c>
      <c r="F2321" t="s">
        <v>608</v>
      </c>
    </row>
    <row r="2322" spans="2:6" x14ac:dyDescent="0.3">
      <c r="B2322" s="63" t="s">
        <v>426</v>
      </c>
      <c r="C2322" s="63">
        <v>1757930620232</v>
      </c>
      <c r="D2322" s="63" t="s">
        <v>4776</v>
      </c>
      <c r="E2322" s="63" t="s">
        <v>428</v>
      </c>
      <c r="F2322" t="s">
        <v>447</v>
      </c>
    </row>
    <row r="2323" spans="2:6" x14ac:dyDescent="0.3">
      <c r="B2323" s="63" t="s">
        <v>4740</v>
      </c>
      <c r="C2323" s="63">
        <v>1757930620434</v>
      </c>
      <c r="D2323" s="63" t="s">
        <v>4777</v>
      </c>
      <c r="E2323" s="63" t="s">
        <v>525</v>
      </c>
      <c r="F2323" t="s">
        <v>612</v>
      </c>
    </row>
    <row r="2324" spans="2:6" x14ac:dyDescent="0.3">
      <c r="B2324" s="63" t="s">
        <v>4740</v>
      </c>
      <c r="C2324" s="63">
        <v>1757930623148</v>
      </c>
      <c r="D2324" s="63" t="s">
        <v>4778</v>
      </c>
      <c r="E2324" s="63" t="s">
        <v>424</v>
      </c>
      <c r="F2324" t="s">
        <v>433</v>
      </c>
    </row>
    <row r="2325" spans="2:6" x14ac:dyDescent="0.3">
      <c r="B2325" s="63" t="s">
        <v>4740</v>
      </c>
      <c r="C2325" s="63">
        <v>1757930629168</v>
      </c>
      <c r="D2325" s="63" t="s">
        <v>4779</v>
      </c>
      <c r="E2325" s="63" t="s">
        <v>424</v>
      </c>
      <c r="F2325" t="s">
        <v>449</v>
      </c>
    </row>
    <row r="2326" spans="2:6" x14ac:dyDescent="0.3">
      <c r="B2326" s="63" t="s">
        <v>4740</v>
      </c>
      <c r="C2326" s="63">
        <v>1757930634357</v>
      </c>
      <c r="D2326" s="63" t="s">
        <v>4780</v>
      </c>
      <c r="E2326" s="63" t="s">
        <v>424</v>
      </c>
      <c r="F2326" t="s">
        <v>451</v>
      </c>
    </row>
    <row r="2327" spans="2:6" x14ac:dyDescent="0.3">
      <c r="B2327" s="63" t="s">
        <v>426</v>
      </c>
      <c r="C2327" s="63">
        <v>1757930637166</v>
      </c>
      <c r="D2327" s="63" t="s">
        <v>4781</v>
      </c>
      <c r="E2327" s="63" t="s">
        <v>428</v>
      </c>
      <c r="F2327" t="s">
        <v>523</v>
      </c>
    </row>
    <row r="2328" spans="2:6" x14ac:dyDescent="0.3">
      <c r="B2328" s="63" t="s">
        <v>4740</v>
      </c>
      <c r="C2328" s="63">
        <v>1757930640552</v>
      </c>
      <c r="D2328" s="63" t="s">
        <v>4782</v>
      </c>
      <c r="E2328" s="63" t="s">
        <v>520</v>
      </c>
      <c r="F2328" t="s">
        <v>3013</v>
      </c>
    </row>
    <row r="2329" spans="2:6" x14ac:dyDescent="0.3">
      <c r="B2329" s="63" t="s">
        <v>426</v>
      </c>
      <c r="C2329" s="63">
        <v>1757930658468</v>
      </c>
      <c r="D2329" s="63" t="s">
        <v>4783</v>
      </c>
      <c r="E2329" s="63" t="s">
        <v>428</v>
      </c>
      <c r="F2329" t="s">
        <v>455</v>
      </c>
    </row>
    <row r="2330" spans="2:6" x14ac:dyDescent="0.3">
      <c r="B2330" s="63" t="s">
        <v>4740</v>
      </c>
      <c r="C2330" s="63">
        <v>1757930660306</v>
      </c>
      <c r="D2330" s="63" t="s">
        <v>4784</v>
      </c>
      <c r="E2330" s="63" t="s">
        <v>525</v>
      </c>
      <c r="F2330" t="s">
        <v>3016</v>
      </c>
    </row>
    <row r="2331" spans="2:6" x14ac:dyDescent="0.3">
      <c r="B2331" s="63" t="s">
        <v>4740</v>
      </c>
      <c r="C2331" s="63">
        <v>1757930667368</v>
      </c>
      <c r="D2331" s="63" t="s">
        <v>4785</v>
      </c>
      <c r="E2331" s="63" t="s">
        <v>463</v>
      </c>
      <c r="F2331" t="s">
        <v>464</v>
      </c>
    </row>
    <row r="2332" spans="2:6" x14ac:dyDescent="0.3">
      <c r="B2332" s="58" t="s">
        <v>4786</v>
      </c>
      <c r="C2332" s="58">
        <v>1757930678360</v>
      </c>
      <c r="D2332" s="58" t="s">
        <v>4787</v>
      </c>
      <c r="E2332" s="58" t="s">
        <v>416</v>
      </c>
      <c r="F2332" t="s">
        <v>573</v>
      </c>
    </row>
    <row r="2333" spans="2:6" x14ac:dyDescent="0.3">
      <c r="B2333" s="58" t="s">
        <v>4786</v>
      </c>
      <c r="C2333" s="58">
        <v>1757930678500</v>
      </c>
      <c r="D2333" s="58" t="s">
        <v>4788</v>
      </c>
      <c r="E2333" s="58" t="s">
        <v>468</v>
      </c>
      <c r="F2333" t="s">
        <v>2557</v>
      </c>
    </row>
    <row r="2334" spans="2:6" x14ac:dyDescent="0.3">
      <c r="B2334" s="58" t="s">
        <v>4786</v>
      </c>
      <c r="C2334" s="58">
        <v>1757930692964</v>
      </c>
      <c r="D2334" s="58" t="s">
        <v>4789</v>
      </c>
      <c r="E2334" s="58" t="s">
        <v>419</v>
      </c>
      <c r="F2334" t="s">
        <v>420</v>
      </c>
    </row>
    <row r="2335" spans="2:6" x14ac:dyDescent="0.3">
      <c r="B2335" s="58" t="s">
        <v>4786</v>
      </c>
      <c r="C2335" s="58">
        <v>1757930751269</v>
      </c>
      <c r="D2335" s="58" t="s">
        <v>4790</v>
      </c>
      <c r="E2335" s="58" t="s">
        <v>422</v>
      </c>
      <c r="F2335" t="s">
        <v>420</v>
      </c>
    </row>
    <row r="2336" spans="2:6" x14ac:dyDescent="0.3">
      <c r="B2336" s="58" t="s">
        <v>426</v>
      </c>
      <c r="C2336" s="58">
        <v>1757930771072</v>
      </c>
      <c r="D2336" s="58" t="s">
        <v>4791</v>
      </c>
      <c r="E2336" s="58" t="s">
        <v>428</v>
      </c>
      <c r="F2336" t="s">
        <v>435</v>
      </c>
    </row>
    <row r="2337" spans="2:6" x14ac:dyDescent="0.3">
      <c r="B2337" s="58" t="s">
        <v>4786</v>
      </c>
      <c r="C2337" s="58">
        <v>1757930771417</v>
      </c>
      <c r="D2337" s="58" t="s">
        <v>4792</v>
      </c>
      <c r="E2337" s="58" t="s">
        <v>520</v>
      </c>
      <c r="F2337" t="s">
        <v>559</v>
      </c>
    </row>
    <row r="2338" spans="2:6" x14ac:dyDescent="0.3">
      <c r="B2338" s="58" t="s">
        <v>4786</v>
      </c>
      <c r="C2338" s="58">
        <v>1757930777308</v>
      </c>
      <c r="D2338" s="58" t="s">
        <v>4793</v>
      </c>
      <c r="E2338" s="58" t="s">
        <v>525</v>
      </c>
      <c r="F2338" t="s">
        <v>561</v>
      </c>
    </row>
    <row r="2339" spans="2:6" x14ac:dyDescent="0.3">
      <c r="B2339" s="58" t="s">
        <v>426</v>
      </c>
      <c r="C2339" s="58">
        <v>1757930790203</v>
      </c>
      <c r="D2339" s="58" t="s">
        <v>4794</v>
      </c>
      <c r="E2339" s="58" t="s">
        <v>428</v>
      </c>
      <c r="F2339" t="s">
        <v>437</v>
      </c>
    </row>
    <row r="2340" spans="2:6" x14ac:dyDescent="0.3">
      <c r="B2340" s="58" t="s">
        <v>4786</v>
      </c>
      <c r="C2340" s="58">
        <v>1757930797430</v>
      </c>
      <c r="D2340" s="58" t="s">
        <v>4795</v>
      </c>
      <c r="E2340" s="58" t="s">
        <v>520</v>
      </c>
      <c r="F2340" t="s">
        <v>2687</v>
      </c>
    </row>
    <row r="2341" spans="2:6" x14ac:dyDescent="0.3">
      <c r="B2341" s="58" t="s">
        <v>4786</v>
      </c>
      <c r="C2341" s="58">
        <v>1757930804055</v>
      </c>
      <c r="D2341" s="58" t="s">
        <v>4796</v>
      </c>
      <c r="E2341" s="58" t="s">
        <v>525</v>
      </c>
      <c r="F2341" t="s">
        <v>2690</v>
      </c>
    </row>
    <row r="2342" spans="2:6" x14ac:dyDescent="0.3">
      <c r="B2342" s="58" t="s">
        <v>426</v>
      </c>
      <c r="C2342" s="58">
        <v>1757930808679</v>
      </c>
      <c r="D2342" s="58" t="s">
        <v>4797</v>
      </c>
      <c r="E2342" s="58" t="s">
        <v>428</v>
      </c>
      <c r="F2342" t="s">
        <v>439</v>
      </c>
    </row>
    <row r="2343" spans="2:6" x14ac:dyDescent="0.3">
      <c r="B2343" s="58" t="s">
        <v>4786</v>
      </c>
      <c r="C2343" s="58">
        <v>1757930821035</v>
      </c>
      <c r="D2343" s="58" t="s">
        <v>4798</v>
      </c>
      <c r="E2343" s="58" t="s">
        <v>424</v>
      </c>
      <c r="F2343" t="s">
        <v>441</v>
      </c>
    </row>
    <row r="2344" spans="2:6" x14ac:dyDescent="0.3">
      <c r="B2344" s="58" t="s">
        <v>426</v>
      </c>
      <c r="C2344" s="58">
        <v>1757930822693</v>
      </c>
      <c r="D2344" s="58" t="s">
        <v>4799</v>
      </c>
      <c r="E2344" s="58" t="s">
        <v>428</v>
      </c>
      <c r="F2344" t="s">
        <v>453</v>
      </c>
    </row>
    <row r="2345" spans="2:6" x14ac:dyDescent="0.3">
      <c r="B2345" s="58" t="s">
        <v>4786</v>
      </c>
      <c r="C2345" s="58">
        <v>1757930824194</v>
      </c>
      <c r="D2345" s="58" t="s">
        <v>4800</v>
      </c>
      <c r="E2345" s="58" t="s">
        <v>520</v>
      </c>
      <c r="F2345" t="s">
        <v>664</v>
      </c>
    </row>
    <row r="2346" spans="2:6" x14ac:dyDescent="0.3">
      <c r="B2346" s="58" t="s">
        <v>426</v>
      </c>
      <c r="C2346" s="58">
        <v>1757930838138</v>
      </c>
      <c r="D2346" s="58" t="s">
        <v>4801</v>
      </c>
      <c r="E2346" s="58" t="s">
        <v>428</v>
      </c>
      <c r="F2346" t="s">
        <v>429</v>
      </c>
    </row>
    <row r="2347" spans="2:6" x14ac:dyDescent="0.3">
      <c r="B2347" s="58" t="s">
        <v>4786</v>
      </c>
      <c r="C2347" s="58">
        <v>1757930838803</v>
      </c>
      <c r="D2347" s="58" t="s">
        <v>4802</v>
      </c>
      <c r="E2347" s="58" t="s">
        <v>525</v>
      </c>
      <c r="F2347" t="s">
        <v>665</v>
      </c>
    </row>
    <row r="2348" spans="2:6" x14ac:dyDescent="0.3">
      <c r="B2348" s="58" t="s">
        <v>4786</v>
      </c>
      <c r="C2348" s="58">
        <v>1757930851059</v>
      </c>
      <c r="D2348" s="58" t="s">
        <v>4803</v>
      </c>
      <c r="E2348" s="58" t="s">
        <v>424</v>
      </c>
      <c r="F2348" t="s">
        <v>457</v>
      </c>
    </row>
    <row r="2349" spans="2:6" x14ac:dyDescent="0.3">
      <c r="B2349" s="58" t="s">
        <v>426</v>
      </c>
      <c r="C2349" s="58">
        <v>1757930852954</v>
      </c>
      <c r="D2349" s="58" t="s">
        <v>4804</v>
      </c>
      <c r="E2349" s="58" t="s">
        <v>428</v>
      </c>
      <c r="F2349" t="s">
        <v>431</v>
      </c>
    </row>
    <row r="2350" spans="2:6" x14ac:dyDescent="0.3">
      <c r="B2350" s="58" t="s">
        <v>4786</v>
      </c>
      <c r="C2350" s="58">
        <v>1757930857260</v>
      </c>
      <c r="D2350" s="58" t="s">
        <v>4805</v>
      </c>
      <c r="E2350" s="58" t="s">
        <v>424</v>
      </c>
      <c r="F2350" t="s">
        <v>459</v>
      </c>
    </row>
    <row r="2351" spans="2:6" x14ac:dyDescent="0.3">
      <c r="B2351" s="58" t="s">
        <v>4786</v>
      </c>
      <c r="C2351" s="58">
        <v>1757930858920</v>
      </c>
      <c r="D2351" s="58" t="s">
        <v>4806</v>
      </c>
      <c r="E2351" s="58" t="s">
        <v>520</v>
      </c>
      <c r="F2351" t="s">
        <v>559</v>
      </c>
    </row>
    <row r="2352" spans="2:6" x14ac:dyDescent="0.3">
      <c r="B2352" s="58" t="s">
        <v>4786</v>
      </c>
      <c r="C2352" s="58">
        <v>1757930866594</v>
      </c>
      <c r="D2352" s="58" t="s">
        <v>4807</v>
      </c>
      <c r="E2352" s="58" t="s">
        <v>525</v>
      </c>
      <c r="F2352" t="s">
        <v>561</v>
      </c>
    </row>
    <row r="2353" spans="1:6" x14ac:dyDescent="0.3">
      <c r="B2353" s="58" t="s">
        <v>426</v>
      </c>
      <c r="C2353" s="58">
        <v>1757930869135</v>
      </c>
      <c r="D2353" s="58" t="s">
        <v>4808</v>
      </c>
      <c r="E2353" s="58" t="s">
        <v>428</v>
      </c>
      <c r="F2353" t="s">
        <v>538</v>
      </c>
    </row>
    <row r="2354" spans="1:6" x14ac:dyDescent="0.3">
      <c r="B2354" s="58" t="s">
        <v>4786</v>
      </c>
      <c r="C2354" s="58">
        <v>1757930876722</v>
      </c>
      <c r="D2354" s="58" t="s">
        <v>4809</v>
      </c>
      <c r="E2354" s="58" t="s">
        <v>424</v>
      </c>
      <c r="F2354" t="s">
        <v>461</v>
      </c>
    </row>
    <row r="2355" spans="1:6" x14ac:dyDescent="0.3">
      <c r="B2355" s="58" t="s">
        <v>4786</v>
      </c>
      <c r="C2355" s="58">
        <v>1757930886700</v>
      </c>
      <c r="D2355" s="58" t="s">
        <v>4810</v>
      </c>
      <c r="E2355" s="58" t="s">
        <v>520</v>
      </c>
      <c r="F2355" t="s">
        <v>2258</v>
      </c>
    </row>
    <row r="2356" spans="1:6" x14ac:dyDescent="0.3">
      <c r="B2356" s="58" t="s">
        <v>426</v>
      </c>
      <c r="C2356" s="58">
        <v>1757930886797</v>
      </c>
      <c r="D2356" s="58" t="s">
        <v>4811</v>
      </c>
      <c r="E2356" s="58" t="s">
        <v>428</v>
      </c>
      <c r="F2356" t="s">
        <v>672</v>
      </c>
    </row>
    <row r="2357" spans="1:6" x14ac:dyDescent="0.3">
      <c r="B2357" s="58" t="s">
        <v>426</v>
      </c>
      <c r="C2357" s="58">
        <v>1757930903662</v>
      </c>
      <c r="D2357" s="58" t="s">
        <v>4812</v>
      </c>
      <c r="E2357" s="58" t="s">
        <v>428</v>
      </c>
      <c r="F2357" t="s">
        <v>523</v>
      </c>
    </row>
    <row r="2358" spans="1:6" x14ac:dyDescent="0.3">
      <c r="B2358" s="58" t="s">
        <v>4786</v>
      </c>
      <c r="C2358" s="58">
        <v>1757930917356</v>
      </c>
      <c r="D2358" s="58" t="s">
        <v>4813</v>
      </c>
      <c r="E2358" s="58" t="s">
        <v>525</v>
      </c>
      <c r="F2358" t="s">
        <v>2264</v>
      </c>
    </row>
    <row r="2359" spans="1:6" x14ac:dyDescent="0.3">
      <c r="B2359" s="58" t="s">
        <v>426</v>
      </c>
      <c r="C2359" s="58">
        <v>1757930919166</v>
      </c>
      <c r="D2359" s="58" t="s">
        <v>4814</v>
      </c>
      <c r="E2359" s="58" t="s">
        <v>428</v>
      </c>
      <c r="F2359" t="s">
        <v>447</v>
      </c>
    </row>
    <row r="2360" spans="1:6" x14ac:dyDescent="0.3">
      <c r="B2360" s="58" t="s">
        <v>4786</v>
      </c>
      <c r="C2360" s="58">
        <v>1757930919466</v>
      </c>
      <c r="D2360" s="58" t="s">
        <v>4815</v>
      </c>
      <c r="E2360" s="58" t="s">
        <v>424</v>
      </c>
      <c r="F2360" t="s">
        <v>433</v>
      </c>
    </row>
    <row r="2361" spans="1:6" x14ac:dyDescent="0.3">
      <c r="B2361" s="58" t="s">
        <v>4786</v>
      </c>
      <c r="C2361" s="58">
        <v>1757930927701</v>
      </c>
      <c r="D2361" s="58" t="s">
        <v>4816</v>
      </c>
      <c r="E2361" s="58" t="s">
        <v>424</v>
      </c>
      <c r="F2361" t="s">
        <v>449</v>
      </c>
    </row>
    <row r="2362" spans="1:6" x14ac:dyDescent="0.3">
      <c r="B2362" s="58" t="s">
        <v>4786</v>
      </c>
      <c r="C2362" s="58">
        <v>1757930932718</v>
      </c>
      <c r="D2362" s="58" t="s">
        <v>4817</v>
      </c>
      <c r="E2362" s="58" t="s">
        <v>424</v>
      </c>
      <c r="F2362" t="s">
        <v>451</v>
      </c>
    </row>
    <row r="2363" spans="1:6" x14ac:dyDescent="0.3">
      <c r="B2363" s="58" t="s">
        <v>4786</v>
      </c>
      <c r="C2363" s="58">
        <v>1757930937468</v>
      </c>
      <c r="D2363" s="58" t="s">
        <v>4818</v>
      </c>
      <c r="E2363" s="58" t="s">
        <v>520</v>
      </c>
      <c r="F2363" t="s">
        <v>675</v>
      </c>
    </row>
    <row r="2364" spans="1:6" x14ac:dyDescent="0.3">
      <c r="B2364" s="58" t="s">
        <v>426</v>
      </c>
      <c r="C2364" s="58">
        <v>1757930939785</v>
      </c>
      <c r="D2364" s="58" t="s">
        <v>4819</v>
      </c>
      <c r="E2364" s="58" t="s">
        <v>428</v>
      </c>
      <c r="F2364" t="s">
        <v>455</v>
      </c>
    </row>
    <row r="2365" spans="1:6" x14ac:dyDescent="0.3">
      <c r="B2365" s="58" t="s">
        <v>4786</v>
      </c>
      <c r="C2365" s="58">
        <v>1757930951751</v>
      </c>
      <c r="D2365" s="58" t="s">
        <v>4820</v>
      </c>
      <c r="E2365" s="58" t="s">
        <v>1438</v>
      </c>
      <c r="F2365" t="s">
        <v>4821</v>
      </c>
    </row>
    <row r="2366" spans="1:6" x14ac:dyDescent="0.3">
      <c r="B2366" s="58" t="s">
        <v>4786</v>
      </c>
      <c r="C2366" s="58">
        <v>1757930966226</v>
      </c>
      <c r="D2366" s="58" t="s">
        <v>4822</v>
      </c>
      <c r="E2366" s="58" t="s">
        <v>525</v>
      </c>
      <c r="F2366" t="s">
        <v>677</v>
      </c>
    </row>
    <row r="2367" spans="1:6" x14ac:dyDescent="0.3">
      <c r="B2367" s="58" t="s">
        <v>4786</v>
      </c>
      <c r="C2367" s="58">
        <v>1757930967428</v>
      </c>
      <c r="D2367" s="58" t="s">
        <v>4823</v>
      </c>
      <c r="E2367" s="58" t="s">
        <v>463</v>
      </c>
      <c r="F2367" t="s">
        <v>464</v>
      </c>
    </row>
    <row r="2368" spans="1:6" ht="21" x14ac:dyDescent="0.4">
      <c r="A2368" s="69" t="s">
        <v>57</v>
      </c>
      <c r="B2368" s="63" t="s">
        <v>4824</v>
      </c>
      <c r="C2368" s="63">
        <v>1757936696646</v>
      </c>
      <c r="D2368" s="63" t="s">
        <v>4825</v>
      </c>
      <c r="E2368" s="63" t="s">
        <v>416</v>
      </c>
      <c r="F2368" s="63" t="s">
        <v>492</v>
      </c>
    </row>
    <row r="2369" spans="2:6" x14ac:dyDescent="0.3">
      <c r="B2369" s="63" t="s">
        <v>4824</v>
      </c>
      <c r="C2369" s="63">
        <v>1757936697155</v>
      </c>
      <c r="D2369" s="63" t="s">
        <v>4826</v>
      </c>
      <c r="E2369" s="63" t="s">
        <v>419</v>
      </c>
      <c r="F2369" s="63" t="s">
        <v>420</v>
      </c>
    </row>
    <row r="2370" spans="2:6" x14ac:dyDescent="0.3">
      <c r="B2370" s="63" t="s">
        <v>4824</v>
      </c>
      <c r="C2370" s="63">
        <v>1757936716971</v>
      </c>
      <c r="D2370" s="63" t="s">
        <v>4827</v>
      </c>
      <c r="E2370" s="63" t="s">
        <v>389</v>
      </c>
      <c r="F2370" s="63" t="s">
        <v>818</v>
      </c>
    </row>
    <row r="2371" spans="2:6" x14ac:dyDescent="0.3">
      <c r="B2371" s="63" t="s">
        <v>4824</v>
      </c>
      <c r="C2371" s="63">
        <v>1757936718058</v>
      </c>
      <c r="D2371" s="63" t="s">
        <v>4828</v>
      </c>
      <c r="E2371" s="63" t="s">
        <v>389</v>
      </c>
      <c r="F2371" s="63" t="s">
        <v>659</v>
      </c>
    </row>
    <row r="2372" spans="2:6" x14ac:dyDescent="0.3">
      <c r="B2372" s="63" t="s">
        <v>4824</v>
      </c>
      <c r="C2372" s="63">
        <v>1757936719339</v>
      </c>
      <c r="D2372" s="63" t="s">
        <v>4829</v>
      </c>
      <c r="E2372" s="63" t="s">
        <v>389</v>
      </c>
      <c r="F2372" s="63" t="s">
        <v>2869</v>
      </c>
    </row>
    <row r="2373" spans="2:6" x14ac:dyDescent="0.3">
      <c r="B2373" s="63" t="s">
        <v>4824</v>
      </c>
      <c r="C2373" s="63">
        <v>1757936720375</v>
      </c>
      <c r="D2373" s="63" t="s">
        <v>4830</v>
      </c>
      <c r="E2373" s="63" t="s">
        <v>389</v>
      </c>
      <c r="F2373" s="63" t="s">
        <v>4519</v>
      </c>
    </row>
    <row r="2374" spans="2:6" x14ac:dyDescent="0.3">
      <c r="B2374" s="63" t="s">
        <v>4824</v>
      </c>
      <c r="C2374" s="63">
        <v>1757936726420</v>
      </c>
      <c r="D2374" s="63" t="s">
        <v>4831</v>
      </c>
      <c r="E2374" s="63" t="s">
        <v>389</v>
      </c>
      <c r="F2374" s="63" t="s">
        <v>1143</v>
      </c>
    </row>
    <row r="2375" spans="2:6" x14ac:dyDescent="0.3">
      <c r="B2375" s="63" t="s">
        <v>4824</v>
      </c>
      <c r="C2375" s="63">
        <v>1757936730864</v>
      </c>
      <c r="D2375" s="63" t="s">
        <v>4832</v>
      </c>
      <c r="E2375" s="63" t="s">
        <v>389</v>
      </c>
      <c r="F2375" s="63" t="s">
        <v>396</v>
      </c>
    </row>
    <row r="2376" spans="2:6" x14ac:dyDescent="0.3">
      <c r="B2376" s="63" t="s">
        <v>4824</v>
      </c>
      <c r="C2376" s="63">
        <v>1757936731918</v>
      </c>
      <c r="D2376" s="63" t="s">
        <v>4833</v>
      </c>
      <c r="E2376" s="63" t="s">
        <v>389</v>
      </c>
      <c r="F2376" s="63" t="s">
        <v>1464</v>
      </c>
    </row>
    <row r="2377" spans="2:6" x14ac:dyDescent="0.3">
      <c r="B2377" s="63" t="s">
        <v>4824</v>
      </c>
      <c r="C2377" s="63">
        <v>1757936738488</v>
      </c>
      <c r="D2377" s="63" t="s">
        <v>4834</v>
      </c>
      <c r="E2377" s="63" t="s">
        <v>389</v>
      </c>
      <c r="F2377" s="63" t="s">
        <v>1689</v>
      </c>
    </row>
    <row r="2378" spans="2:6" x14ac:dyDescent="0.3">
      <c r="B2378" s="63" t="s">
        <v>4824</v>
      </c>
      <c r="C2378" s="63">
        <v>1757936746797</v>
      </c>
      <c r="D2378" s="63" t="s">
        <v>4835</v>
      </c>
      <c r="E2378" s="63" t="s">
        <v>389</v>
      </c>
      <c r="F2378" s="63" t="s">
        <v>1599</v>
      </c>
    </row>
    <row r="2379" spans="2:6" x14ac:dyDescent="0.3">
      <c r="B2379" s="63" t="s">
        <v>4824</v>
      </c>
      <c r="C2379" s="63">
        <v>1757936757335</v>
      </c>
      <c r="D2379" s="63" t="s">
        <v>4836</v>
      </c>
      <c r="E2379" s="63" t="s">
        <v>389</v>
      </c>
      <c r="F2379" s="63" t="s">
        <v>2856</v>
      </c>
    </row>
    <row r="2380" spans="2:6" x14ac:dyDescent="0.3">
      <c r="B2380" s="63" t="s">
        <v>4824</v>
      </c>
      <c r="C2380" s="63">
        <v>1757936763689</v>
      </c>
      <c r="D2380" s="63" t="s">
        <v>4837</v>
      </c>
      <c r="E2380" s="63" t="s">
        <v>389</v>
      </c>
      <c r="F2380" s="63" t="s">
        <v>1728</v>
      </c>
    </row>
    <row r="2381" spans="2:6" x14ac:dyDescent="0.3">
      <c r="B2381" s="63" t="s">
        <v>4824</v>
      </c>
      <c r="C2381" s="63">
        <v>1757936767626</v>
      </c>
      <c r="D2381" s="63" t="s">
        <v>4838</v>
      </c>
      <c r="E2381" s="63" t="s">
        <v>389</v>
      </c>
      <c r="F2381" s="63" t="s">
        <v>1687</v>
      </c>
    </row>
    <row r="2382" spans="2:6" x14ac:dyDescent="0.3">
      <c r="B2382" s="63" t="s">
        <v>4824</v>
      </c>
      <c r="C2382" s="63">
        <v>1757936770982</v>
      </c>
      <c r="D2382" s="63" t="s">
        <v>4839</v>
      </c>
      <c r="E2382" s="63" t="s">
        <v>389</v>
      </c>
      <c r="F2382" s="63" t="s">
        <v>412</v>
      </c>
    </row>
    <row r="2383" spans="2:6" x14ac:dyDescent="0.3">
      <c r="B2383" s="63" t="s">
        <v>4824</v>
      </c>
      <c r="C2383" s="63">
        <v>1757936789136</v>
      </c>
      <c r="D2383" s="63" t="s">
        <v>4840</v>
      </c>
      <c r="E2383" s="63" t="s">
        <v>389</v>
      </c>
      <c r="F2383" s="63" t="s">
        <v>660</v>
      </c>
    </row>
    <row r="2384" spans="2:6" x14ac:dyDescent="0.3">
      <c r="B2384" s="63" t="s">
        <v>4824</v>
      </c>
      <c r="C2384" s="63">
        <v>1757936793854</v>
      </c>
      <c r="D2384" s="63" t="s">
        <v>4841</v>
      </c>
      <c r="E2384" s="63" t="s">
        <v>389</v>
      </c>
      <c r="F2384" s="63" t="s">
        <v>1685</v>
      </c>
    </row>
    <row r="2385" spans="2:6" x14ac:dyDescent="0.3">
      <c r="B2385" s="63" t="s">
        <v>4824</v>
      </c>
      <c r="C2385" s="63">
        <v>1757936793919</v>
      </c>
      <c r="D2385" s="63" t="s">
        <v>4842</v>
      </c>
      <c r="E2385" s="63" t="s">
        <v>389</v>
      </c>
      <c r="F2385" s="63" t="s">
        <v>1597</v>
      </c>
    </row>
    <row r="2386" spans="2:6" x14ac:dyDescent="0.3">
      <c r="B2386" s="63" t="s">
        <v>4824</v>
      </c>
      <c r="C2386" s="63">
        <v>1757936799344</v>
      </c>
      <c r="D2386" s="63" t="s">
        <v>4843</v>
      </c>
      <c r="E2386" s="63" t="s">
        <v>422</v>
      </c>
      <c r="F2386" s="63" t="s">
        <v>420</v>
      </c>
    </row>
    <row r="2387" spans="2:6" x14ac:dyDescent="0.3">
      <c r="B2387" s="63" t="s">
        <v>4824</v>
      </c>
      <c r="C2387" s="63">
        <v>1757936810088</v>
      </c>
      <c r="D2387" s="63" t="s">
        <v>4844</v>
      </c>
      <c r="E2387" s="63" t="s">
        <v>424</v>
      </c>
      <c r="F2387" s="63" t="s">
        <v>830</v>
      </c>
    </row>
    <row r="2388" spans="2:6" x14ac:dyDescent="0.3">
      <c r="B2388" s="63" t="s">
        <v>426</v>
      </c>
      <c r="C2388" s="63">
        <v>1757936816954</v>
      </c>
      <c r="D2388" s="63" t="s">
        <v>4845</v>
      </c>
      <c r="E2388" s="63" t="s">
        <v>428</v>
      </c>
      <c r="F2388" s="63" t="s">
        <v>431</v>
      </c>
    </row>
    <row r="2389" spans="2:6" x14ac:dyDescent="0.3">
      <c r="B2389" s="63" t="s">
        <v>4824</v>
      </c>
      <c r="C2389" s="63">
        <v>1757936819178</v>
      </c>
      <c r="D2389" s="63" t="s">
        <v>4846</v>
      </c>
      <c r="E2389" s="63" t="s">
        <v>424</v>
      </c>
      <c r="F2389" s="63" t="s">
        <v>433</v>
      </c>
    </row>
    <row r="2390" spans="2:6" x14ac:dyDescent="0.3">
      <c r="B2390" s="63" t="s">
        <v>4824</v>
      </c>
      <c r="C2390" s="63">
        <v>1757936819511</v>
      </c>
      <c r="D2390" s="63" t="s">
        <v>4847</v>
      </c>
      <c r="E2390" s="63" t="s">
        <v>520</v>
      </c>
      <c r="F2390" s="63" t="s">
        <v>615</v>
      </c>
    </row>
    <row r="2391" spans="2:6" x14ac:dyDescent="0.3">
      <c r="B2391" s="63" t="s">
        <v>426</v>
      </c>
      <c r="C2391" s="63">
        <v>1757936832436</v>
      </c>
      <c r="D2391" s="63" t="s">
        <v>4848</v>
      </c>
      <c r="E2391" s="63" t="s">
        <v>428</v>
      </c>
      <c r="F2391" s="63" t="s">
        <v>435</v>
      </c>
    </row>
    <row r="2392" spans="2:6" x14ac:dyDescent="0.3">
      <c r="B2392" s="63" t="s">
        <v>4824</v>
      </c>
      <c r="C2392" s="63">
        <v>1757936834815</v>
      </c>
      <c r="D2392" s="63" t="s">
        <v>4849</v>
      </c>
      <c r="E2392" s="63" t="s">
        <v>525</v>
      </c>
      <c r="F2392" s="63" t="s">
        <v>617</v>
      </c>
    </row>
    <row r="2393" spans="2:6" x14ac:dyDescent="0.3">
      <c r="B2393" s="63" t="s">
        <v>4824</v>
      </c>
      <c r="C2393" s="63">
        <v>1757936846201</v>
      </c>
      <c r="D2393" s="63" t="s">
        <v>4850</v>
      </c>
      <c r="E2393" s="63" t="s">
        <v>424</v>
      </c>
      <c r="F2393" s="63" t="s">
        <v>553</v>
      </c>
    </row>
    <row r="2394" spans="2:6" x14ac:dyDescent="0.3">
      <c r="B2394" s="63" t="s">
        <v>426</v>
      </c>
      <c r="C2394" s="63">
        <v>1757936847187</v>
      </c>
      <c r="D2394" s="63" t="s">
        <v>4851</v>
      </c>
      <c r="E2394" s="63" t="s">
        <v>428</v>
      </c>
      <c r="F2394" s="63" t="s">
        <v>437</v>
      </c>
    </row>
    <row r="2395" spans="2:6" x14ac:dyDescent="0.3">
      <c r="B2395" s="63" t="s">
        <v>4824</v>
      </c>
      <c r="C2395" s="63">
        <v>1757936854925</v>
      </c>
      <c r="D2395" s="63" t="s">
        <v>4852</v>
      </c>
      <c r="E2395" s="63" t="s">
        <v>520</v>
      </c>
      <c r="F2395" s="63" t="s">
        <v>2390</v>
      </c>
    </row>
    <row r="2396" spans="2:6" x14ac:dyDescent="0.3">
      <c r="B2396" s="63" t="s">
        <v>4824</v>
      </c>
      <c r="C2396" s="63">
        <v>1757936862626</v>
      </c>
      <c r="D2396" s="63" t="s">
        <v>4853</v>
      </c>
      <c r="E2396" s="63" t="s">
        <v>1438</v>
      </c>
      <c r="F2396" s="63" t="s">
        <v>4854</v>
      </c>
    </row>
    <row r="2397" spans="2:6" x14ac:dyDescent="0.3">
      <c r="B2397" s="63" t="s">
        <v>426</v>
      </c>
      <c r="C2397" s="63">
        <v>1757936864832</v>
      </c>
      <c r="D2397" s="63" t="s">
        <v>4855</v>
      </c>
      <c r="E2397" s="63" t="s">
        <v>428</v>
      </c>
      <c r="F2397" s="63" t="s">
        <v>453</v>
      </c>
    </row>
    <row r="2398" spans="2:6" x14ac:dyDescent="0.3">
      <c r="B2398" s="63" t="s">
        <v>426</v>
      </c>
      <c r="C2398" s="63">
        <v>1757936880256</v>
      </c>
      <c r="D2398" s="63" t="s">
        <v>4856</v>
      </c>
      <c r="E2398" s="63" t="s">
        <v>428</v>
      </c>
      <c r="F2398" s="63" t="s">
        <v>538</v>
      </c>
    </row>
    <row r="2399" spans="2:6" x14ac:dyDescent="0.3">
      <c r="B2399" s="63" t="s">
        <v>4824</v>
      </c>
      <c r="C2399" s="63">
        <v>1757936883309</v>
      </c>
      <c r="D2399" s="63" t="s">
        <v>4857</v>
      </c>
      <c r="E2399" s="63" t="s">
        <v>525</v>
      </c>
      <c r="F2399" s="63" t="s">
        <v>2393</v>
      </c>
    </row>
    <row r="2400" spans="2:6" x14ac:dyDescent="0.3">
      <c r="B2400" s="63" t="s">
        <v>4824</v>
      </c>
      <c r="C2400" s="63">
        <v>1757936893647</v>
      </c>
      <c r="D2400" s="63" t="s">
        <v>4858</v>
      </c>
      <c r="E2400" s="63" t="s">
        <v>424</v>
      </c>
      <c r="F2400" s="63" t="s">
        <v>441</v>
      </c>
    </row>
    <row r="2401" spans="2:6" x14ac:dyDescent="0.3">
      <c r="B2401" s="63" t="s">
        <v>426</v>
      </c>
      <c r="C2401" s="63">
        <v>1757936897187</v>
      </c>
      <c r="D2401" s="63" t="s">
        <v>4859</v>
      </c>
      <c r="E2401" s="63" t="s">
        <v>428</v>
      </c>
      <c r="F2401" s="63" t="s">
        <v>672</v>
      </c>
    </row>
    <row r="2402" spans="2:6" x14ac:dyDescent="0.3">
      <c r="B2402" s="63" t="s">
        <v>4824</v>
      </c>
      <c r="C2402" s="63">
        <v>1757936903426</v>
      </c>
      <c r="D2402" s="63" t="s">
        <v>4860</v>
      </c>
      <c r="E2402" s="63" t="s">
        <v>520</v>
      </c>
      <c r="F2402" s="63" t="s">
        <v>949</v>
      </c>
    </row>
    <row r="2403" spans="2:6" x14ac:dyDescent="0.3">
      <c r="B2403" s="63" t="s">
        <v>4824</v>
      </c>
      <c r="C2403" s="63">
        <v>1757936911593</v>
      </c>
      <c r="D2403" s="63" t="s">
        <v>4861</v>
      </c>
      <c r="E2403" s="63" t="s">
        <v>525</v>
      </c>
      <c r="F2403" s="63" t="s">
        <v>951</v>
      </c>
    </row>
    <row r="2404" spans="2:6" x14ac:dyDescent="0.3">
      <c r="B2404" s="63" t="s">
        <v>426</v>
      </c>
      <c r="C2404" s="63">
        <v>1757936914102</v>
      </c>
      <c r="D2404" s="63" t="s">
        <v>4862</v>
      </c>
      <c r="E2404" s="63" t="s">
        <v>428</v>
      </c>
      <c r="F2404" s="63" t="s">
        <v>523</v>
      </c>
    </row>
    <row r="2405" spans="2:6" x14ac:dyDescent="0.3">
      <c r="B2405" s="63" t="s">
        <v>4824</v>
      </c>
      <c r="C2405" s="63">
        <v>1757936916178</v>
      </c>
      <c r="D2405" s="63" t="s">
        <v>4863</v>
      </c>
      <c r="E2405" s="63" t="s">
        <v>424</v>
      </c>
      <c r="F2405" s="63" t="s">
        <v>457</v>
      </c>
    </row>
    <row r="2406" spans="2:6" x14ac:dyDescent="0.3">
      <c r="B2406" s="63" t="s">
        <v>4824</v>
      </c>
      <c r="C2406" s="63">
        <v>1757936931108</v>
      </c>
      <c r="D2406" s="63" t="s">
        <v>4864</v>
      </c>
      <c r="E2406" s="63" t="s">
        <v>424</v>
      </c>
      <c r="F2406" s="63" t="s">
        <v>459</v>
      </c>
    </row>
    <row r="2407" spans="2:6" x14ac:dyDescent="0.3">
      <c r="B2407" s="63" t="s">
        <v>4824</v>
      </c>
      <c r="C2407" s="63">
        <v>1757936931703</v>
      </c>
      <c r="D2407" s="63" t="s">
        <v>4865</v>
      </c>
      <c r="E2407" s="63" t="s">
        <v>520</v>
      </c>
      <c r="F2407" s="63" t="s">
        <v>1987</v>
      </c>
    </row>
    <row r="2408" spans="2:6" x14ac:dyDescent="0.3">
      <c r="B2408" s="63" t="s">
        <v>426</v>
      </c>
      <c r="C2408" s="63">
        <v>1757936935448</v>
      </c>
      <c r="D2408" s="63" t="s">
        <v>4866</v>
      </c>
      <c r="E2408" s="63" t="s">
        <v>428</v>
      </c>
      <c r="F2408" s="63" t="s">
        <v>455</v>
      </c>
    </row>
    <row r="2409" spans="2:6" x14ac:dyDescent="0.3">
      <c r="B2409" s="63" t="s">
        <v>4824</v>
      </c>
      <c r="C2409" s="63">
        <v>1757936945996</v>
      </c>
      <c r="D2409" s="63" t="s">
        <v>4867</v>
      </c>
      <c r="E2409" s="63" t="s">
        <v>525</v>
      </c>
      <c r="F2409" s="63" t="s">
        <v>1990</v>
      </c>
    </row>
    <row r="2410" spans="2:6" x14ac:dyDescent="0.3">
      <c r="B2410" s="63" t="s">
        <v>426</v>
      </c>
      <c r="C2410" s="63">
        <v>1757936950952</v>
      </c>
      <c r="D2410" s="63" t="s">
        <v>4868</v>
      </c>
      <c r="E2410" s="63" t="s">
        <v>428</v>
      </c>
      <c r="F2410" s="63" t="s">
        <v>447</v>
      </c>
    </row>
    <row r="2411" spans="2:6" x14ac:dyDescent="0.3">
      <c r="B2411" s="63" t="s">
        <v>4824</v>
      </c>
      <c r="C2411" s="63">
        <v>1757936952406</v>
      </c>
      <c r="D2411" s="63" t="s">
        <v>4869</v>
      </c>
      <c r="E2411" s="63" t="s">
        <v>424</v>
      </c>
      <c r="F2411" s="63" t="s">
        <v>461</v>
      </c>
    </row>
    <row r="2412" spans="2:6" x14ac:dyDescent="0.3">
      <c r="B2412" s="63" t="s">
        <v>4824</v>
      </c>
      <c r="C2412" s="63">
        <v>1757936959859</v>
      </c>
      <c r="D2412" s="63" t="s">
        <v>4870</v>
      </c>
      <c r="E2412" s="63" t="s">
        <v>424</v>
      </c>
      <c r="F2412" s="63" t="s">
        <v>449</v>
      </c>
    </row>
    <row r="2413" spans="2:6" x14ac:dyDescent="0.3">
      <c r="B2413" s="63" t="s">
        <v>4824</v>
      </c>
      <c r="C2413" s="63">
        <v>1757936961535</v>
      </c>
      <c r="D2413" s="63" t="s">
        <v>4871</v>
      </c>
      <c r="E2413" s="63" t="s">
        <v>424</v>
      </c>
      <c r="F2413" s="63" t="s">
        <v>451</v>
      </c>
    </row>
    <row r="2414" spans="2:6" x14ac:dyDescent="0.3">
      <c r="B2414" s="63" t="s">
        <v>4824</v>
      </c>
      <c r="C2414" s="63">
        <v>1757936962567</v>
      </c>
      <c r="D2414" s="63" t="s">
        <v>4872</v>
      </c>
      <c r="E2414" s="63" t="s">
        <v>463</v>
      </c>
      <c r="F2414" s="63" t="s">
        <v>464</v>
      </c>
    </row>
    <row r="2415" spans="2:6" x14ac:dyDescent="0.3">
      <c r="B2415" s="58" t="s">
        <v>4873</v>
      </c>
      <c r="C2415" s="58">
        <v>1757936969998</v>
      </c>
      <c r="D2415" s="58" t="s">
        <v>4874</v>
      </c>
      <c r="E2415" s="58" t="s">
        <v>416</v>
      </c>
      <c r="F2415" s="58" t="s">
        <v>573</v>
      </c>
    </row>
    <row r="2416" spans="2:6" x14ac:dyDescent="0.3">
      <c r="B2416" s="58" t="s">
        <v>4873</v>
      </c>
      <c r="C2416" s="58">
        <v>1757936970137</v>
      </c>
      <c r="D2416" s="58" t="s">
        <v>4875</v>
      </c>
      <c r="E2416" s="58" t="s">
        <v>468</v>
      </c>
      <c r="F2416" s="58" t="s">
        <v>4876</v>
      </c>
    </row>
    <row r="2417" spans="2:6" x14ac:dyDescent="0.3">
      <c r="B2417" s="58" t="s">
        <v>4873</v>
      </c>
      <c r="C2417" s="58">
        <v>1757936984292</v>
      </c>
      <c r="D2417" s="58" t="s">
        <v>4877</v>
      </c>
      <c r="E2417" s="58" t="s">
        <v>419</v>
      </c>
      <c r="F2417" s="58" t="s">
        <v>420</v>
      </c>
    </row>
    <row r="2418" spans="2:6" x14ac:dyDescent="0.3">
      <c r="B2418" s="58" t="s">
        <v>4873</v>
      </c>
      <c r="C2418" s="58">
        <v>1757937020699</v>
      </c>
      <c r="D2418" s="58" t="s">
        <v>4878</v>
      </c>
      <c r="E2418" s="58" t="s">
        <v>422</v>
      </c>
      <c r="F2418" s="58" t="s">
        <v>420</v>
      </c>
    </row>
    <row r="2419" spans="2:6" x14ac:dyDescent="0.3">
      <c r="B2419" s="58" t="s">
        <v>4873</v>
      </c>
      <c r="C2419" s="58">
        <v>1757937032390</v>
      </c>
      <c r="D2419" s="58" t="s">
        <v>4879</v>
      </c>
      <c r="E2419" s="58" t="s">
        <v>424</v>
      </c>
      <c r="F2419" s="58" t="s">
        <v>830</v>
      </c>
    </row>
    <row r="2420" spans="2:6" x14ac:dyDescent="0.3">
      <c r="B2420" s="58" t="s">
        <v>426</v>
      </c>
      <c r="C2420" s="58">
        <v>1757937036011</v>
      </c>
      <c r="D2420" s="58" t="s">
        <v>4880</v>
      </c>
      <c r="E2420" s="58" t="s">
        <v>428</v>
      </c>
      <c r="F2420" s="58" t="s">
        <v>431</v>
      </c>
    </row>
    <row r="2421" spans="2:6" x14ac:dyDescent="0.3">
      <c r="B2421" s="58" t="s">
        <v>4873</v>
      </c>
      <c r="C2421" s="58">
        <v>1757937040831</v>
      </c>
      <c r="D2421" s="58" t="s">
        <v>4881</v>
      </c>
      <c r="E2421" s="58" t="s">
        <v>520</v>
      </c>
      <c r="F2421" s="58" t="s">
        <v>1656</v>
      </c>
    </row>
    <row r="2422" spans="2:6" x14ac:dyDescent="0.3">
      <c r="B2422" s="58" t="s">
        <v>4873</v>
      </c>
      <c r="C2422" s="58">
        <v>1757937053835</v>
      </c>
      <c r="D2422" s="58" t="s">
        <v>4882</v>
      </c>
      <c r="E2422" s="58" t="s">
        <v>525</v>
      </c>
      <c r="F2422" s="58" t="s">
        <v>1658</v>
      </c>
    </row>
    <row r="2423" spans="2:6" x14ac:dyDescent="0.3">
      <c r="B2423" s="58" t="s">
        <v>426</v>
      </c>
      <c r="C2423" s="58">
        <v>1757937055069</v>
      </c>
      <c r="D2423" s="58" t="s">
        <v>4883</v>
      </c>
      <c r="E2423" s="58" t="s">
        <v>428</v>
      </c>
      <c r="F2423" s="58" t="s">
        <v>435</v>
      </c>
    </row>
    <row r="2424" spans="2:6" x14ac:dyDescent="0.3">
      <c r="B2424" s="58" t="s">
        <v>4873</v>
      </c>
      <c r="C2424" s="58">
        <v>1757937056139</v>
      </c>
      <c r="D2424" s="58" t="s">
        <v>4884</v>
      </c>
      <c r="E2424" s="58" t="s">
        <v>424</v>
      </c>
      <c r="F2424" s="58" t="s">
        <v>433</v>
      </c>
    </row>
    <row r="2425" spans="2:6" x14ac:dyDescent="0.3">
      <c r="B2425" s="58" t="s">
        <v>426</v>
      </c>
      <c r="C2425" s="58">
        <v>1757937073465</v>
      </c>
      <c r="D2425" s="58" t="s">
        <v>4885</v>
      </c>
      <c r="E2425" s="58" t="s">
        <v>428</v>
      </c>
      <c r="F2425" s="58" t="s">
        <v>437</v>
      </c>
    </row>
    <row r="2426" spans="2:6" x14ac:dyDescent="0.3">
      <c r="B2426" s="58" t="s">
        <v>4873</v>
      </c>
      <c r="C2426" s="58">
        <v>1757937073958</v>
      </c>
      <c r="D2426" s="58" t="s">
        <v>4886</v>
      </c>
      <c r="E2426" s="58" t="s">
        <v>520</v>
      </c>
      <c r="F2426" s="58" t="s">
        <v>1947</v>
      </c>
    </row>
    <row r="2427" spans="2:6" x14ac:dyDescent="0.3">
      <c r="B2427" s="58" t="s">
        <v>4873</v>
      </c>
      <c r="C2427" s="58">
        <v>1757937077032</v>
      </c>
      <c r="D2427" s="58" t="s">
        <v>4887</v>
      </c>
      <c r="E2427" s="58" t="s">
        <v>424</v>
      </c>
      <c r="F2427" s="58" t="s">
        <v>553</v>
      </c>
    </row>
    <row r="2428" spans="2:6" x14ac:dyDescent="0.3">
      <c r="B2428" s="58" t="s">
        <v>4873</v>
      </c>
      <c r="C2428" s="58">
        <v>1757937088081</v>
      </c>
      <c r="D2428" s="58" t="s">
        <v>4888</v>
      </c>
      <c r="E2428" s="58" t="s">
        <v>525</v>
      </c>
      <c r="F2428" s="58" t="s">
        <v>1950</v>
      </c>
    </row>
    <row r="2429" spans="2:6" x14ac:dyDescent="0.3">
      <c r="B2429" s="58" t="s">
        <v>426</v>
      </c>
      <c r="C2429" s="58">
        <v>1757937089597</v>
      </c>
      <c r="D2429" s="58" t="s">
        <v>4889</v>
      </c>
      <c r="E2429" s="58" t="s">
        <v>428</v>
      </c>
      <c r="F2429" s="58" t="s">
        <v>538</v>
      </c>
    </row>
    <row r="2430" spans="2:6" x14ac:dyDescent="0.3">
      <c r="B2430" s="58" t="s">
        <v>4873</v>
      </c>
      <c r="C2430" s="58">
        <v>1757937090289</v>
      </c>
      <c r="D2430" s="58" t="s">
        <v>4890</v>
      </c>
      <c r="E2430" s="58" t="s">
        <v>424</v>
      </c>
      <c r="F2430" s="58" t="s">
        <v>441</v>
      </c>
    </row>
    <row r="2431" spans="2:6" x14ac:dyDescent="0.3">
      <c r="B2431" s="58" t="s">
        <v>426</v>
      </c>
      <c r="C2431" s="58">
        <v>1757937107269</v>
      </c>
      <c r="D2431" s="58" t="s">
        <v>4891</v>
      </c>
      <c r="E2431" s="58" t="s">
        <v>428</v>
      </c>
      <c r="F2431" s="58" t="s">
        <v>672</v>
      </c>
    </row>
    <row r="2432" spans="2:6" x14ac:dyDescent="0.3">
      <c r="B2432" s="58" t="s">
        <v>4873</v>
      </c>
      <c r="C2432" s="58">
        <v>1757937108183</v>
      </c>
      <c r="D2432" s="58" t="s">
        <v>4892</v>
      </c>
      <c r="E2432" s="58" t="s">
        <v>520</v>
      </c>
      <c r="F2432" s="58" t="s">
        <v>559</v>
      </c>
    </row>
    <row r="2433" spans="1:6" x14ac:dyDescent="0.3">
      <c r="B2433" s="58" t="s">
        <v>4873</v>
      </c>
      <c r="C2433" s="58">
        <v>1757937113635</v>
      </c>
      <c r="D2433" s="58" t="s">
        <v>4893</v>
      </c>
      <c r="E2433" s="58" t="s">
        <v>525</v>
      </c>
      <c r="F2433" s="58" t="s">
        <v>561</v>
      </c>
    </row>
    <row r="2434" spans="1:6" x14ac:dyDescent="0.3">
      <c r="B2434" s="58" t="s">
        <v>426</v>
      </c>
      <c r="C2434" s="58">
        <v>1757937121979</v>
      </c>
      <c r="D2434" s="58" t="s">
        <v>4894</v>
      </c>
      <c r="E2434" s="58" t="s">
        <v>428</v>
      </c>
      <c r="F2434" s="58" t="s">
        <v>453</v>
      </c>
    </row>
    <row r="2435" spans="1:6" x14ac:dyDescent="0.3">
      <c r="B2435" s="58" t="s">
        <v>4873</v>
      </c>
      <c r="C2435" s="58">
        <v>1757937132649</v>
      </c>
      <c r="D2435" s="58" t="s">
        <v>4895</v>
      </c>
      <c r="E2435" s="58" t="s">
        <v>424</v>
      </c>
      <c r="F2435" s="58" t="s">
        <v>457</v>
      </c>
    </row>
    <row r="2436" spans="1:6" x14ac:dyDescent="0.3">
      <c r="B2436" s="58" t="s">
        <v>4873</v>
      </c>
      <c r="C2436" s="58">
        <v>1757937133764</v>
      </c>
      <c r="D2436" s="58" t="s">
        <v>4896</v>
      </c>
      <c r="E2436" s="58" t="s">
        <v>520</v>
      </c>
      <c r="F2436" s="58" t="s">
        <v>521</v>
      </c>
    </row>
    <row r="2437" spans="1:6" x14ac:dyDescent="0.3">
      <c r="B2437" s="58" t="s">
        <v>4873</v>
      </c>
      <c r="C2437" s="58">
        <v>1757937139196</v>
      </c>
      <c r="D2437" s="58" t="s">
        <v>4897</v>
      </c>
      <c r="E2437" s="58" t="s">
        <v>525</v>
      </c>
      <c r="F2437" s="58" t="s">
        <v>526</v>
      </c>
    </row>
    <row r="2438" spans="1:6" x14ac:dyDescent="0.3">
      <c r="B2438" s="58" t="s">
        <v>426</v>
      </c>
      <c r="C2438" s="58">
        <v>1757937142498</v>
      </c>
      <c r="D2438" s="58" t="s">
        <v>4898</v>
      </c>
      <c r="E2438" s="58" t="s">
        <v>428</v>
      </c>
      <c r="F2438" s="58" t="s">
        <v>455</v>
      </c>
    </row>
    <row r="2439" spans="1:6" x14ac:dyDescent="0.3">
      <c r="B2439" s="58" t="s">
        <v>4873</v>
      </c>
      <c r="C2439" s="58">
        <v>1757937155981</v>
      </c>
      <c r="D2439" s="58" t="s">
        <v>4899</v>
      </c>
      <c r="E2439" s="58" t="s">
        <v>424</v>
      </c>
      <c r="F2439" s="58" t="s">
        <v>459</v>
      </c>
    </row>
    <row r="2440" spans="1:6" x14ac:dyDescent="0.3">
      <c r="B2440" s="58" t="s">
        <v>4873</v>
      </c>
      <c r="C2440" s="58">
        <v>1757937156742</v>
      </c>
      <c r="D2440" s="58" t="s">
        <v>4900</v>
      </c>
      <c r="E2440" s="58" t="s">
        <v>424</v>
      </c>
      <c r="F2440" s="58" t="s">
        <v>461</v>
      </c>
    </row>
    <row r="2441" spans="1:6" x14ac:dyDescent="0.3">
      <c r="B2441" s="58" t="s">
        <v>4873</v>
      </c>
      <c r="C2441" s="58">
        <v>1757937159293</v>
      </c>
      <c r="D2441" s="58" t="s">
        <v>4901</v>
      </c>
      <c r="E2441" s="58" t="s">
        <v>520</v>
      </c>
      <c r="F2441" s="58" t="s">
        <v>589</v>
      </c>
    </row>
    <row r="2442" spans="1:6" x14ac:dyDescent="0.3">
      <c r="B2442" s="58" t="s">
        <v>426</v>
      </c>
      <c r="C2442" s="58">
        <v>1757937159343</v>
      </c>
      <c r="D2442" s="58" t="s">
        <v>4902</v>
      </c>
      <c r="E2442" s="58" t="s">
        <v>428</v>
      </c>
      <c r="F2442" s="58" t="s">
        <v>523</v>
      </c>
    </row>
    <row r="2443" spans="1:6" x14ac:dyDescent="0.3">
      <c r="B2443" s="58" t="s">
        <v>4873</v>
      </c>
      <c r="C2443" s="58">
        <v>1757937168047</v>
      </c>
      <c r="D2443" s="58" t="s">
        <v>4903</v>
      </c>
      <c r="E2443" s="58" t="s">
        <v>525</v>
      </c>
      <c r="F2443" s="58" t="s">
        <v>592</v>
      </c>
    </row>
    <row r="2444" spans="1:6" x14ac:dyDescent="0.3">
      <c r="B2444" s="58" t="s">
        <v>426</v>
      </c>
      <c r="C2444" s="58">
        <v>1757937174813</v>
      </c>
      <c r="D2444" s="58" t="s">
        <v>4904</v>
      </c>
      <c r="E2444" s="58" t="s">
        <v>428</v>
      </c>
      <c r="F2444" s="58" t="s">
        <v>447</v>
      </c>
    </row>
    <row r="2445" spans="1:6" x14ac:dyDescent="0.3">
      <c r="B2445" s="58" t="s">
        <v>4873</v>
      </c>
      <c r="C2445" s="58">
        <v>1757937181650</v>
      </c>
      <c r="D2445" s="58" t="s">
        <v>4905</v>
      </c>
      <c r="E2445" s="58" t="s">
        <v>424</v>
      </c>
      <c r="F2445" s="58" t="s">
        <v>449</v>
      </c>
    </row>
    <row r="2446" spans="1:6" x14ac:dyDescent="0.3">
      <c r="B2446" s="58" t="s">
        <v>4873</v>
      </c>
      <c r="C2446" s="58">
        <v>1757937182596</v>
      </c>
      <c r="D2446" s="58" t="s">
        <v>4906</v>
      </c>
      <c r="E2446" s="58" t="s">
        <v>424</v>
      </c>
      <c r="F2446" s="58" t="s">
        <v>451</v>
      </c>
    </row>
    <row r="2447" spans="1:6" x14ac:dyDescent="0.3">
      <c r="B2447" s="58" t="s">
        <v>4873</v>
      </c>
      <c r="C2447" s="58">
        <v>1757937183508</v>
      </c>
      <c r="D2447" s="58" t="s">
        <v>4907</v>
      </c>
      <c r="E2447" s="58" t="s">
        <v>463</v>
      </c>
      <c r="F2447" s="58" t="s">
        <v>464</v>
      </c>
    </row>
    <row r="2448" spans="1:6" ht="21" x14ac:dyDescent="0.4">
      <c r="A2448" s="69" t="s">
        <v>58</v>
      </c>
      <c r="B2448" s="63" t="s">
        <v>48</v>
      </c>
      <c r="C2448" s="63">
        <v>1758015742813</v>
      </c>
      <c r="D2448" s="63" t="s">
        <v>5046</v>
      </c>
      <c r="E2448" s="63" t="s">
        <v>416</v>
      </c>
      <c r="F2448" t="s">
        <v>492</v>
      </c>
    </row>
    <row r="2449" spans="2:6" x14ac:dyDescent="0.3">
      <c r="B2449" s="63" t="s">
        <v>48</v>
      </c>
      <c r="C2449" s="63">
        <v>1758015756978</v>
      </c>
      <c r="D2449" s="63" t="s">
        <v>5047</v>
      </c>
      <c r="E2449" s="63" t="s">
        <v>419</v>
      </c>
      <c r="F2449" t="s">
        <v>420</v>
      </c>
    </row>
    <row r="2450" spans="2:6" x14ac:dyDescent="0.3">
      <c r="B2450" s="63" t="s">
        <v>48</v>
      </c>
      <c r="C2450" s="63">
        <v>1758015767741</v>
      </c>
      <c r="D2450" s="63" t="s">
        <v>5048</v>
      </c>
      <c r="E2450" s="63" t="s">
        <v>389</v>
      </c>
      <c r="F2450" t="s">
        <v>406</v>
      </c>
    </row>
    <row r="2451" spans="2:6" x14ac:dyDescent="0.3">
      <c r="B2451" s="63" t="s">
        <v>48</v>
      </c>
      <c r="C2451" s="63">
        <v>1758015768639</v>
      </c>
      <c r="D2451" s="63" t="s">
        <v>5049</v>
      </c>
      <c r="E2451" s="63" t="s">
        <v>389</v>
      </c>
      <c r="F2451" t="s">
        <v>390</v>
      </c>
    </row>
    <row r="2452" spans="2:6" x14ac:dyDescent="0.3">
      <c r="B2452" s="63" t="s">
        <v>48</v>
      </c>
      <c r="C2452" s="63">
        <v>1758015769034</v>
      </c>
      <c r="D2452" s="63" t="s">
        <v>5050</v>
      </c>
      <c r="E2452" s="63" t="s">
        <v>389</v>
      </c>
      <c r="F2452" t="s">
        <v>392</v>
      </c>
    </row>
    <row r="2453" spans="2:6" x14ac:dyDescent="0.3">
      <c r="B2453" s="63" t="s">
        <v>48</v>
      </c>
      <c r="C2453" s="63">
        <v>1758015789914</v>
      </c>
      <c r="D2453" s="63" t="s">
        <v>5051</v>
      </c>
      <c r="E2453" s="63" t="s">
        <v>389</v>
      </c>
      <c r="F2453" t="s">
        <v>508</v>
      </c>
    </row>
    <row r="2454" spans="2:6" x14ac:dyDescent="0.3">
      <c r="B2454" s="63" t="s">
        <v>48</v>
      </c>
      <c r="C2454" s="63">
        <v>1758015790941</v>
      </c>
      <c r="D2454" s="63" t="s">
        <v>5052</v>
      </c>
      <c r="E2454" s="63" t="s">
        <v>389</v>
      </c>
      <c r="F2454" t="s">
        <v>404</v>
      </c>
    </row>
    <row r="2455" spans="2:6" x14ac:dyDescent="0.3">
      <c r="B2455" s="63" t="s">
        <v>48</v>
      </c>
      <c r="C2455" s="63">
        <v>1758015793086</v>
      </c>
      <c r="D2455" s="63" t="s">
        <v>5053</v>
      </c>
      <c r="E2455" s="63" t="s">
        <v>389</v>
      </c>
      <c r="F2455" t="s">
        <v>1694</v>
      </c>
    </row>
    <row r="2456" spans="2:6" x14ac:dyDescent="0.3">
      <c r="B2456" s="63" t="s">
        <v>48</v>
      </c>
      <c r="C2456" s="63">
        <v>1758015793701</v>
      </c>
      <c r="D2456" s="63" t="s">
        <v>5054</v>
      </c>
      <c r="E2456" s="63" t="s">
        <v>389</v>
      </c>
      <c r="F2456" t="s">
        <v>396</v>
      </c>
    </row>
    <row r="2457" spans="2:6" x14ac:dyDescent="0.3">
      <c r="B2457" s="63" t="s">
        <v>48</v>
      </c>
      <c r="C2457" s="63">
        <v>1758015794379</v>
      </c>
      <c r="D2457" s="63" t="s">
        <v>5055</v>
      </c>
      <c r="E2457" s="63" t="s">
        <v>389</v>
      </c>
      <c r="F2457" t="s">
        <v>1694</v>
      </c>
    </row>
    <row r="2458" spans="2:6" x14ac:dyDescent="0.3">
      <c r="B2458" s="63" t="s">
        <v>48</v>
      </c>
      <c r="C2458" s="63">
        <v>1758015794462</v>
      </c>
      <c r="D2458" s="63" t="s">
        <v>5056</v>
      </c>
      <c r="E2458" s="63" t="s">
        <v>389</v>
      </c>
      <c r="F2458" t="s">
        <v>1230</v>
      </c>
    </row>
    <row r="2459" spans="2:6" x14ac:dyDescent="0.3">
      <c r="B2459" s="63" t="s">
        <v>48</v>
      </c>
      <c r="C2459" s="63">
        <v>1758015794518</v>
      </c>
      <c r="D2459" s="63" t="s">
        <v>5057</v>
      </c>
      <c r="E2459" s="63" t="s">
        <v>389</v>
      </c>
      <c r="F2459" t="s">
        <v>1218</v>
      </c>
    </row>
    <row r="2460" spans="2:6" x14ac:dyDescent="0.3">
      <c r="B2460" s="63" t="s">
        <v>48</v>
      </c>
      <c r="C2460" s="63">
        <v>1758015794588</v>
      </c>
      <c r="D2460" s="63" t="s">
        <v>5058</v>
      </c>
      <c r="E2460" s="63" t="s">
        <v>389</v>
      </c>
      <c r="F2460" t="s">
        <v>1694</v>
      </c>
    </row>
    <row r="2461" spans="2:6" x14ac:dyDescent="0.3">
      <c r="B2461" s="63" t="s">
        <v>48</v>
      </c>
      <c r="C2461" s="63">
        <v>1758015794649</v>
      </c>
      <c r="D2461" s="63" t="s">
        <v>5059</v>
      </c>
      <c r="E2461" s="63" t="s">
        <v>389</v>
      </c>
      <c r="F2461" t="s">
        <v>396</v>
      </c>
    </row>
    <row r="2462" spans="2:6" x14ac:dyDescent="0.3">
      <c r="B2462" s="63" t="s">
        <v>48</v>
      </c>
      <c r="C2462" s="63">
        <v>1758015803374</v>
      </c>
      <c r="D2462" s="63" t="s">
        <v>5060</v>
      </c>
      <c r="E2462" s="63" t="s">
        <v>389</v>
      </c>
      <c r="F2462" t="s">
        <v>394</v>
      </c>
    </row>
    <row r="2463" spans="2:6" x14ac:dyDescent="0.3">
      <c r="B2463" s="63" t="s">
        <v>48</v>
      </c>
      <c r="C2463" s="63">
        <v>1758015805161</v>
      </c>
      <c r="D2463" s="63" t="s">
        <v>5061</v>
      </c>
      <c r="E2463" s="63" t="s">
        <v>389</v>
      </c>
      <c r="F2463" t="s">
        <v>410</v>
      </c>
    </row>
    <row r="2464" spans="2:6" x14ac:dyDescent="0.3">
      <c r="B2464" s="63" t="s">
        <v>48</v>
      </c>
      <c r="C2464" s="63">
        <v>1758015807669</v>
      </c>
      <c r="D2464" s="63" t="s">
        <v>5062</v>
      </c>
      <c r="E2464" s="63" t="s">
        <v>389</v>
      </c>
      <c r="F2464" t="s">
        <v>515</v>
      </c>
    </row>
    <row r="2465" spans="2:6" x14ac:dyDescent="0.3">
      <c r="B2465" s="63" t="s">
        <v>48</v>
      </c>
      <c r="C2465" s="63">
        <v>1758015834981</v>
      </c>
      <c r="D2465" s="63" t="s">
        <v>5063</v>
      </c>
      <c r="E2465" s="63" t="s">
        <v>389</v>
      </c>
      <c r="F2465" t="s">
        <v>504</v>
      </c>
    </row>
    <row r="2466" spans="2:6" x14ac:dyDescent="0.3">
      <c r="B2466" s="63" t="s">
        <v>48</v>
      </c>
      <c r="C2466" s="63">
        <v>1758015838544</v>
      </c>
      <c r="D2466" s="63" t="s">
        <v>5064</v>
      </c>
      <c r="E2466" s="63" t="s">
        <v>389</v>
      </c>
      <c r="F2466" t="s">
        <v>398</v>
      </c>
    </row>
    <row r="2467" spans="2:6" x14ac:dyDescent="0.3">
      <c r="B2467" s="63" t="s">
        <v>48</v>
      </c>
      <c r="C2467" s="63">
        <v>1758015840313</v>
      </c>
      <c r="D2467" s="63" t="s">
        <v>5065</v>
      </c>
      <c r="E2467" s="63" t="s">
        <v>389</v>
      </c>
      <c r="F2467" t="s">
        <v>504</v>
      </c>
    </row>
    <row r="2468" spans="2:6" x14ac:dyDescent="0.3">
      <c r="B2468" s="63" t="s">
        <v>48</v>
      </c>
      <c r="C2468" s="63">
        <v>1758015840798</v>
      </c>
      <c r="D2468" s="63" t="s">
        <v>5066</v>
      </c>
      <c r="E2468" s="63" t="s">
        <v>389</v>
      </c>
      <c r="F2468" t="s">
        <v>506</v>
      </c>
    </row>
    <row r="2469" spans="2:6" x14ac:dyDescent="0.3">
      <c r="B2469" s="63" t="s">
        <v>48</v>
      </c>
      <c r="C2469" s="63">
        <v>1758015850546</v>
      </c>
      <c r="D2469" s="63" t="s">
        <v>5067</v>
      </c>
      <c r="E2469" s="63" t="s">
        <v>422</v>
      </c>
      <c r="F2469" t="s">
        <v>420</v>
      </c>
    </row>
    <row r="2470" spans="2:6" x14ac:dyDescent="0.3">
      <c r="B2470" s="63" t="s">
        <v>426</v>
      </c>
      <c r="C2470" s="63">
        <v>1758015868222</v>
      </c>
      <c r="D2470" s="63" t="s">
        <v>5068</v>
      </c>
      <c r="E2470" s="63" t="s">
        <v>428</v>
      </c>
      <c r="F2470" t="s">
        <v>453</v>
      </c>
    </row>
    <row r="2471" spans="2:6" x14ac:dyDescent="0.3">
      <c r="B2471" s="63" t="s">
        <v>48</v>
      </c>
      <c r="C2471" s="63">
        <v>1758015870761</v>
      </c>
      <c r="D2471" s="63" t="s">
        <v>5069</v>
      </c>
      <c r="E2471" s="63" t="s">
        <v>520</v>
      </c>
      <c r="F2471" t="s">
        <v>994</v>
      </c>
    </row>
    <row r="2472" spans="2:6" x14ac:dyDescent="0.3">
      <c r="B2472" s="63" t="s">
        <v>48</v>
      </c>
      <c r="C2472" s="63">
        <v>1758015877329</v>
      </c>
      <c r="D2472" s="63" t="s">
        <v>5070</v>
      </c>
      <c r="E2472" s="63" t="s">
        <v>525</v>
      </c>
      <c r="F2472" t="s">
        <v>997</v>
      </c>
    </row>
    <row r="2473" spans="2:6" x14ac:dyDescent="0.3">
      <c r="B2473" s="63" t="s">
        <v>426</v>
      </c>
      <c r="C2473" s="63">
        <v>1758015886708</v>
      </c>
      <c r="D2473" s="63" t="s">
        <v>5071</v>
      </c>
      <c r="E2473" s="63" t="s">
        <v>428</v>
      </c>
      <c r="F2473" t="s">
        <v>429</v>
      </c>
    </row>
    <row r="2474" spans="2:6" x14ac:dyDescent="0.3">
      <c r="B2474" s="63" t="s">
        <v>48</v>
      </c>
      <c r="C2474" s="63">
        <v>1758015891976</v>
      </c>
      <c r="D2474" s="63" t="s">
        <v>5072</v>
      </c>
      <c r="E2474" s="63" t="s">
        <v>424</v>
      </c>
      <c r="F2474" t="s">
        <v>457</v>
      </c>
    </row>
    <row r="2475" spans="2:6" x14ac:dyDescent="0.3">
      <c r="B2475" s="63" t="s">
        <v>48</v>
      </c>
      <c r="C2475" s="63">
        <v>1758015892858</v>
      </c>
      <c r="D2475" s="63" t="s">
        <v>5073</v>
      </c>
      <c r="E2475" s="63" t="s">
        <v>424</v>
      </c>
      <c r="F2475" t="s">
        <v>459</v>
      </c>
    </row>
    <row r="2476" spans="2:6" x14ac:dyDescent="0.3">
      <c r="B2476" s="63" t="s">
        <v>48</v>
      </c>
      <c r="C2476" s="63">
        <v>1758015893564</v>
      </c>
      <c r="D2476" s="63" t="s">
        <v>5074</v>
      </c>
      <c r="E2476" s="63" t="s">
        <v>424</v>
      </c>
      <c r="F2476" t="s">
        <v>461</v>
      </c>
    </row>
    <row r="2477" spans="2:6" x14ac:dyDescent="0.3">
      <c r="B2477" s="63" t="s">
        <v>48</v>
      </c>
      <c r="C2477" s="63">
        <v>1758015897449</v>
      </c>
      <c r="D2477" s="63" t="s">
        <v>5075</v>
      </c>
      <c r="E2477" s="63" t="s">
        <v>520</v>
      </c>
      <c r="F2477" t="s">
        <v>1532</v>
      </c>
    </row>
    <row r="2478" spans="2:6" x14ac:dyDescent="0.3">
      <c r="B2478" s="63" t="s">
        <v>426</v>
      </c>
      <c r="C2478" s="63">
        <v>1758015904406</v>
      </c>
      <c r="D2478" s="63" t="s">
        <v>5076</v>
      </c>
      <c r="E2478" s="63" t="s">
        <v>428</v>
      </c>
      <c r="F2478" t="s">
        <v>431</v>
      </c>
    </row>
    <row r="2479" spans="2:6" x14ac:dyDescent="0.3">
      <c r="B2479" s="63" t="s">
        <v>48</v>
      </c>
      <c r="C2479" s="63">
        <v>1758015905945</v>
      </c>
      <c r="D2479" s="63" t="s">
        <v>5077</v>
      </c>
      <c r="E2479" s="63" t="s">
        <v>1438</v>
      </c>
      <c r="F2479" t="s">
        <v>5078</v>
      </c>
    </row>
    <row r="2480" spans="2:6" x14ac:dyDescent="0.3">
      <c r="B2480" s="63" t="s">
        <v>48</v>
      </c>
      <c r="C2480" s="63">
        <v>1758015913659</v>
      </c>
      <c r="D2480" s="63" t="s">
        <v>5079</v>
      </c>
      <c r="E2480" s="63" t="s">
        <v>525</v>
      </c>
      <c r="F2480" t="s">
        <v>1535</v>
      </c>
    </row>
    <row r="2481" spans="2:6" x14ac:dyDescent="0.3">
      <c r="B2481" s="63" t="s">
        <v>426</v>
      </c>
      <c r="C2481" s="63">
        <v>1758015919917</v>
      </c>
      <c r="D2481" s="63" t="s">
        <v>5080</v>
      </c>
      <c r="E2481" s="63" t="s">
        <v>428</v>
      </c>
      <c r="F2481" t="s">
        <v>538</v>
      </c>
    </row>
    <row r="2482" spans="2:6" x14ac:dyDescent="0.3">
      <c r="B2482" s="63" t="s">
        <v>48</v>
      </c>
      <c r="C2482" s="63">
        <v>1758015920400</v>
      </c>
      <c r="D2482" s="63" t="s">
        <v>5081</v>
      </c>
      <c r="E2482" s="63" t="s">
        <v>424</v>
      </c>
      <c r="F2482" t="s">
        <v>433</v>
      </c>
    </row>
    <row r="2483" spans="2:6" x14ac:dyDescent="0.3">
      <c r="B2483" s="63" t="s">
        <v>48</v>
      </c>
      <c r="C2483" s="63">
        <v>1758015922398</v>
      </c>
      <c r="D2483" s="63" t="s">
        <v>5082</v>
      </c>
      <c r="E2483" s="63" t="s">
        <v>424</v>
      </c>
      <c r="F2483" t="s">
        <v>445</v>
      </c>
    </row>
    <row r="2484" spans="2:6" x14ac:dyDescent="0.3">
      <c r="B2484" s="63" t="s">
        <v>48</v>
      </c>
      <c r="C2484" s="63">
        <v>1758015933793</v>
      </c>
      <c r="D2484" s="63" t="s">
        <v>5083</v>
      </c>
      <c r="E2484" s="63" t="s">
        <v>520</v>
      </c>
      <c r="F2484" t="s">
        <v>664</v>
      </c>
    </row>
    <row r="2485" spans="2:6" x14ac:dyDescent="0.3">
      <c r="B2485" s="63" t="s">
        <v>426</v>
      </c>
      <c r="C2485" s="63">
        <v>1758015935493</v>
      </c>
      <c r="D2485" s="63" t="s">
        <v>5084</v>
      </c>
      <c r="E2485" s="63" t="s">
        <v>428</v>
      </c>
      <c r="F2485" t="s">
        <v>435</v>
      </c>
    </row>
    <row r="2486" spans="2:6" x14ac:dyDescent="0.3">
      <c r="B2486" s="63" t="s">
        <v>48</v>
      </c>
      <c r="C2486" s="63">
        <v>1758015940457</v>
      </c>
      <c r="D2486" s="63" t="s">
        <v>5085</v>
      </c>
      <c r="E2486" s="63" t="s">
        <v>525</v>
      </c>
      <c r="F2486" t="s">
        <v>665</v>
      </c>
    </row>
    <row r="2487" spans="2:6" x14ac:dyDescent="0.3">
      <c r="B2487" s="63" t="s">
        <v>48</v>
      </c>
      <c r="C2487" s="63">
        <v>1758015946304</v>
      </c>
      <c r="D2487" s="63" t="s">
        <v>5086</v>
      </c>
      <c r="E2487" s="63" t="s">
        <v>424</v>
      </c>
      <c r="F2487" t="s">
        <v>551</v>
      </c>
    </row>
    <row r="2488" spans="2:6" x14ac:dyDescent="0.3">
      <c r="B2488" s="63" t="s">
        <v>48</v>
      </c>
      <c r="C2488" s="63">
        <v>1758015946446</v>
      </c>
      <c r="D2488" s="63" t="s">
        <v>5087</v>
      </c>
      <c r="E2488" s="63" t="s">
        <v>424</v>
      </c>
      <c r="F2488" t="s">
        <v>553</v>
      </c>
    </row>
    <row r="2489" spans="2:6" x14ac:dyDescent="0.3">
      <c r="B2489" s="63" t="s">
        <v>426</v>
      </c>
      <c r="C2489" s="63">
        <v>1758015951014</v>
      </c>
      <c r="D2489" s="63" t="s">
        <v>5088</v>
      </c>
      <c r="E2489" s="63" t="s">
        <v>428</v>
      </c>
      <c r="F2489" t="s">
        <v>447</v>
      </c>
    </row>
    <row r="2490" spans="2:6" x14ac:dyDescent="0.3">
      <c r="B2490" s="63" t="s">
        <v>48</v>
      </c>
      <c r="C2490" s="63">
        <v>1758015958611</v>
      </c>
      <c r="D2490" s="63" t="s">
        <v>5089</v>
      </c>
      <c r="E2490" s="63" t="s">
        <v>424</v>
      </c>
      <c r="F2490" t="s">
        <v>441</v>
      </c>
    </row>
    <row r="2491" spans="2:6" x14ac:dyDescent="0.3">
      <c r="B2491" s="63" t="s">
        <v>48</v>
      </c>
      <c r="C2491" s="63">
        <v>1758015960583</v>
      </c>
      <c r="D2491" s="63" t="s">
        <v>5090</v>
      </c>
      <c r="E2491" s="63" t="s">
        <v>520</v>
      </c>
      <c r="F2491" t="s">
        <v>536</v>
      </c>
    </row>
    <row r="2492" spans="2:6" x14ac:dyDescent="0.3">
      <c r="B2492" s="63" t="s">
        <v>48</v>
      </c>
      <c r="C2492" s="63">
        <v>1758015965282</v>
      </c>
      <c r="D2492" s="63" t="s">
        <v>5091</v>
      </c>
      <c r="E2492" s="63" t="s">
        <v>525</v>
      </c>
      <c r="F2492" t="s">
        <v>540</v>
      </c>
    </row>
    <row r="2493" spans="2:6" x14ac:dyDescent="0.3">
      <c r="B2493" s="63" t="s">
        <v>48</v>
      </c>
      <c r="C2493" s="63">
        <v>1758015968300</v>
      </c>
      <c r="D2493" s="63" t="s">
        <v>5092</v>
      </c>
      <c r="E2493" s="63" t="s">
        <v>424</v>
      </c>
      <c r="F2493" t="s">
        <v>425</v>
      </c>
    </row>
    <row r="2494" spans="2:6" x14ac:dyDescent="0.3">
      <c r="B2494" s="63" t="s">
        <v>48</v>
      </c>
      <c r="C2494" s="63">
        <v>1758015975375</v>
      </c>
      <c r="D2494" s="63" t="s">
        <v>5093</v>
      </c>
      <c r="E2494" s="63" t="s">
        <v>424</v>
      </c>
      <c r="F2494" t="s">
        <v>449</v>
      </c>
    </row>
    <row r="2495" spans="2:6" x14ac:dyDescent="0.3">
      <c r="B2495" s="63" t="s">
        <v>48</v>
      </c>
      <c r="C2495" s="63">
        <v>1758015979386</v>
      </c>
      <c r="D2495" s="63" t="s">
        <v>5094</v>
      </c>
      <c r="E2495" s="63" t="s">
        <v>424</v>
      </c>
      <c r="F2495" t="s">
        <v>451</v>
      </c>
    </row>
    <row r="2496" spans="2:6" x14ac:dyDescent="0.3">
      <c r="B2496" s="63" t="s">
        <v>48</v>
      </c>
      <c r="C2496" s="63">
        <v>1758015983361</v>
      </c>
      <c r="D2496" s="63" t="s">
        <v>5095</v>
      </c>
      <c r="E2496" s="63" t="s">
        <v>424</v>
      </c>
      <c r="F2496" t="s">
        <v>570</v>
      </c>
    </row>
    <row r="2497" spans="2:6" x14ac:dyDescent="0.3">
      <c r="B2497" s="63" t="s">
        <v>48</v>
      </c>
      <c r="C2497" s="63">
        <v>1758015985400</v>
      </c>
      <c r="D2497" s="63" t="s">
        <v>5096</v>
      </c>
      <c r="E2497" s="63" t="s">
        <v>520</v>
      </c>
      <c r="F2497" t="s">
        <v>1281</v>
      </c>
    </row>
    <row r="2498" spans="2:6" x14ac:dyDescent="0.3">
      <c r="B2498" s="63" t="s">
        <v>48</v>
      </c>
      <c r="C2498" s="63">
        <v>1758015985547</v>
      </c>
      <c r="D2498" s="63" t="s">
        <v>5097</v>
      </c>
      <c r="E2498" s="63" t="s">
        <v>463</v>
      </c>
      <c r="F2498" t="s">
        <v>464</v>
      </c>
    </row>
    <row r="2499" spans="2:6" x14ac:dyDescent="0.3">
      <c r="B2499" s="63" t="s">
        <v>48</v>
      </c>
      <c r="C2499" s="63">
        <v>1758015992628</v>
      </c>
      <c r="D2499" s="63" t="s">
        <v>5098</v>
      </c>
      <c r="E2499" s="63" t="s">
        <v>525</v>
      </c>
      <c r="F2499" t="s">
        <v>1283</v>
      </c>
    </row>
    <row r="2500" spans="2:6" x14ac:dyDescent="0.3">
      <c r="B2500" s="58" t="s">
        <v>1524</v>
      </c>
      <c r="C2500" s="58">
        <v>1758016005912</v>
      </c>
      <c r="D2500" s="58" t="s">
        <v>5099</v>
      </c>
      <c r="E2500" s="58" t="s">
        <v>416</v>
      </c>
      <c r="F2500" t="s">
        <v>573</v>
      </c>
    </row>
    <row r="2501" spans="2:6" x14ac:dyDescent="0.3">
      <c r="B2501" s="58" t="s">
        <v>1524</v>
      </c>
      <c r="C2501" s="58">
        <v>1758016006141</v>
      </c>
      <c r="D2501" s="58" t="s">
        <v>5100</v>
      </c>
      <c r="E2501" s="58" t="s">
        <v>468</v>
      </c>
      <c r="F2501" t="s">
        <v>5101</v>
      </c>
    </row>
    <row r="2502" spans="2:6" x14ac:dyDescent="0.3">
      <c r="B2502" s="58" t="s">
        <v>1524</v>
      </c>
      <c r="C2502" s="58">
        <v>1758016006647</v>
      </c>
      <c r="D2502" s="58" t="s">
        <v>5102</v>
      </c>
      <c r="E2502" s="58" t="s">
        <v>419</v>
      </c>
      <c r="F2502" t="s">
        <v>420</v>
      </c>
    </row>
    <row r="2503" spans="2:6" x14ac:dyDescent="0.3">
      <c r="B2503" s="58" t="s">
        <v>1524</v>
      </c>
      <c r="C2503" s="58">
        <v>1758016038820</v>
      </c>
      <c r="D2503" s="58" t="s">
        <v>5103</v>
      </c>
      <c r="E2503" s="58" t="s">
        <v>422</v>
      </c>
      <c r="F2503" t="s">
        <v>420</v>
      </c>
    </row>
    <row r="2504" spans="2:6" x14ac:dyDescent="0.3">
      <c r="B2504" s="58" t="s">
        <v>426</v>
      </c>
      <c r="C2504" s="58">
        <v>1758016053576</v>
      </c>
      <c r="D2504" s="58" t="s">
        <v>5104</v>
      </c>
      <c r="E2504" s="58" t="s">
        <v>428</v>
      </c>
      <c r="F2504" t="s">
        <v>453</v>
      </c>
    </row>
    <row r="2505" spans="2:6" x14ac:dyDescent="0.3">
      <c r="B2505" s="58" t="s">
        <v>1524</v>
      </c>
      <c r="C2505" s="58">
        <v>1758016058971</v>
      </c>
      <c r="D2505" s="58" t="s">
        <v>5105</v>
      </c>
      <c r="E2505" s="58" t="s">
        <v>520</v>
      </c>
      <c r="F2505" t="s">
        <v>1409</v>
      </c>
    </row>
    <row r="2506" spans="2:6" x14ac:dyDescent="0.3">
      <c r="B2506" s="58" t="s">
        <v>1524</v>
      </c>
      <c r="C2506" s="58">
        <v>1758016065076</v>
      </c>
      <c r="D2506" s="58" t="s">
        <v>5106</v>
      </c>
      <c r="E2506" s="58" t="s">
        <v>525</v>
      </c>
      <c r="F2506" t="s">
        <v>1413</v>
      </c>
    </row>
    <row r="2507" spans="2:6" x14ac:dyDescent="0.3">
      <c r="B2507" s="58" t="s">
        <v>1524</v>
      </c>
      <c r="C2507" s="58">
        <v>1758016066438</v>
      </c>
      <c r="D2507" s="58" t="s">
        <v>5107</v>
      </c>
      <c r="E2507" s="58" t="s">
        <v>424</v>
      </c>
      <c r="F2507" t="s">
        <v>457</v>
      </c>
    </row>
    <row r="2508" spans="2:6" x14ac:dyDescent="0.3">
      <c r="B2508" s="58" t="s">
        <v>1524</v>
      </c>
      <c r="C2508" s="58">
        <v>1758016067065</v>
      </c>
      <c r="D2508" s="58" t="s">
        <v>5108</v>
      </c>
      <c r="E2508" s="58" t="s">
        <v>424</v>
      </c>
      <c r="F2508" t="s">
        <v>459</v>
      </c>
    </row>
    <row r="2509" spans="2:6" x14ac:dyDescent="0.3">
      <c r="B2509" s="58" t="s">
        <v>426</v>
      </c>
      <c r="C2509" s="58">
        <v>1758016069046</v>
      </c>
      <c r="D2509" s="58" t="s">
        <v>5109</v>
      </c>
      <c r="E2509" s="58" t="s">
        <v>428</v>
      </c>
      <c r="F2509" t="s">
        <v>429</v>
      </c>
    </row>
    <row r="2510" spans="2:6" x14ac:dyDescent="0.3">
      <c r="B2510" s="58" t="s">
        <v>1524</v>
      </c>
      <c r="C2510" s="58">
        <v>1758016077429</v>
      </c>
      <c r="D2510" s="58" t="s">
        <v>5110</v>
      </c>
      <c r="E2510" s="58" t="s">
        <v>424</v>
      </c>
      <c r="F2510" t="s">
        <v>461</v>
      </c>
    </row>
    <row r="2511" spans="2:6" x14ac:dyDescent="0.3">
      <c r="B2511" s="58" t="s">
        <v>426</v>
      </c>
      <c r="C2511" s="58">
        <v>1758016084591</v>
      </c>
      <c r="D2511" s="58" t="s">
        <v>5111</v>
      </c>
      <c r="E2511" s="58" t="s">
        <v>428</v>
      </c>
      <c r="F2511" t="s">
        <v>431</v>
      </c>
    </row>
    <row r="2512" spans="2:6" x14ac:dyDescent="0.3">
      <c r="B2512" s="58" t="s">
        <v>1524</v>
      </c>
      <c r="C2512" s="58">
        <v>1758016085199</v>
      </c>
      <c r="D2512" s="58" t="s">
        <v>5112</v>
      </c>
      <c r="E2512" s="58" t="s">
        <v>520</v>
      </c>
      <c r="F2512" t="s">
        <v>521</v>
      </c>
    </row>
    <row r="2513" spans="2:6" x14ac:dyDescent="0.3">
      <c r="B2513" s="58" t="s">
        <v>1524</v>
      </c>
      <c r="C2513" s="58">
        <v>1758016088796</v>
      </c>
      <c r="D2513" s="58" t="s">
        <v>5113</v>
      </c>
      <c r="E2513" s="58" t="s">
        <v>525</v>
      </c>
      <c r="F2513" t="s">
        <v>526</v>
      </c>
    </row>
    <row r="2514" spans="2:6" x14ac:dyDescent="0.3">
      <c r="B2514" s="58" t="s">
        <v>1524</v>
      </c>
      <c r="C2514" s="58">
        <v>1758016089869</v>
      </c>
      <c r="D2514" s="58" t="s">
        <v>5114</v>
      </c>
      <c r="E2514" s="58" t="s">
        <v>424</v>
      </c>
      <c r="F2514" t="s">
        <v>433</v>
      </c>
    </row>
    <row r="2515" spans="2:6" x14ac:dyDescent="0.3">
      <c r="B2515" s="58" t="s">
        <v>426</v>
      </c>
      <c r="C2515" s="58">
        <v>1758016103733</v>
      </c>
      <c r="D2515" s="58" t="s">
        <v>5115</v>
      </c>
      <c r="E2515" s="58" t="s">
        <v>428</v>
      </c>
      <c r="F2515" t="s">
        <v>435</v>
      </c>
    </row>
    <row r="2516" spans="2:6" x14ac:dyDescent="0.3">
      <c r="B2516" s="58" t="s">
        <v>1524</v>
      </c>
      <c r="C2516" s="58">
        <v>1758016106876</v>
      </c>
      <c r="D2516" s="58" t="s">
        <v>5116</v>
      </c>
      <c r="E2516" s="58" t="s">
        <v>424</v>
      </c>
      <c r="F2516" t="s">
        <v>551</v>
      </c>
    </row>
    <row r="2517" spans="2:6" x14ac:dyDescent="0.3">
      <c r="B2517" s="58" t="s">
        <v>1524</v>
      </c>
      <c r="C2517" s="58">
        <v>1758016107823</v>
      </c>
      <c r="D2517" s="58" t="s">
        <v>5117</v>
      </c>
      <c r="E2517" s="58" t="s">
        <v>424</v>
      </c>
      <c r="F2517" t="s">
        <v>553</v>
      </c>
    </row>
    <row r="2518" spans="2:6" x14ac:dyDescent="0.3">
      <c r="B2518" s="58" t="s">
        <v>1524</v>
      </c>
      <c r="C2518" s="58">
        <v>1758016108936</v>
      </c>
      <c r="D2518" s="58" t="s">
        <v>5118</v>
      </c>
      <c r="E2518" s="58" t="s">
        <v>520</v>
      </c>
      <c r="F2518" t="s">
        <v>608</v>
      </c>
    </row>
    <row r="2519" spans="2:6" x14ac:dyDescent="0.3">
      <c r="B2519" s="58" t="s">
        <v>1524</v>
      </c>
      <c r="C2519" s="58">
        <v>1758016115322</v>
      </c>
      <c r="D2519" s="58" t="s">
        <v>5119</v>
      </c>
      <c r="E2519" s="58" t="s">
        <v>525</v>
      </c>
      <c r="F2519" t="s">
        <v>612</v>
      </c>
    </row>
    <row r="2520" spans="2:6" x14ac:dyDescent="0.3">
      <c r="B2520" s="58" t="s">
        <v>426</v>
      </c>
      <c r="C2520" s="58">
        <v>1758016119973</v>
      </c>
      <c r="D2520" s="58" t="s">
        <v>5120</v>
      </c>
      <c r="E2520" s="58" t="s">
        <v>428</v>
      </c>
      <c r="F2520" t="s">
        <v>538</v>
      </c>
    </row>
    <row r="2521" spans="2:6" x14ac:dyDescent="0.3">
      <c r="B2521" s="58" t="s">
        <v>1524</v>
      </c>
      <c r="C2521" s="58">
        <v>1758016127662</v>
      </c>
      <c r="D2521" s="58" t="s">
        <v>5121</v>
      </c>
      <c r="E2521" s="58" t="s">
        <v>424</v>
      </c>
      <c r="F2521" t="s">
        <v>441</v>
      </c>
    </row>
    <row r="2522" spans="2:6" x14ac:dyDescent="0.3">
      <c r="B2522" s="58" t="s">
        <v>1524</v>
      </c>
      <c r="C2522" s="58">
        <v>1758016135361</v>
      </c>
      <c r="D2522" s="58" t="s">
        <v>5122</v>
      </c>
      <c r="E2522" s="58" t="s">
        <v>520</v>
      </c>
      <c r="F2522" t="s">
        <v>536</v>
      </c>
    </row>
    <row r="2523" spans="2:6" x14ac:dyDescent="0.3">
      <c r="B2523" s="58" t="s">
        <v>426</v>
      </c>
      <c r="C2523" s="58">
        <v>1758016135514</v>
      </c>
      <c r="D2523" s="58" t="s">
        <v>5123</v>
      </c>
      <c r="E2523" s="58" t="s">
        <v>428</v>
      </c>
      <c r="F2523" t="s">
        <v>447</v>
      </c>
    </row>
    <row r="2524" spans="2:6" x14ac:dyDescent="0.3">
      <c r="B2524" s="58" t="s">
        <v>1524</v>
      </c>
      <c r="C2524" s="58">
        <v>1758016145814</v>
      </c>
      <c r="D2524" s="58" t="s">
        <v>5124</v>
      </c>
      <c r="E2524" s="58" t="s">
        <v>525</v>
      </c>
      <c r="F2524" t="s">
        <v>540</v>
      </c>
    </row>
    <row r="2525" spans="2:6" x14ac:dyDescent="0.3">
      <c r="B2525" s="58" t="s">
        <v>1524</v>
      </c>
      <c r="C2525" s="58">
        <v>1758016147627</v>
      </c>
      <c r="D2525" s="58" t="s">
        <v>5125</v>
      </c>
      <c r="E2525" s="58" t="s">
        <v>424</v>
      </c>
      <c r="F2525" t="s">
        <v>445</v>
      </c>
    </row>
    <row r="2526" spans="2:6" x14ac:dyDescent="0.3">
      <c r="B2526" s="58" t="s">
        <v>1524</v>
      </c>
      <c r="C2526" s="58">
        <v>1758016153234</v>
      </c>
      <c r="D2526" s="58" t="s">
        <v>5126</v>
      </c>
      <c r="E2526" s="58" t="s">
        <v>424</v>
      </c>
      <c r="F2526" t="s">
        <v>425</v>
      </c>
    </row>
    <row r="2527" spans="2:6" x14ac:dyDescent="0.3">
      <c r="B2527" s="58" t="s">
        <v>1524</v>
      </c>
      <c r="C2527" s="58">
        <v>1758016158319</v>
      </c>
      <c r="D2527" s="58" t="s">
        <v>5127</v>
      </c>
      <c r="E2527" s="58" t="s">
        <v>424</v>
      </c>
      <c r="F2527" t="s">
        <v>449</v>
      </c>
    </row>
    <row r="2528" spans="2:6" x14ac:dyDescent="0.3">
      <c r="B2528" s="58" t="s">
        <v>1524</v>
      </c>
      <c r="C2528" s="58">
        <v>1758016158995</v>
      </c>
      <c r="D2528" s="58" t="s">
        <v>5128</v>
      </c>
      <c r="E2528" s="58" t="s">
        <v>424</v>
      </c>
      <c r="F2528" t="s">
        <v>451</v>
      </c>
    </row>
    <row r="2529" spans="1:6" x14ac:dyDescent="0.3">
      <c r="B2529" s="58" t="s">
        <v>1524</v>
      </c>
      <c r="C2529" s="58">
        <v>1758016162634</v>
      </c>
      <c r="D2529" s="58" t="s">
        <v>5129</v>
      </c>
      <c r="E2529" s="58" t="s">
        <v>424</v>
      </c>
      <c r="F2529" t="s">
        <v>570</v>
      </c>
    </row>
    <row r="2530" spans="1:6" x14ac:dyDescent="0.3">
      <c r="B2530" s="58" t="s">
        <v>1524</v>
      </c>
      <c r="C2530" s="58">
        <v>1758016163292</v>
      </c>
      <c r="D2530" s="58" t="s">
        <v>5130</v>
      </c>
      <c r="E2530" s="58" t="s">
        <v>463</v>
      </c>
      <c r="F2530" t="s">
        <v>464</v>
      </c>
    </row>
    <row r="2531" spans="1:6" ht="21" x14ac:dyDescent="0.4">
      <c r="A2531" s="69" t="s">
        <v>59</v>
      </c>
      <c r="B2531" s="63" t="s">
        <v>46</v>
      </c>
      <c r="C2531" s="63">
        <v>1758022523739</v>
      </c>
      <c r="D2531" s="63" t="s">
        <v>5131</v>
      </c>
      <c r="E2531" s="63" t="s">
        <v>416</v>
      </c>
      <c r="F2531" s="63" t="s">
        <v>492</v>
      </c>
    </row>
    <row r="2532" spans="1:6" x14ac:dyDescent="0.3">
      <c r="B2532" s="63" t="s">
        <v>46</v>
      </c>
      <c r="C2532" s="63">
        <v>1758022529667</v>
      </c>
      <c r="D2532" s="63" t="s">
        <v>5132</v>
      </c>
      <c r="E2532" s="63" t="s">
        <v>419</v>
      </c>
      <c r="F2532" s="63" t="s">
        <v>420</v>
      </c>
    </row>
    <row r="2533" spans="1:6" x14ac:dyDescent="0.3">
      <c r="B2533" s="63" t="s">
        <v>46</v>
      </c>
      <c r="C2533" s="63">
        <v>1758022589177</v>
      </c>
      <c r="D2533" s="63" t="s">
        <v>5133</v>
      </c>
      <c r="E2533" s="63" t="s">
        <v>389</v>
      </c>
      <c r="F2533" s="63" t="s">
        <v>406</v>
      </c>
    </row>
    <row r="2534" spans="1:6" x14ac:dyDescent="0.3">
      <c r="B2534" s="63" t="s">
        <v>46</v>
      </c>
      <c r="C2534" s="63">
        <v>1758022590695</v>
      </c>
      <c r="D2534" s="63" t="s">
        <v>5134</v>
      </c>
      <c r="E2534" s="63" t="s">
        <v>389</v>
      </c>
      <c r="F2534" s="63" t="s">
        <v>390</v>
      </c>
    </row>
    <row r="2535" spans="1:6" x14ac:dyDescent="0.3">
      <c r="B2535" s="63" t="s">
        <v>46</v>
      </c>
      <c r="C2535" s="63">
        <v>1758022591343</v>
      </c>
      <c r="D2535" s="63" t="s">
        <v>5135</v>
      </c>
      <c r="E2535" s="63" t="s">
        <v>389</v>
      </c>
      <c r="F2535" s="63" t="s">
        <v>392</v>
      </c>
    </row>
    <row r="2536" spans="1:6" x14ac:dyDescent="0.3">
      <c r="B2536" s="63" t="s">
        <v>46</v>
      </c>
      <c r="C2536" s="63">
        <v>1758022592513</v>
      </c>
      <c r="D2536" s="63" t="s">
        <v>5136</v>
      </c>
      <c r="E2536" s="63" t="s">
        <v>389</v>
      </c>
      <c r="F2536" s="63" t="s">
        <v>396</v>
      </c>
    </row>
    <row r="2537" spans="1:6" x14ac:dyDescent="0.3">
      <c r="B2537" s="63" t="s">
        <v>46</v>
      </c>
      <c r="C2537" s="63">
        <v>1758022593049</v>
      </c>
      <c r="D2537" s="63" t="s">
        <v>5137</v>
      </c>
      <c r="E2537" s="63" t="s">
        <v>389</v>
      </c>
      <c r="F2537" s="63" t="s">
        <v>398</v>
      </c>
    </row>
    <row r="2538" spans="1:6" x14ac:dyDescent="0.3">
      <c r="B2538" s="63" t="s">
        <v>46</v>
      </c>
      <c r="C2538" s="63">
        <v>1758022593962</v>
      </c>
      <c r="D2538" s="63" t="s">
        <v>5138</v>
      </c>
      <c r="E2538" s="63" t="s">
        <v>389</v>
      </c>
      <c r="F2538" s="63" t="s">
        <v>400</v>
      </c>
    </row>
    <row r="2539" spans="1:6" x14ac:dyDescent="0.3">
      <c r="B2539" s="63" t="s">
        <v>46</v>
      </c>
      <c r="C2539" s="63">
        <v>1758022599485</v>
      </c>
      <c r="D2539" s="63" t="s">
        <v>5139</v>
      </c>
      <c r="E2539" s="63" t="s">
        <v>389</v>
      </c>
      <c r="F2539" s="63" t="s">
        <v>2285</v>
      </c>
    </row>
    <row r="2540" spans="1:6" x14ac:dyDescent="0.3">
      <c r="B2540" s="63" t="s">
        <v>46</v>
      </c>
      <c r="C2540" s="63">
        <v>1758022601107</v>
      </c>
      <c r="D2540" s="63" t="s">
        <v>5140</v>
      </c>
      <c r="E2540" s="63" t="s">
        <v>389</v>
      </c>
      <c r="F2540" s="63" t="s">
        <v>811</v>
      </c>
    </row>
    <row r="2541" spans="1:6" x14ac:dyDescent="0.3">
      <c r="B2541" s="63" t="s">
        <v>46</v>
      </c>
      <c r="C2541" s="63">
        <v>1758022605564</v>
      </c>
      <c r="D2541" s="63" t="s">
        <v>5141</v>
      </c>
      <c r="E2541" s="63" t="s">
        <v>389</v>
      </c>
      <c r="F2541" s="63" t="s">
        <v>1599</v>
      </c>
    </row>
    <row r="2542" spans="1:6" x14ac:dyDescent="0.3">
      <c r="B2542" s="63" t="s">
        <v>46</v>
      </c>
      <c r="C2542" s="63">
        <v>1758022606300</v>
      </c>
      <c r="D2542" s="63" t="s">
        <v>5142</v>
      </c>
      <c r="E2542" s="63" t="s">
        <v>389</v>
      </c>
      <c r="F2542" s="63" t="s">
        <v>1685</v>
      </c>
    </row>
    <row r="2543" spans="1:6" x14ac:dyDescent="0.3">
      <c r="B2543" s="63" t="s">
        <v>46</v>
      </c>
      <c r="C2543" s="63">
        <v>1758022607831</v>
      </c>
      <c r="D2543" s="63" t="s">
        <v>5143</v>
      </c>
      <c r="E2543" s="63" t="s">
        <v>389</v>
      </c>
      <c r="F2543" s="63" t="s">
        <v>495</v>
      </c>
    </row>
    <row r="2544" spans="1:6" x14ac:dyDescent="0.3">
      <c r="B2544" s="63" t="s">
        <v>46</v>
      </c>
      <c r="C2544" s="63">
        <v>1758022607950</v>
      </c>
      <c r="D2544" s="63" t="s">
        <v>5144</v>
      </c>
      <c r="E2544" s="63" t="s">
        <v>389</v>
      </c>
      <c r="F2544" s="63" t="s">
        <v>495</v>
      </c>
    </row>
    <row r="2545" spans="2:6" x14ac:dyDescent="0.3">
      <c r="B2545" s="63" t="s">
        <v>46</v>
      </c>
      <c r="C2545" s="63">
        <v>1758022609179</v>
      </c>
      <c r="D2545" s="63" t="s">
        <v>5145</v>
      </c>
      <c r="E2545" s="63" t="s">
        <v>389</v>
      </c>
      <c r="F2545" s="63" t="s">
        <v>508</v>
      </c>
    </row>
    <row r="2546" spans="2:6" x14ac:dyDescent="0.3">
      <c r="B2546" s="63" t="s">
        <v>46</v>
      </c>
      <c r="C2546" s="63">
        <v>1758022610163</v>
      </c>
      <c r="D2546" s="63" t="s">
        <v>5146</v>
      </c>
      <c r="E2546" s="63" t="s">
        <v>389</v>
      </c>
      <c r="F2546" s="63" t="s">
        <v>660</v>
      </c>
    </row>
    <row r="2547" spans="2:6" x14ac:dyDescent="0.3">
      <c r="B2547" s="63" t="s">
        <v>46</v>
      </c>
      <c r="C2547" s="63">
        <v>1758022615397</v>
      </c>
      <c r="D2547" s="63" t="s">
        <v>5147</v>
      </c>
      <c r="E2547" s="63" t="s">
        <v>389</v>
      </c>
      <c r="F2547" s="63" t="s">
        <v>414</v>
      </c>
    </row>
    <row r="2548" spans="2:6" x14ac:dyDescent="0.3">
      <c r="B2548" s="63" t="s">
        <v>46</v>
      </c>
      <c r="C2548" s="63">
        <v>1758022617572</v>
      </c>
      <c r="D2548" s="63" t="s">
        <v>5148</v>
      </c>
      <c r="E2548" s="63" t="s">
        <v>422</v>
      </c>
      <c r="F2548" s="63" t="s">
        <v>420</v>
      </c>
    </row>
    <row r="2549" spans="2:6" x14ac:dyDescent="0.3">
      <c r="B2549" s="63" t="s">
        <v>426</v>
      </c>
      <c r="C2549" s="63">
        <v>1758022635262</v>
      </c>
      <c r="D2549" s="63" t="s">
        <v>5149</v>
      </c>
      <c r="E2549" s="63" t="s">
        <v>428</v>
      </c>
      <c r="F2549" s="63" t="s">
        <v>453</v>
      </c>
    </row>
    <row r="2550" spans="2:6" x14ac:dyDescent="0.3">
      <c r="B2550" s="63" t="s">
        <v>46</v>
      </c>
      <c r="C2550" s="63">
        <v>1758022637710</v>
      </c>
      <c r="D2550" s="63" t="s">
        <v>5150</v>
      </c>
      <c r="E2550" s="63" t="s">
        <v>520</v>
      </c>
      <c r="F2550" s="63" t="s">
        <v>559</v>
      </c>
    </row>
    <row r="2551" spans="2:6" x14ac:dyDescent="0.3">
      <c r="B2551" s="63" t="s">
        <v>46</v>
      </c>
      <c r="C2551" s="63">
        <v>1758022646674</v>
      </c>
      <c r="D2551" s="63" t="s">
        <v>5151</v>
      </c>
      <c r="E2551" s="63" t="s">
        <v>525</v>
      </c>
      <c r="F2551" s="63" t="s">
        <v>561</v>
      </c>
    </row>
    <row r="2552" spans="2:6" x14ac:dyDescent="0.3">
      <c r="B2552" s="63" t="s">
        <v>46</v>
      </c>
      <c r="C2552" s="63">
        <v>1758022649475</v>
      </c>
      <c r="D2552" s="63" t="s">
        <v>5152</v>
      </c>
      <c r="E2552" s="63" t="s">
        <v>424</v>
      </c>
      <c r="F2552" s="63" t="s">
        <v>457</v>
      </c>
    </row>
    <row r="2553" spans="2:6" x14ac:dyDescent="0.3">
      <c r="B2553" s="63" t="s">
        <v>426</v>
      </c>
      <c r="C2553" s="63">
        <v>1758022653738</v>
      </c>
      <c r="D2553" s="63" t="s">
        <v>5153</v>
      </c>
      <c r="E2553" s="63" t="s">
        <v>428</v>
      </c>
      <c r="F2553" s="63" t="s">
        <v>429</v>
      </c>
    </row>
    <row r="2554" spans="2:6" x14ac:dyDescent="0.3">
      <c r="B2554" s="63" t="s">
        <v>46</v>
      </c>
      <c r="C2554" s="63">
        <v>1758022655548</v>
      </c>
      <c r="D2554" s="63" t="s">
        <v>5154</v>
      </c>
      <c r="E2554" s="63" t="s">
        <v>424</v>
      </c>
      <c r="F2554" s="63" t="s">
        <v>459</v>
      </c>
    </row>
    <row r="2555" spans="2:6" x14ac:dyDescent="0.3">
      <c r="B2555" s="63" t="s">
        <v>46</v>
      </c>
      <c r="C2555" s="63">
        <v>1758022666769</v>
      </c>
      <c r="D2555" s="63" t="s">
        <v>5155</v>
      </c>
      <c r="E2555" s="63" t="s">
        <v>520</v>
      </c>
      <c r="F2555" s="63" t="s">
        <v>615</v>
      </c>
    </row>
    <row r="2556" spans="2:6" x14ac:dyDescent="0.3">
      <c r="B2556" s="63" t="s">
        <v>426</v>
      </c>
      <c r="C2556" s="63">
        <v>1758022671415</v>
      </c>
      <c r="D2556" s="63" t="s">
        <v>5156</v>
      </c>
      <c r="E2556" s="63" t="s">
        <v>428</v>
      </c>
      <c r="F2556" s="63" t="s">
        <v>431</v>
      </c>
    </row>
    <row r="2557" spans="2:6" x14ac:dyDescent="0.3">
      <c r="B2557" s="63" t="s">
        <v>46</v>
      </c>
      <c r="C2557" s="63">
        <v>1758022673134</v>
      </c>
      <c r="D2557" s="63" t="s">
        <v>5157</v>
      </c>
      <c r="E2557" s="63" t="s">
        <v>525</v>
      </c>
      <c r="F2557" s="63" t="s">
        <v>617</v>
      </c>
    </row>
    <row r="2558" spans="2:6" x14ac:dyDescent="0.3">
      <c r="B2558" s="63" t="s">
        <v>426</v>
      </c>
      <c r="C2558" s="63">
        <v>1758022686919</v>
      </c>
      <c r="D2558" s="63" t="s">
        <v>5158</v>
      </c>
      <c r="E2558" s="63" t="s">
        <v>428</v>
      </c>
      <c r="F2558" s="63" t="s">
        <v>435</v>
      </c>
    </row>
    <row r="2559" spans="2:6" x14ac:dyDescent="0.3">
      <c r="B2559" s="63" t="s">
        <v>46</v>
      </c>
      <c r="C2559" s="63">
        <v>1758022693253</v>
      </c>
      <c r="D2559" s="63" t="s">
        <v>5159</v>
      </c>
      <c r="E2559" s="63" t="s">
        <v>520</v>
      </c>
      <c r="F2559" s="63" t="s">
        <v>2687</v>
      </c>
    </row>
    <row r="2560" spans="2:6" x14ac:dyDescent="0.3">
      <c r="B2560" s="63" t="s">
        <v>46</v>
      </c>
      <c r="C2560" s="63">
        <v>1758022700548</v>
      </c>
      <c r="D2560" s="63" t="s">
        <v>5160</v>
      </c>
      <c r="E2560" s="63" t="s">
        <v>525</v>
      </c>
      <c r="F2560" s="63" t="s">
        <v>2690</v>
      </c>
    </row>
    <row r="2561" spans="2:6" x14ac:dyDescent="0.3">
      <c r="B2561" s="63" t="s">
        <v>426</v>
      </c>
      <c r="C2561" s="63">
        <v>1758022701718</v>
      </c>
      <c r="D2561" s="63" t="s">
        <v>5161</v>
      </c>
      <c r="E2561" s="63" t="s">
        <v>428</v>
      </c>
      <c r="F2561" s="63" t="s">
        <v>437</v>
      </c>
    </row>
    <row r="2562" spans="2:6" x14ac:dyDescent="0.3">
      <c r="B2562" s="63" t="s">
        <v>46</v>
      </c>
      <c r="C2562" s="63">
        <v>1758022717437</v>
      </c>
      <c r="D2562" s="63" t="s">
        <v>5162</v>
      </c>
      <c r="E2562" s="63" t="s">
        <v>424</v>
      </c>
      <c r="F2562" s="63" t="s">
        <v>461</v>
      </c>
    </row>
    <row r="2563" spans="2:6" x14ac:dyDescent="0.3">
      <c r="B2563" s="63" t="s">
        <v>426</v>
      </c>
      <c r="C2563" s="63">
        <v>1758022717958</v>
      </c>
      <c r="D2563" s="63" t="s">
        <v>5163</v>
      </c>
      <c r="E2563" s="63" t="s">
        <v>428</v>
      </c>
      <c r="F2563" s="63" t="s">
        <v>439</v>
      </c>
    </row>
    <row r="2564" spans="2:6" x14ac:dyDescent="0.3">
      <c r="B2564" s="63" t="s">
        <v>46</v>
      </c>
      <c r="C2564" s="63">
        <v>1758022720680</v>
      </c>
      <c r="D2564" s="63" t="s">
        <v>5164</v>
      </c>
      <c r="E2564" s="63" t="s">
        <v>520</v>
      </c>
      <c r="F2564" s="63" t="s">
        <v>1975</v>
      </c>
    </row>
    <row r="2565" spans="2:6" x14ac:dyDescent="0.3">
      <c r="B2565" s="63" t="s">
        <v>426</v>
      </c>
      <c r="C2565" s="63">
        <v>1758022733440</v>
      </c>
      <c r="D2565" s="63" t="s">
        <v>5165</v>
      </c>
      <c r="E2565" s="63" t="s">
        <v>428</v>
      </c>
      <c r="F2565" s="63" t="s">
        <v>538</v>
      </c>
    </row>
    <row r="2566" spans="2:6" x14ac:dyDescent="0.3">
      <c r="B2566" s="63" t="s">
        <v>46</v>
      </c>
      <c r="C2566" s="63">
        <v>1758022733743</v>
      </c>
      <c r="D2566" s="63" t="s">
        <v>5166</v>
      </c>
      <c r="E2566" s="63" t="s">
        <v>525</v>
      </c>
      <c r="F2566" s="63" t="s">
        <v>1977</v>
      </c>
    </row>
    <row r="2567" spans="2:6" x14ac:dyDescent="0.3">
      <c r="B2567" s="63" t="s">
        <v>46</v>
      </c>
      <c r="C2567" s="63">
        <v>1758022735736</v>
      </c>
      <c r="D2567" s="63" t="s">
        <v>5167</v>
      </c>
      <c r="E2567" s="63" t="s">
        <v>424</v>
      </c>
      <c r="F2567" s="63" t="s">
        <v>433</v>
      </c>
    </row>
    <row r="2568" spans="2:6" x14ac:dyDescent="0.3">
      <c r="B2568" s="63" t="s">
        <v>426</v>
      </c>
      <c r="C2568" s="63">
        <v>1758022750379</v>
      </c>
      <c r="D2568" s="63" t="s">
        <v>5168</v>
      </c>
      <c r="E2568" s="63" t="s">
        <v>428</v>
      </c>
      <c r="F2568" s="63" t="s">
        <v>672</v>
      </c>
    </row>
    <row r="2569" spans="2:6" x14ac:dyDescent="0.3">
      <c r="B2569" s="63" t="s">
        <v>46</v>
      </c>
      <c r="C2569" s="63">
        <v>1758022753874</v>
      </c>
      <c r="D2569" s="63" t="s">
        <v>5169</v>
      </c>
      <c r="E2569" s="63" t="s">
        <v>520</v>
      </c>
      <c r="F2569" s="63" t="s">
        <v>994</v>
      </c>
    </row>
    <row r="2570" spans="2:6" x14ac:dyDescent="0.3">
      <c r="B2570" s="63" t="s">
        <v>46</v>
      </c>
      <c r="C2570" s="63">
        <v>1758022762373</v>
      </c>
      <c r="D2570" s="63" t="s">
        <v>5170</v>
      </c>
      <c r="E2570" s="63" t="s">
        <v>525</v>
      </c>
      <c r="F2570" s="63" t="s">
        <v>997</v>
      </c>
    </row>
    <row r="2571" spans="2:6" x14ac:dyDescent="0.3">
      <c r="B2571" s="63" t="s">
        <v>46</v>
      </c>
      <c r="C2571" s="63">
        <v>1758022764890</v>
      </c>
      <c r="D2571" s="63" t="s">
        <v>5171</v>
      </c>
      <c r="E2571" s="63" t="s">
        <v>424</v>
      </c>
      <c r="F2571" s="63" t="s">
        <v>441</v>
      </c>
    </row>
    <row r="2572" spans="2:6" x14ac:dyDescent="0.3">
      <c r="B2572" s="63" t="s">
        <v>426</v>
      </c>
      <c r="C2572" s="63">
        <v>1758022767312</v>
      </c>
      <c r="D2572" s="63" t="s">
        <v>5172</v>
      </c>
      <c r="E2572" s="63" t="s">
        <v>428</v>
      </c>
      <c r="F2572" s="63" t="s">
        <v>523</v>
      </c>
    </row>
    <row r="2573" spans="2:6" x14ac:dyDescent="0.3">
      <c r="B2573" s="63" t="s">
        <v>46</v>
      </c>
      <c r="C2573" s="63">
        <v>1758022774897</v>
      </c>
      <c r="D2573" s="63" t="s">
        <v>5173</v>
      </c>
      <c r="E2573" s="63" t="s">
        <v>424</v>
      </c>
      <c r="F2573" s="63" t="s">
        <v>841</v>
      </c>
    </row>
    <row r="2574" spans="2:6" x14ac:dyDescent="0.3">
      <c r="B2574" s="63" t="s">
        <v>46</v>
      </c>
      <c r="C2574" s="63">
        <v>1758022781631</v>
      </c>
      <c r="D2574" s="63" t="s">
        <v>5174</v>
      </c>
      <c r="E2574" s="63" t="s">
        <v>424</v>
      </c>
      <c r="F2574" s="63" t="s">
        <v>449</v>
      </c>
    </row>
    <row r="2575" spans="2:6" x14ac:dyDescent="0.3">
      <c r="B2575" s="63" t="s">
        <v>46</v>
      </c>
      <c r="C2575" s="63">
        <v>1758022782507</v>
      </c>
      <c r="D2575" s="63" t="s">
        <v>5175</v>
      </c>
      <c r="E2575" s="63" t="s">
        <v>520</v>
      </c>
      <c r="F2575" s="63" t="s">
        <v>1409</v>
      </c>
    </row>
    <row r="2576" spans="2:6" x14ac:dyDescent="0.3">
      <c r="B2576" s="63" t="s">
        <v>426</v>
      </c>
      <c r="C2576" s="63">
        <v>1758022788685</v>
      </c>
      <c r="D2576" s="63" t="s">
        <v>5176</v>
      </c>
      <c r="E2576" s="63" t="s">
        <v>428</v>
      </c>
      <c r="F2576" s="63" t="s">
        <v>455</v>
      </c>
    </row>
    <row r="2577" spans="2:6" x14ac:dyDescent="0.3">
      <c r="B2577" s="63" t="s">
        <v>46</v>
      </c>
      <c r="C2577" s="63">
        <v>1758022802236</v>
      </c>
      <c r="D2577" s="63" t="s">
        <v>5177</v>
      </c>
      <c r="E2577" s="63" t="s">
        <v>525</v>
      </c>
      <c r="F2577" s="63" t="s">
        <v>1413</v>
      </c>
    </row>
    <row r="2578" spans="2:6" x14ac:dyDescent="0.3">
      <c r="B2578" s="63" t="s">
        <v>46</v>
      </c>
      <c r="C2578" s="63">
        <v>1758022804033</v>
      </c>
      <c r="D2578" s="63" t="s">
        <v>5178</v>
      </c>
      <c r="E2578" s="63" t="s">
        <v>424</v>
      </c>
      <c r="F2578" s="63" t="s">
        <v>451</v>
      </c>
    </row>
    <row r="2579" spans="2:6" x14ac:dyDescent="0.3">
      <c r="B2579" s="63" t="s">
        <v>46</v>
      </c>
      <c r="C2579" s="63">
        <v>1758022809830</v>
      </c>
      <c r="D2579" s="63" t="s">
        <v>5179</v>
      </c>
      <c r="E2579" s="63" t="s">
        <v>463</v>
      </c>
      <c r="F2579" s="63" t="s">
        <v>464</v>
      </c>
    </row>
    <row r="2580" spans="2:6" x14ac:dyDescent="0.3">
      <c r="B2580" s="58" t="s">
        <v>47</v>
      </c>
      <c r="C2580" s="58">
        <v>1758022817591</v>
      </c>
      <c r="D2580" s="58" t="s">
        <v>5180</v>
      </c>
      <c r="E2580" s="58" t="s">
        <v>416</v>
      </c>
      <c r="F2580" s="58" t="s">
        <v>573</v>
      </c>
    </row>
    <row r="2581" spans="2:6" x14ac:dyDescent="0.3">
      <c r="B2581" s="58" t="s">
        <v>47</v>
      </c>
      <c r="C2581" s="58">
        <v>1758022817722</v>
      </c>
      <c r="D2581" s="58" t="s">
        <v>5181</v>
      </c>
      <c r="E2581" s="58" t="s">
        <v>468</v>
      </c>
      <c r="F2581" s="58" t="s">
        <v>5182</v>
      </c>
    </row>
    <row r="2582" spans="2:6" x14ac:dyDescent="0.3">
      <c r="B2582" s="58" t="s">
        <v>47</v>
      </c>
      <c r="C2582" s="58">
        <v>1758022832133</v>
      </c>
      <c r="D2582" s="58" t="s">
        <v>5183</v>
      </c>
      <c r="E2582" s="58" t="s">
        <v>419</v>
      </c>
      <c r="F2582" s="58" t="s">
        <v>420</v>
      </c>
    </row>
    <row r="2583" spans="2:6" x14ac:dyDescent="0.3">
      <c r="B2583" s="58" t="s">
        <v>47</v>
      </c>
      <c r="C2583" s="58">
        <v>1758022835502</v>
      </c>
      <c r="D2583" s="58" t="s">
        <v>5184</v>
      </c>
      <c r="E2583" s="58" t="s">
        <v>422</v>
      </c>
      <c r="F2583" s="58" t="s">
        <v>420</v>
      </c>
    </row>
    <row r="2584" spans="2:6" x14ac:dyDescent="0.3">
      <c r="B2584" s="58" t="s">
        <v>426</v>
      </c>
      <c r="C2584" s="58">
        <v>1758022855331</v>
      </c>
      <c r="D2584" s="58" t="s">
        <v>5185</v>
      </c>
      <c r="E2584" s="58" t="s">
        <v>428</v>
      </c>
      <c r="F2584" s="58" t="s">
        <v>435</v>
      </c>
    </row>
    <row r="2585" spans="2:6" x14ac:dyDescent="0.3">
      <c r="B2585" s="58" t="s">
        <v>47</v>
      </c>
      <c r="C2585" s="58">
        <v>1758022855651</v>
      </c>
      <c r="D2585" s="58" t="s">
        <v>5186</v>
      </c>
      <c r="E2585" s="58" t="s">
        <v>520</v>
      </c>
      <c r="F2585" s="58" t="s">
        <v>662</v>
      </c>
    </row>
    <row r="2586" spans="2:6" x14ac:dyDescent="0.3">
      <c r="B2586" s="58" t="s">
        <v>47</v>
      </c>
      <c r="C2586" s="58">
        <v>1758022861625</v>
      </c>
      <c r="D2586" s="58" t="s">
        <v>5187</v>
      </c>
      <c r="E2586" s="58" t="s">
        <v>525</v>
      </c>
      <c r="F2586" s="58" t="s">
        <v>663</v>
      </c>
    </row>
    <row r="2587" spans="2:6" x14ac:dyDescent="0.3">
      <c r="B2587" s="58" t="s">
        <v>426</v>
      </c>
      <c r="C2587" s="58">
        <v>1758022874514</v>
      </c>
      <c r="D2587" s="58" t="s">
        <v>5188</v>
      </c>
      <c r="E2587" s="58" t="s">
        <v>428</v>
      </c>
      <c r="F2587" s="58" t="s">
        <v>437</v>
      </c>
    </row>
    <row r="2588" spans="2:6" x14ac:dyDescent="0.3">
      <c r="B2588" s="58" t="s">
        <v>47</v>
      </c>
      <c r="C2588" s="58">
        <v>1758022881753</v>
      </c>
      <c r="D2588" s="58" t="s">
        <v>5189</v>
      </c>
      <c r="E2588" s="58" t="s">
        <v>520</v>
      </c>
      <c r="F2588" s="58" t="s">
        <v>664</v>
      </c>
    </row>
    <row r="2589" spans="2:6" x14ac:dyDescent="0.3">
      <c r="B2589" s="58" t="s">
        <v>426</v>
      </c>
      <c r="C2589" s="58">
        <v>1758022892963</v>
      </c>
      <c r="D2589" s="58" t="s">
        <v>5190</v>
      </c>
      <c r="E2589" s="58" t="s">
        <v>428</v>
      </c>
      <c r="F2589" s="58" t="s">
        <v>439</v>
      </c>
    </row>
    <row r="2590" spans="2:6" x14ac:dyDescent="0.3">
      <c r="B2590" s="58" t="s">
        <v>47</v>
      </c>
      <c r="C2590" s="58">
        <v>1758022894093</v>
      </c>
      <c r="D2590" s="58" t="s">
        <v>5191</v>
      </c>
      <c r="E2590" s="58" t="s">
        <v>525</v>
      </c>
      <c r="F2590" s="58" t="s">
        <v>665</v>
      </c>
    </row>
    <row r="2591" spans="2:6" x14ac:dyDescent="0.3">
      <c r="B2591" s="58" t="s">
        <v>47</v>
      </c>
      <c r="C2591" s="58">
        <v>1758022903929</v>
      </c>
      <c r="D2591" s="58" t="s">
        <v>5192</v>
      </c>
      <c r="E2591" s="58" t="s">
        <v>424</v>
      </c>
      <c r="F2591" s="58" t="s">
        <v>441</v>
      </c>
    </row>
    <row r="2592" spans="2:6" x14ac:dyDescent="0.3">
      <c r="B2592" s="58" t="s">
        <v>426</v>
      </c>
      <c r="C2592" s="58">
        <v>1758022908512</v>
      </c>
      <c r="D2592" s="58" t="s">
        <v>5193</v>
      </c>
      <c r="E2592" s="58" t="s">
        <v>428</v>
      </c>
      <c r="F2592" s="58" t="s">
        <v>429</v>
      </c>
    </row>
    <row r="2593" spans="2:6" x14ac:dyDescent="0.3">
      <c r="B2593" s="58" t="s">
        <v>47</v>
      </c>
      <c r="C2593" s="58">
        <v>1758022914220</v>
      </c>
      <c r="D2593" s="58" t="s">
        <v>5194</v>
      </c>
      <c r="E2593" s="58" t="s">
        <v>520</v>
      </c>
      <c r="F2593" s="58" t="s">
        <v>2687</v>
      </c>
    </row>
    <row r="2594" spans="2:6" x14ac:dyDescent="0.3">
      <c r="B2594" s="58" t="s">
        <v>47</v>
      </c>
      <c r="C2594" s="58">
        <v>1758022920855</v>
      </c>
      <c r="D2594" s="58" t="s">
        <v>5195</v>
      </c>
      <c r="E2594" s="58" t="s">
        <v>525</v>
      </c>
      <c r="F2594" s="58" t="s">
        <v>2690</v>
      </c>
    </row>
    <row r="2595" spans="2:6" x14ac:dyDescent="0.3">
      <c r="B2595" s="58" t="s">
        <v>426</v>
      </c>
      <c r="C2595" s="58">
        <v>1758022924074</v>
      </c>
      <c r="D2595" s="58" t="s">
        <v>5196</v>
      </c>
      <c r="E2595" s="58" t="s">
        <v>428</v>
      </c>
      <c r="F2595" s="58" t="s">
        <v>431</v>
      </c>
    </row>
    <row r="2596" spans="2:6" x14ac:dyDescent="0.3">
      <c r="B2596" s="58" t="s">
        <v>47</v>
      </c>
      <c r="C2596" s="58">
        <v>1758022928421</v>
      </c>
      <c r="D2596" s="58" t="s">
        <v>5197</v>
      </c>
      <c r="E2596" s="58" t="s">
        <v>424</v>
      </c>
      <c r="F2596" s="58" t="s">
        <v>433</v>
      </c>
    </row>
    <row r="2597" spans="2:6" x14ac:dyDescent="0.3">
      <c r="B2597" s="58" t="s">
        <v>426</v>
      </c>
      <c r="C2597" s="58">
        <v>1758022940285</v>
      </c>
      <c r="D2597" s="58" t="s">
        <v>5198</v>
      </c>
      <c r="E2597" s="58" t="s">
        <v>428</v>
      </c>
      <c r="F2597" s="58" t="s">
        <v>538</v>
      </c>
    </row>
    <row r="2598" spans="2:6" x14ac:dyDescent="0.3">
      <c r="B2598" s="58" t="s">
        <v>47</v>
      </c>
      <c r="C2598" s="58">
        <v>1758022940979</v>
      </c>
      <c r="D2598" s="58" t="s">
        <v>5199</v>
      </c>
      <c r="E2598" s="58" t="s">
        <v>520</v>
      </c>
      <c r="F2598" s="58" t="s">
        <v>559</v>
      </c>
    </row>
    <row r="2599" spans="2:6" x14ac:dyDescent="0.3">
      <c r="B2599" s="58" t="s">
        <v>47</v>
      </c>
      <c r="C2599" s="58">
        <v>1758022947058</v>
      </c>
      <c r="D2599" s="58" t="s">
        <v>5200</v>
      </c>
      <c r="E2599" s="58" t="s">
        <v>525</v>
      </c>
      <c r="F2599" s="58" t="s">
        <v>561</v>
      </c>
    </row>
    <row r="2600" spans="2:6" x14ac:dyDescent="0.3">
      <c r="B2600" s="58" t="s">
        <v>426</v>
      </c>
      <c r="C2600" s="58">
        <v>1758022958032</v>
      </c>
      <c r="D2600" s="58" t="s">
        <v>5201</v>
      </c>
      <c r="E2600" s="58" t="s">
        <v>428</v>
      </c>
      <c r="F2600" s="58" t="s">
        <v>672</v>
      </c>
    </row>
    <row r="2601" spans="2:6" x14ac:dyDescent="0.3">
      <c r="B2601" s="58" t="s">
        <v>47</v>
      </c>
      <c r="C2601" s="58">
        <v>1758022967189</v>
      </c>
      <c r="D2601" s="58" t="s">
        <v>5202</v>
      </c>
      <c r="E2601" s="58" t="s">
        <v>520</v>
      </c>
      <c r="F2601" s="58" t="s">
        <v>2311</v>
      </c>
    </row>
    <row r="2602" spans="2:6" x14ac:dyDescent="0.3">
      <c r="B2602" s="58" t="s">
        <v>426</v>
      </c>
      <c r="C2602" s="58">
        <v>1758022972051</v>
      </c>
      <c r="D2602" s="58" t="s">
        <v>5203</v>
      </c>
      <c r="E2602" s="58" t="s">
        <v>428</v>
      </c>
      <c r="F2602" s="58" t="s">
        <v>453</v>
      </c>
    </row>
    <row r="2603" spans="2:6" x14ac:dyDescent="0.3">
      <c r="B2603" s="58" t="s">
        <v>47</v>
      </c>
      <c r="C2603" s="58">
        <v>1758022974750</v>
      </c>
      <c r="D2603" s="58" t="s">
        <v>5204</v>
      </c>
      <c r="E2603" s="58" t="s">
        <v>525</v>
      </c>
      <c r="F2603" s="58" t="s">
        <v>2313</v>
      </c>
    </row>
    <row r="2604" spans="2:6" x14ac:dyDescent="0.3">
      <c r="B2604" s="58" t="s">
        <v>426</v>
      </c>
      <c r="C2604" s="58">
        <v>1758022989658</v>
      </c>
      <c r="D2604" s="58" t="s">
        <v>5205</v>
      </c>
      <c r="E2604" s="58" t="s">
        <v>428</v>
      </c>
      <c r="F2604" s="58" t="s">
        <v>523</v>
      </c>
    </row>
    <row r="2605" spans="2:6" x14ac:dyDescent="0.3">
      <c r="B2605" s="58" t="s">
        <v>47</v>
      </c>
      <c r="C2605" s="58">
        <v>1758022994860</v>
      </c>
      <c r="D2605" s="58" t="s">
        <v>5206</v>
      </c>
      <c r="E2605" s="58" t="s">
        <v>520</v>
      </c>
      <c r="F2605" s="58" t="s">
        <v>1656</v>
      </c>
    </row>
    <row r="2606" spans="2:6" x14ac:dyDescent="0.3">
      <c r="B2606" s="58" t="s">
        <v>47</v>
      </c>
      <c r="C2606" s="58">
        <v>1758023006637</v>
      </c>
      <c r="D2606" s="58" t="s">
        <v>5207</v>
      </c>
      <c r="E2606" s="58" t="s">
        <v>1438</v>
      </c>
      <c r="F2606" s="58" t="s">
        <v>5208</v>
      </c>
    </row>
    <row r="2607" spans="2:6" x14ac:dyDescent="0.3">
      <c r="B2607" s="58" t="s">
        <v>426</v>
      </c>
      <c r="C2607" s="58">
        <v>1758023010273</v>
      </c>
      <c r="D2607" s="58" t="s">
        <v>5209</v>
      </c>
      <c r="E2607" s="58" t="s">
        <v>428</v>
      </c>
      <c r="F2607" s="58" t="s">
        <v>455</v>
      </c>
    </row>
    <row r="2608" spans="2:6" x14ac:dyDescent="0.3">
      <c r="B2608" s="58" t="s">
        <v>47</v>
      </c>
      <c r="C2608" s="58">
        <v>1758023016730</v>
      </c>
      <c r="D2608" s="58" t="s">
        <v>5210</v>
      </c>
      <c r="E2608" s="58" t="s">
        <v>525</v>
      </c>
      <c r="F2608" s="58" t="s">
        <v>1658</v>
      </c>
    </row>
    <row r="2609" spans="1:6" x14ac:dyDescent="0.3">
      <c r="B2609" s="58" t="s">
        <v>47</v>
      </c>
      <c r="C2609" s="58">
        <v>1758023018752</v>
      </c>
      <c r="D2609" s="58" t="s">
        <v>5211</v>
      </c>
      <c r="E2609" s="58" t="s">
        <v>424</v>
      </c>
      <c r="F2609" s="58" t="s">
        <v>457</v>
      </c>
    </row>
    <row r="2610" spans="1:6" x14ac:dyDescent="0.3">
      <c r="B2610" s="58" t="s">
        <v>47</v>
      </c>
      <c r="C2610" s="58">
        <v>1758023025840</v>
      </c>
      <c r="D2610" s="58" t="s">
        <v>5212</v>
      </c>
      <c r="E2610" s="58" t="s">
        <v>424</v>
      </c>
      <c r="F2610" s="58" t="s">
        <v>459</v>
      </c>
    </row>
    <row r="2611" spans="1:6" x14ac:dyDescent="0.3">
      <c r="B2611" s="58" t="s">
        <v>47</v>
      </c>
      <c r="C2611" s="58">
        <v>1758023036848</v>
      </c>
      <c r="D2611" s="58" t="s">
        <v>5213</v>
      </c>
      <c r="E2611" s="58" t="s">
        <v>520</v>
      </c>
      <c r="F2611" s="58" t="s">
        <v>521</v>
      </c>
    </row>
    <row r="2612" spans="1:6" x14ac:dyDescent="0.3">
      <c r="B2612" s="58" t="s">
        <v>47</v>
      </c>
      <c r="C2612" s="58">
        <v>1758023044002</v>
      </c>
      <c r="D2612" s="58" t="s">
        <v>5214</v>
      </c>
      <c r="E2612" s="58" t="s">
        <v>525</v>
      </c>
      <c r="F2612" s="58" t="s">
        <v>526</v>
      </c>
    </row>
    <row r="2613" spans="1:6" x14ac:dyDescent="0.3">
      <c r="B2613" s="58" t="s">
        <v>47</v>
      </c>
      <c r="C2613" s="58">
        <v>1758023059430</v>
      </c>
      <c r="D2613" s="58" t="s">
        <v>5215</v>
      </c>
      <c r="E2613" s="58" t="s">
        <v>424</v>
      </c>
      <c r="F2613" s="58" t="s">
        <v>461</v>
      </c>
    </row>
    <row r="2614" spans="1:6" x14ac:dyDescent="0.3">
      <c r="B2614" s="58" t="s">
        <v>47</v>
      </c>
      <c r="C2614" s="58">
        <v>1758023060332</v>
      </c>
      <c r="D2614" s="58" t="s">
        <v>5216</v>
      </c>
      <c r="E2614" s="58" t="s">
        <v>424</v>
      </c>
      <c r="F2614" s="58" t="s">
        <v>841</v>
      </c>
    </row>
    <row r="2615" spans="1:6" x14ac:dyDescent="0.3">
      <c r="B2615" s="58" t="s">
        <v>47</v>
      </c>
      <c r="C2615" s="58">
        <v>1758023060747</v>
      </c>
      <c r="D2615" s="58" t="s">
        <v>5217</v>
      </c>
      <c r="E2615" s="58" t="s">
        <v>424</v>
      </c>
      <c r="F2615" s="58" t="s">
        <v>449</v>
      </c>
    </row>
    <row r="2616" spans="1:6" x14ac:dyDescent="0.3">
      <c r="B2616" s="58" t="s">
        <v>47</v>
      </c>
      <c r="C2616" s="58">
        <v>1758023061712</v>
      </c>
      <c r="D2616" s="58" t="s">
        <v>5218</v>
      </c>
      <c r="E2616" s="58" t="s">
        <v>424</v>
      </c>
      <c r="F2616" s="58" t="s">
        <v>451</v>
      </c>
    </row>
    <row r="2617" spans="1:6" x14ac:dyDescent="0.3">
      <c r="B2617" s="58" t="s">
        <v>47</v>
      </c>
      <c r="C2617" s="58">
        <v>1758023063088</v>
      </c>
      <c r="D2617" s="58" t="s">
        <v>5219</v>
      </c>
      <c r="E2617" s="58" t="s">
        <v>463</v>
      </c>
      <c r="F2617" s="58" t="s">
        <v>464</v>
      </c>
    </row>
    <row r="2618" spans="1:6" ht="21" x14ac:dyDescent="0.4">
      <c r="A2618" s="69" t="s">
        <v>60</v>
      </c>
      <c r="B2618" s="63" t="s">
        <v>57</v>
      </c>
      <c r="C2618" s="63">
        <v>1758028184935</v>
      </c>
      <c r="D2618" s="63" t="s">
        <v>5352</v>
      </c>
      <c r="E2618" s="63" t="s">
        <v>416</v>
      </c>
      <c r="F2618" t="s">
        <v>492</v>
      </c>
    </row>
    <row r="2619" spans="1:6" x14ac:dyDescent="0.3">
      <c r="B2619" s="63" t="s">
        <v>57</v>
      </c>
      <c r="C2619" s="63">
        <v>1758028199540</v>
      </c>
      <c r="D2619" s="63" t="s">
        <v>5353</v>
      </c>
      <c r="E2619" s="63" t="s">
        <v>419</v>
      </c>
      <c r="F2619" t="s">
        <v>420</v>
      </c>
    </row>
    <row r="2620" spans="1:6" x14ac:dyDescent="0.3">
      <c r="B2620" s="63" t="s">
        <v>57</v>
      </c>
      <c r="C2620" s="63">
        <v>1758028203285</v>
      </c>
      <c r="D2620" s="63" t="s">
        <v>5354</v>
      </c>
      <c r="E2620" s="63" t="s">
        <v>389</v>
      </c>
      <c r="F2620" t="s">
        <v>502</v>
      </c>
    </row>
    <row r="2621" spans="1:6" x14ac:dyDescent="0.3">
      <c r="B2621" s="63" t="s">
        <v>57</v>
      </c>
      <c r="C2621" s="63">
        <v>1758028208096</v>
      </c>
      <c r="D2621" s="63" t="s">
        <v>5355</v>
      </c>
      <c r="E2621" s="63" t="s">
        <v>389</v>
      </c>
      <c r="F2621" t="s">
        <v>398</v>
      </c>
    </row>
    <row r="2622" spans="1:6" x14ac:dyDescent="0.3">
      <c r="B2622" s="63" t="s">
        <v>57</v>
      </c>
      <c r="C2622" s="63">
        <v>1758028212927</v>
      </c>
      <c r="D2622" s="63" t="s">
        <v>5356</v>
      </c>
      <c r="E2622" s="63" t="s">
        <v>389</v>
      </c>
      <c r="F2622" t="s">
        <v>506</v>
      </c>
    </row>
    <row r="2623" spans="1:6" x14ac:dyDescent="0.3">
      <c r="B2623" s="63" t="s">
        <v>57</v>
      </c>
      <c r="C2623" s="63">
        <v>1758028215536</v>
      </c>
      <c r="D2623" s="63" t="s">
        <v>5357</v>
      </c>
      <c r="E2623" s="63" t="s">
        <v>389</v>
      </c>
      <c r="F2623" t="s">
        <v>979</v>
      </c>
    </row>
    <row r="2624" spans="1:6" x14ac:dyDescent="0.3">
      <c r="B2624" s="63" t="s">
        <v>57</v>
      </c>
      <c r="C2624" s="63">
        <v>1758028215890</v>
      </c>
      <c r="D2624" s="63" t="s">
        <v>5358</v>
      </c>
      <c r="E2624" s="63" t="s">
        <v>389</v>
      </c>
      <c r="F2624" t="s">
        <v>1689</v>
      </c>
    </row>
    <row r="2625" spans="2:6" x14ac:dyDescent="0.3">
      <c r="B2625" s="63" t="s">
        <v>57</v>
      </c>
      <c r="C2625" s="63">
        <v>1758028219370</v>
      </c>
      <c r="D2625" s="63" t="s">
        <v>5359</v>
      </c>
      <c r="E2625" s="63" t="s">
        <v>389</v>
      </c>
      <c r="F2625" t="s">
        <v>508</v>
      </c>
    </row>
    <row r="2626" spans="2:6" x14ac:dyDescent="0.3">
      <c r="B2626" s="63" t="s">
        <v>57</v>
      </c>
      <c r="C2626" s="63">
        <v>1758028219656</v>
      </c>
      <c r="D2626" s="63" t="s">
        <v>5360</v>
      </c>
      <c r="E2626" s="63" t="s">
        <v>389</v>
      </c>
      <c r="F2626" t="s">
        <v>660</v>
      </c>
    </row>
    <row r="2627" spans="2:6" x14ac:dyDescent="0.3">
      <c r="B2627" s="63" t="s">
        <v>57</v>
      </c>
      <c r="C2627" s="63">
        <v>1758028222362</v>
      </c>
      <c r="D2627" s="63" t="s">
        <v>5361</v>
      </c>
      <c r="E2627" s="63" t="s">
        <v>389</v>
      </c>
      <c r="F2627" t="s">
        <v>406</v>
      </c>
    </row>
    <row r="2628" spans="2:6" x14ac:dyDescent="0.3">
      <c r="B2628" s="63" t="s">
        <v>57</v>
      </c>
      <c r="C2628" s="63">
        <v>1758028228954</v>
      </c>
      <c r="D2628" s="63" t="s">
        <v>5362</v>
      </c>
      <c r="E2628" s="63" t="s">
        <v>389</v>
      </c>
      <c r="F2628" t="s">
        <v>414</v>
      </c>
    </row>
    <row r="2629" spans="2:6" x14ac:dyDescent="0.3">
      <c r="B2629" s="63" t="s">
        <v>57</v>
      </c>
      <c r="C2629" s="63">
        <v>1758028230682</v>
      </c>
      <c r="D2629" s="63" t="s">
        <v>5363</v>
      </c>
      <c r="E2629" s="63" t="s">
        <v>389</v>
      </c>
      <c r="F2629" t="s">
        <v>410</v>
      </c>
    </row>
    <row r="2630" spans="2:6" x14ac:dyDescent="0.3">
      <c r="B2630" s="63" t="s">
        <v>57</v>
      </c>
      <c r="C2630" s="63">
        <v>1758028235217</v>
      </c>
      <c r="D2630" s="63" t="s">
        <v>5364</v>
      </c>
      <c r="E2630" s="63" t="s">
        <v>389</v>
      </c>
      <c r="F2630" t="s">
        <v>394</v>
      </c>
    </row>
    <row r="2631" spans="2:6" x14ac:dyDescent="0.3">
      <c r="B2631" s="63" t="s">
        <v>57</v>
      </c>
      <c r="C2631" s="63">
        <v>1758028268532</v>
      </c>
      <c r="D2631" s="63" t="s">
        <v>5365</v>
      </c>
      <c r="E2631" s="63" t="s">
        <v>422</v>
      </c>
      <c r="F2631" t="s">
        <v>420</v>
      </c>
    </row>
    <row r="2632" spans="2:6" x14ac:dyDescent="0.3">
      <c r="B2632" s="63" t="s">
        <v>57</v>
      </c>
      <c r="C2632" s="63">
        <v>1758028277043</v>
      </c>
      <c r="D2632" s="63" t="s">
        <v>5366</v>
      </c>
      <c r="E2632" s="63" t="s">
        <v>424</v>
      </c>
      <c r="F2632" t="s">
        <v>549</v>
      </c>
    </row>
    <row r="2633" spans="2:6" x14ac:dyDescent="0.3">
      <c r="B2633" s="63" t="s">
        <v>57</v>
      </c>
      <c r="C2633" s="63">
        <v>1758028288764</v>
      </c>
      <c r="D2633" s="63" t="s">
        <v>5367</v>
      </c>
      <c r="E2633" s="63" t="s">
        <v>520</v>
      </c>
      <c r="F2633" t="s">
        <v>2687</v>
      </c>
    </row>
    <row r="2634" spans="2:6" x14ac:dyDescent="0.3">
      <c r="B2634" s="63" t="s">
        <v>426</v>
      </c>
      <c r="C2634" s="63">
        <v>1758028294096</v>
      </c>
      <c r="D2634" s="63" t="s">
        <v>5368</v>
      </c>
      <c r="E2634" s="63" t="s">
        <v>428</v>
      </c>
      <c r="F2634" t="s">
        <v>437</v>
      </c>
    </row>
    <row r="2635" spans="2:6" x14ac:dyDescent="0.3">
      <c r="B2635" s="63" t="s">
        <v>57</v>
      </c>
      <c r="C2635" s="63">
        <v>1758028294251</v>
      </c>
      <c r="D2635" s="63" t="s">
        <v>5369</v>
      </c>
      <c r="E2635" s="63" t="s">
        <v>525</v>
      </c>
      <c r="F2635" t="s">
        <v>2690</v>
      </c>
    </row>
    <row r="2636" spans="2:6" x14ac:dyDescent="0.3">
      <c r="B2636" s="63" t="s">
        <v>57</v>
      </c>
      <c r="C2636" s="63">
        <v>1758028298382</v>
      </c>
      <c r="D2636" s="63" t="s">
        <v>5370</v>
      </c>
      <c r="E2636" s="63" t="s">
        <v>424</v>
      </c>
      <c r="F2636" t="s">
        <v>553</v>
      </c>
    </row>
    <row r="2637" spans="2:6" x14ac:dyDescent="0.3">
      <c r="B2637" s="63" t="s">
        <v>426</v>
      </c>
      <c r="C2637" s="63">
        <v>1758028312489</v>
      </c>
      <c r="D2637" s="63" t="s">
        <v>5371</v>
      </c>
      <c r="E2637" s="63" t="s">
        <v>428</v>
      </c>
      <c r="F2637" t="s">
        <v>429</v>
      </c>
    </row>
    <row r="2638" spans="2:6" x14ac:dyDescent="0.3">
      <c r="B2638" s="63" t="s">
        <v>57</v>
      </c>
      <c r="C2638" s="63">
        <v>1758028314378</v>
      </c>
      <c r="D2638" s="63" t="s">
        <v>5372</v>
      </c>
      <c r="E2638" s="63" t="s">
        <v>520</v>
      </c>
      <c r="F2638" t="s">
        <v>1532</v>
      </c>
    </row>
    <row r="2639" spans="2:6" x14ac:dyDescent="0.3">
      <c r="B2639" s="63" t="s">
        <v>57</v>
      </c>
      <c r="C2639" s="63">
        <v>1758028319392</v>
      </c>
      <c r="D2639" s="63" t="s">
        <v>5373</v>
      </c>
      <c r="E2639" s="63" t="s">
        <v>525</v>
      </c>
      <c r="F2639" t="s">
        <v>1535</v>
      </c>
    </row>
    <row r="2640" spans="2:6" x14ac:dyDescent="0.3">
      <c r="B2640" s="63" t="s">
        <v>57</v>
      </c>
      <c r="C2640" s="63">
        <v>1758028320874</v>
      </c>
      <c r="D2640" s="63" t="s">
        <v>5374</v>
      </c>
      <c r="E2640" s="63" t="s">
        <v>424</v>
      </c>
      <c r="F2640" t="s">
        <v>441</v>
      </c>
    </row>
    <row r="2641" spans="2:6" x14ac:dyDescent="0.3">
      <c r="B2641" s="63" t="s">
        <v>426</v>
      </c>
      <c r="C2641" s="63">
        <v>1758028329448</v>
      </c>
      <c r="D2641" s="63" t="s">
        <v>5375</v>
      </c>
      <c r="E2641" s="63" t="s">
        <v>428</v>
      </c>
      <c r="F2641" t="s">
        <v>431</v>
      </c>
    </row>
    <row r="2642" spans="2:6" x14ac:dyDescent="0.3">
      <c r="B2642" s="63" t="s">
        <v>57</v>
      </c>
      <c r="C2642" s="63">
        <v>1758028332196</v>
      </c>
      <c r="D2642" s="63" t="s">
        <v>5376</v>
      </c>
      <c r="E2642" s="63" t="s">
        <v>424</v>
      </c>
      <c r="F2642" t="s">
        <v>433</v>
      </c>
    </row>
    <row r="2643" spans="2:6" x14ac:dyDescent="0.3">
      <c r="B2643" s="63" t="s">
        <v>57</v>
      </c>
      <c r="C2643" s="63">
        <v>1758028339453</v>
      </c>
      <c r="D2643" s="63" t="s">
        <v>5377</v>
      </c>
      <c r="E2643" s="63" t="s">
        <v>520</v>
      </c>
      <c r="F2643" t="s">
        <v>529</v>
      </c>
    </row>
    <row r="2644" spans="2:6" x14ac:dyDescent="0.3">
      <c r="B2644" s="63" t="s">
        <v>57</v>
      </c>
      <c r="C2644" s="63">
        <v>1758028347136</v>
      </c>
      <c r="D2644" s="63" t="s">
        <v>5378</v>
      </c>
      <c r="E2644" s="63" t="s">
        <v>525</v>
      </c>
      <c r="F2644" t="s">
        <v>531</v>
      </c>
    </row>
    <row r="2645" spans="2:6" x14ac:dyDescent="0.3">
      <c r="B2645" s="63" t="s">
        <v>426</v>
      </c>
      <c r="C2645" s="63">
        <v>1758028347205</v>
      </c>
      <c r="D2645" s="63" t="s">
        <v>5379</v>
      </c>
      <c r="E2645" s="63" t="s">
        <v>428</v>
      </c>
      <c r="F2645" t="s">
        <v>453</v>
      </c>
    </row>
    <row r="2646" spans="2:6" x14ac:dyDescent="0.3">
      <c r="B2646" s="63" t="s">
        <v>426</v>
      </c>
      <c r="C2646" s="63">
        <v>1758028362654</v>
      </c>
      <c r="D2646" s="63" t="s">
        <v>5380</v>
      </c>
      <c r="E2646" s="63" t="s">
        <v>428</v>
      </c>
      <c r="F2646" t="s">
        <v>538</v>
      </c>
    </row>
    <row r="2647" spans="2:6" x14ac:dyDescent="0.3">
      <c r="B2647" s="63" t="s">
        <v>57</v>
      </c>
      <c r="C2647" s="63">
        <v>1758028367287</v>
      </c>
      <c r="D2647" s="63" t="s">
        <v>5381</v>
      </c>
      <c r="E2647" s="63" t="s">
        <v>520</v>
      </c>
      <c r="F2647" t="s">
        <v>1606</v>
      </c>
    </row>
    <row r="2648" spans="2:6" x14ac:dyDescent="0.3">
      <c r="B2648" s="63" t="s">
        <v>57</v>
      </c>
      <c r="C2648" s="63">
        <v>1758028376042</v>
      </c>
      <c r="D2648" s="63" t="s">
        <v>5382</v>
      </c>
      <c r="E2648" s="63" t="s">
        <v>525</v>
      </c>
      <c r="F2648" t="s">
        <v>1608</v>
      </c>
    </row>
    <row r="2649" spans="2:6" x14ac:dyDescent="0.3">
      <c r="B2649" s="63" t="s">
        <v>57</v>
      </c>
      <c r="C2649" s="63">
        <v>1758028377749</v>
      </c>
      <c r="D2649" s="63" t="s">
        <v>5383</v>
      </c>
      <c r="E2649" s="63" t="s">
        <v>424</v>
      </c>
      <c r="F2649" t="s">
        <v>457</v>
      </c>
    </row>
    <row r="2650" spans="2:6" x14ac:dyDescent="0.3">
      <c r="B2650" s="63" t="s">
        <v>426</v>
      </c>
      <c r="C2650" s="63">
        <v>1758028379634</v>
      </c>
      <c r="D2650" s="63" t="s">
        <v>5384</v>
      </c>
      <c r="E2650" s="63" t="s">
        <v>428</v>
      </c>
      <c r="F2650" t="s">
        <v>672</v>
      </c>
    </row>
    <row r="2651" spans="2:6" x14ac:dyDescent="0.3">
      <c r="B2651" s="63" t="s">
        <v>57</v>
      </c>
      <c r="C2651" s="63">
        <v>1758028384638</v>
      </c>
      <c r="D2651" s="63" t="s">
        <v>5385</v>
      </c>
      <c r="E2651" s="63" t="s">
        <v>424</v>
      </c>
      <c r="F2651" t="s">
        <v>459</v>
      </c>
    </row>
    <row r="2652" spans="2:6" x14ac:dyDescent="0.3">
      <c r="B2652" s="63" t="s">
        <v>426</v>
      </c>
      <c r="C2652" s="63">
        <v>1758028395049</v>
      </c>
      <c r="D2652" s="63" t="s">
        <v>5386</v>
      </c>
      <c r="E2652" s="63" t="s">
        <v>428</v>
      </c>
      <c r="F2652" t="s">
        <v>447</v>
      </c>
    </row>
    <row r="2653" spans="2:6" x14ac:dyDescent="0.3">
      <c r="B2653" s="63" t="s">
        <v>57</v>
      </c>
      <c r="C2653" s="63">
        <v>1758028396159</v>
      </c>
      <c r="D2653" s="63" t="s">
        <v>5387</v>
      </c>
      <c r="E2653" s="63" t="s">
        <v>520</v>
      </c>
      <c r="F2653" t="s">
        <v>1425</v>
      </c>
    </row>
    <row r="2654" spans="2:6" x14ac:dyDescent="0.3">
      <c r="B2654" s="63" t="s">
        <v>57</v>
      </c>
      <c r="C2654" s="63">
        <v>1758028403740</v>
      </c>
      <c r="D2654" s="63" t="s">
        <v>5388</v>
      </c>
      <c r="E2654" s="63" t="s">
        <v>525</v>
      </c>
      <c r="F2654" t="s">
        <v>1429</v>
      </c>
    </row>
    <row r="2655" spans="2:6" x14ac:dyDescent="0.3">
      <c r="B2655" s="63" t="s">
        <v>426</v>
      </c>
      <c r="C2655" s="63">
        <v>1758028416345</v>
      </c>
      <c r="D2655" s="63" t="s">
        <v>5389</v>
      </c>
      <c r="E2655" s="63" t="s">
        <v>428</v>
      </c>
      <c r="F2655" t="s">
        <v>455</v>
      </c>
    </row>
    <row r="2656" spans="2:6" x14ac:dyDescent="0.3">
      <c r="B2656" s="63" t="s">
        <v>57</v>
      </c>
      <c r="C2656" s="63">
        <v>1758028418581</v>
      </c>
      <c r="D2656" s="63" t="s">
        <v>5390</v>
      </c>
      <c r="E2656" s="63" t="s">
        <v>424</v>
      </c>
      <c r="F2656" t="s">
        <v>461</v>
      </c>
    </row>
    <row r="2657" spans="2:6" x14ac:dyDescent="0.3">
      <c r="B2657" s="63" t="s">
        <v>57</v>
      </c>
      <c r="C2657" s="63">
        <v>1758028421646</v>
      </c>
      <c r="D2657" s="63" t="s">
        <v>5391</v>
      </c>
      <c r="E2657" s="63" t="s">
        <v>424</v>
      </c>
      <c r="F2657" t="s">
        <v>425</v>
      </c>
    </row>
    <row r="2658" spans="2:6" x14ac:dyDescent="0.3">
      <c r="B2658" s="63" t="s">
        <v>57</v>
      </c>
      <c r="C2658" s="63">
        <v>1758028423880</v>
      </c>
      <c r="D2658" s="63" t="s">
        <v>5392</v>
      </c>
      <c r="E2658" s="63" t="s">
        <v>520</v>
      </c>
      <c r="F2658" t="s">
        <v>589</v>
      </c>
    </row>
    <row r="2659" spans="2:6" x14ac:dyDescent="0.3">
      <c r="B2659" s="63" t="s">
        <v>57</v>
      </c>
      <c r="C2659" s="63">
        <v>1758028430501</v>
      </c>
      <c r="D2659" s="63" t="s">
        <v>5393</v>
      </c>
      <c r="E2659" s="63" t="s">
        <v>525</v>
      </c>
      <c r="F2659" t="s">
        <v>592</v>
      </c>
    </row>
    <row r="2660" spans="2:6" x14ac:dyDescent="0.3">
      <c r="B2660" s="63" t="s">
        <v>57</v>
      </c>
      <c r="C2660" s="63">
        <v>1758028438925</v>
      </c>
      <c r="D2660" s="63" t="s">
        <v>5394</v>
      </c>
      <c r="E2660" s="63" t="s">
        <v>424</v>
      </c>
      <c r="F2660" t="s">
        <v>449</v>
      </c>
    </row>
    <row r="2661" spans="2:6" x14ac:dyDescent="0.3">
      <c r="B2661" s="63" t="s">
        <v>57</v>
      </c>
      <c r="C2661" s="63">
        <v>1758028439934</v>
      </c>
      <c r="D2661" s="63" t="s">
        <v>5395</v>
      </c>
      <c r="E2661" s="63" t="s">
        <v>424</v>
      </c>
      <c r="F2661" t="s">
        <v>451</v>
      </c>
    </row>
    <row r="2662" spans="2:6" x14ac:dyDescent="0.3">
      <c r="B2662" s="63" t="s">
        <v>57</v>
      </c>
      <c r="C2662" s="63">
        <v>1758028444040</v>
      </c>
      <c r="D2662" s="63" t="s">
        <v>5396</v>
      </c>
      <c r="E2662" s="63" t="s">
        <v>463</v>
      </c>
      <c r="F2662" t="s">
        <v>464</v>
      </c>
    </row>
    <row r="2663" spans="2:6" x14ac:dyDescent="0.3">
      <c r="B2663" s="58" t="s">
        <v>58</v>
      </c>
      <c r="C2663" s="58">
        <v>1758028454978</v>
      </c>
      <c r="D2663" s="58" t="s">
        <v>5397</v>
      </c>
      <c r="E2663" s="58" t="s">
        <v>416</v>
      </c>
      <c r="F2663" t="s">
        <v>573</v>
      </c>
    </row>
    <row r="2664" spans="2:6" x14ac:dyDescent="0.3">
      <c r="B2664" s="58" t="s">
        <v>58</v>
      </c>
      <c r="C2664" s="58">
        <v>1758028455207</v>
      </c>
      <c r="D2664" s="58" t="s">
        <v>5398</v>
      </c>
      <c r="E2664" s="58" t="s">
        <v>468</v>
      </c>
      <c r="F2664" t="s">
        <v>5399</v>
      </c>
    </row>
    <row r="2665" spans="2:6" x14ac:dyDescent="0.3">
      <c r="B2665" s="58" t="s">
        <v>58</v>
      </c>
      <c r="C2665" s="58">
        <v>1758028455720</v>
      </c>
      <c r="D2665" s="58" t="s">
        <v>5400</v>
      </c>
      <c r="E2665" s="58" t="s">
        <v>419</v>
      </c>
      <c r="F2665" t="s">
        <v>420</v>
      </c>
    </row>
    <row r="2666" spans="2:6" x14ac:dyDescent="0.3">
      <c r="B2666" s="58" t="s">
        <v>58</v>
      </c>
      <c r="C2666" s="58">
        <v>1758028469576</v>
      </c>
      <c r="D2666" s="58" t="s">
        <v>5401</v>
      </c>
      <c r="E2666" s="58" t="s">
        <v>389</v>
      </c>
      <c r="F2666" t="s">
        <v>495</v>
      </c>
    </row>
    <row r="2667" spans="2:6" x14ac:dyDescent="0.3">
      <c r="B2667" s="58" t="s">
        <v>58</v>
      </c>
      <c r="C2667" s="58">
        <v>1758028469711</v>
      </c>
      <c r="D2667" s="58" t="s">
        <v>5402</v>
      </c>
      <c r="E2667" s="58" t="s">
        <v>389</v>
      </c>
      <c r="F2667" t="s">
        <v>1587</v>
      </c>
    </row>
    <row r="2668" spans="2:6" x14ac:dyDescent="0.3">
      <c r="B2668" s="58" t="s">
        <v>58</v>
      </c>
      <c r="C2668" s="58">
        <v>1758028479021</v>
      </c>
      <c r="D2668" s="58" t="s">
        <v>5403</v>
      </c>
      <c r="E2668" s="58" t="s">
        <v>422</v>
      </c>
      <c r="F2668" t="s">
        <v>420</v>
      </c>
    </row>
    <row r="2669" spans="2:6" x14ac:dyDescent="0.3">
      <c r="B2669" s="58" t="s">
        <v>58</v>
      </c>
      <c r="C2669" s="58">
        <v>1758028486879</v>
      </c>
      <c r="D2669" s="58" t="s">
        <v>5404</v>
      </c>
      <c r="E2669" s="58" t="s">
        <v>424</v>
      </c>
      <c r="F2669" t="s">
        <v>549</v>
      </c>
    </row>
    <row r="2670" spans="2:6" x14ac:dyDescent="0.3">
      <c r="B2670" s="58" t="s">
        <v>58</v>
      </c>
      <c r="C2670" s="58">
        <v>1758028494640</v>
      </c>
      <c r="D2670" s="58" t="s">
        <v>5405</v>
      </c>
      <c r="E2670" s="58" t="s">
        <v>424</v>
      </c>
      <c r="F2670" t="s">
        <v>553</v>
      </c>
    </row>
    <row r="2671" spans="2:6" x14ac:dyDescent="0.3">
      <c r="B2671" s="58" t="s">
        <v>58</v>
      </c>
      <c r="C2671" s="58">
        <v>1758028499169</v>
      </c>
      <c r="D2671" s="58" t="s">
        <v>5406</v>
      </c>
      <c r="E2671" s="58" t="s">
        <v>520</v>
      </c>
      <c r="F2671" t="s">
        <v>1947</v>
      </c>
    </row>
    <row r="2672" spans="2:6" x14ac:dyDescent="0.3">
      <c r="B2672" s="58" t="s">
        <v>58</v>
      </c>
      <c r="C2672" s="58">
        <v>1758028505945</v>
      </c>
      <c r="D2672" s="58" t="s">
        <v>5407</v>
      </c>
      <c r="E2672" s="58" t="s">
        <v>525</v>
      </c>
      <c r="F2672" t="s">
        <v>1950</v>
      </c>
    </row>
    <row r="2673" spans="2:6" x14ac:dyDescent="0.3">
      <c r="B2673" s="58" t="s">
        <v>426</v>
      </c>
      <c r="C2673" s="58">
        <v>1758028506220</v>
      </c>
      <c r="D2673" s="58" t="s">
        <v>5408</v>
      </c>
      <c r="E2673" s="58" t="s">
        <v>428</v>
      </c>
      <c r="F2673" t="s">
        <v>437</v>
      </c>
    </row>
    <row r="2674" spans="2:6" x14ac:dyDescent="0.3">
      <c r="B2674" s="58" t="s">
        <v>58</v>
      </c>
      <c r="C2674" s="58">
        <v>1758028517164</v>
      </c>
      <c r="D2674" s="58" t="s">
        <v>5409</v>
      </c>
      <c r="E2674" s="58" t="s">
        <v>424</v>
      </c>
      <c r="F2674" t="s">
        <v>441</v>
      </c>
    </row>
    <row r="2675" spans="2:6" x14ac:dyDescent="0.3">
      <c r="B2675" s="58" t="s">
        <v>426</v>
      </c>
      <c r="C2675" s="58">
        <v>1758028521776</v>
      </c>
      <c r="D2675" s="58" t="s">
        <v>5410</v>
      </c>
      <c r="E2675" s="58" t="s">
        <v>428</v>
      </c>
      <c r="F2675" t="s">
        <v>429</v>
      </c>
    </row>
    <row r="2676" spans="2:6" x14ac:dyDescent="0.3">
      <c r="B2676" s="58" t="s">
        <v>58</v>
      </c>
      <c r="C2676" s="58">
        <v>1758028526072</v>
      </c>
      <c r="D2676" s="58" t="s">
        <v>5411</v>
      </c>
      <c r="E2676" s="58" t="s">
        <v>520</v>
      </c>
      <c r="F2676" t="s">
        <v>3013</v>
      </c>
    </row>
    <row r="2677" spans="2:6" x14ac:dyDescent="0.3">
      <c r="B2677" s="58" t="s">
        <v>58</v>
      </c>
      <c r="C2677" s="58">
        <v>1758028534547</v>
      </c>
      <c r="D2677" s="58" t="s">
        <v>5412</v>
      </c>
      <c r="E2677" s="58" t="s">
        <v>1438</v>
      </c>
      <c r="F2677" t="s">
        <v>5413</v>
      </c>
    </row>
    <row r="2678" spans="2:6" x14ac:dyDescent="0.3">
      <c r="B2678" s="58" t="s">
        <v>426</v>
      </c>
      <c r="C2678" s="58">
        <v>1758028537225</v>
      </c>
      <c r="D2678" s="58" t="s">
        <v>5414</v>
      </c>
      <c r="E2678" s="58" t="s">
        <v>428</v>
      </c>
      <c r="F2678" t="s">
        <v>431</v>
      </c>
    </row>
    <row r="2679" spans="2:6" x14ac:dyDescent="0.3">
      <c r="B2679" s="58" t="s">
        <v>58</v>
      </c>
      <c r="C2679" s="58">
        <v>1758028541999</v>
      </c>
      <c r="D2679" s="58" t="s">
        <v>5415</v>
      </c>
      <c r="E2679" s="58" t="s">
        <v>525</v>
      </c>
      <c r="F2679" t="s">
        <v>3016</v>
      </c>
    </row>
    <row r="2680" spans="2:6" x14ac:dyDescent="0.3">
      <c r="B2680" s="58" t="s">
        <v>58</v>
      </c>
      <c r="C2680" s="58">
        <v>1758028550036</v>
      </c>
      <c r="D2680" s="58" t="s">
        <v>5416</v>
      </c>
      <c r="E2680" s="58" t="s">
        <v>424</v>
      </c>
      <c r="F2680" t="s">
        <v>433</v>
      </c>
    </row>
    <row r="2681" spans="2:6" x14ac:dyDescent="0.3">
      <c r="B2681" s="58" t="s">
        <v>426</v>
      </c>
      <c r="C2681" s="58">
        <v>1758028553440</v>
      </c>
      <c r="D2681" s="58" t="s">
        <v>5417</v>
      </c>
      <c r="E2681" s="58" t="s">
        <v>428</v>
      </c>
      <c r="F2681" t="s">
        <v>538</v>
      </c>
    </row>
    <row r="2682" spans="2:6" x14ac:dyDescent="0.3">
      <c r="B2682" s="58" t="s">
        <v>58</v>
      </c>
      <c r="C2682" s="58">
        <v>1758028562119</v>
      </c>
      <c r="D2682" s="58" t="s">
        <v>5418</v>
      </c>
      <c r="E2682" s="58" t="s">
        <v>520</v>
      </c>
      <c r="F2682" t="s">
        <v>1975</v>
      </c>
    </row>
    <row r="2683" spans="2:6" x14ac:dyDescent="0.3">
      <c r="B2683" s="58" t="s">
        <v>426</v>
      </c>
      <c r="C2683" s="58">
        <v>1758028571206</v>
      </c>
      <c r="D2683" s="58" t="s">
        <v>5419</v>
      </c>
      <c r="E2683" s="58" t="s">
        <v>428</v>
      </c>
      <c r="F2683" t="s">
        <v>672</v>
      </c>
    </row>
    <row r="2684" spans="2:6" x14ac:dyDescent="0.3">
      <c r="B2684" s="58" t="s">
        <v>58</v>
      </c>
      <c r="C2684" s="58">
        <v>1758028578584</v>
      </c>
      <c r="D2684" s="58" t="s">
        <v>5420</v>
      </c>
      <c r="E2684" s="58" t="s">
        <v>525</v>
      </c>
      <c r="F2684" t="s">
        <v>1977</v>
      </c>
    </row>
    <row r="2685" spans="2:6" x14ac:dyDescent="0.3">
      <c r="B2685" s="58" t="s">
        <v>426</v>
      </c>
      <c r="C2685" s="58">
        <v>1758028586050</v>
      </c>
      <c r="D2685" s="58" t="s">
        <v>5421</v>
      </c>
      <c r="E2685" s="58" t="s">
        <v>428</v>
      </c>
      <c r="F2685" t="s">
        <v>453</v>
      </c>
    </row>
    <row r="2686" spans="2:6" x14ac:dyDescent="0.3">
      <c r="B2686" s="58" t="s">
        <v>58</v>
      </c>
      <c r="C2686" s="58">
        <v>1758028598731</v>
      </c>
      <c r="D2686" s="58" t="s">
        <v>5422</v>
      </c>
      <c r="E2686" s="58" t="s">
        <v>520</v>
      </c>
      <c r="F2686" t="s">
        <v>1975</v>
      </c>
    </row>
    <row r="2687" spans="2:6" x14ac:dyDescent="0.3">
      <c r="B2687" s="58" t="s">
        <v>426</v>
      </c>
      <c r="C2687" s="58">
        <v>1758028601510</v>
      </c>
      <c r="D2687" s="58" t="s">
        <v>5423</v>
      </c>
      <c r="E2687" s="58" t="s">
        <v>428</v>
      </c>
      <c r="F2687" t="s">
        <v>447</v>
      </c>
    </row>
    <row r="2688" spans="2:6" x14ac:dyDescent="0.3">
      <c r="B2688" s="58" t="s">
        <v>58</v>
      </c>
      <c r="C2688" s="58">
        <v>1758028608999</v>
      </c>
      <c r="D2688" s="58" t="s">
        <v>5424</v>
      </c>
      <c r="E2688" s="58" t="s">
        <v>525</v>
      </c>
      <c r="F2688" t="s">
        <v>1977</v>
      </c>
    </row>
    <row r="2689" spans="1:6" x14ac:dyDescent="0.3">
      <c r="B2689" s="58" t="s">
        <v>58</v>
      </c>
      <c r="C2689" s="58">
        <v>1758028612780</v>
      </c>
      <c r="D2689" s="58" t="s">
        <v>5425</v>
      </c>
      <c r="E2689" s="58" t="s">
        <v>424</v>
      </c>
      <c r="F2689" t="s">
        <v>457</v>
      </c>
    </row>
    <row r="2690" spans="1:6" x14ac:dyDescent="0.3">
      <c r="B2690" s="58" t="s">
        <v>426</v>
      </c>
      <c r="C2690" s="58">
        <v>1758028618482</v>
      </c>
      <c r="D2690" s="58" t="s">
        <v>5426</v>
      </c>
      <c r="E2690" s="58" t="s">
        <v>428</v>
      </c>
      <c r="F2690" t="s">
        <v>523</v>
      </c>
    </row>
    <row r="2691" spans="1:6" x14ac:dyDescent="0.3">
      <c r="B2691" s="58" t="s">
        <v>58</v>
      </c>
      <c r="C2691" s="58">
        <v>1758028620840</v>
      </c>
      <c r="D2691" s="58" t="s">
        <v>5427</v>
      </c>
      <c r="E2691" s="58" t="s">
        <v>424</v>
      </c>
      <c r="F2691" t="s">
        <v>459</v>
      </c>
    </row>
    <row r="2692" spans="1:6" x14ac:dyDescent="0.3">
      <c r="B2692" s="58" t="s">
        <v>58</v>
      </c>
      <c r="C2692" s="58">
        <v>1758028629153</v>
      </c>
      <c r="D2692" s="58" t="s">
        <v>5428</v>
      </c>
      <c r="E2692" s="58" t="s">
        <v>520</v>
      </c>
      <c r="F2692" t="s">
        <v>664</v>
      </c>
    </row>
    <row r="2693" spans="1:6" x14ac:dyDescent="0.3">
      <c r="B2693" s="58" t="s">
        <v>58</v>
      </c>
      <c r="C2693" s="58">
        <v>1758028636839</v>
      </c>
      <c r="D2693" s="58" t="s">
        <v>5429</v>
      </c>
      <c r="E2693" s="58" t="s">
        <v>525</v>
      </c>
      <c r="F2693" t="s">
        <v>665</v>
      </c>
    </row>
    <row r="2694" spans="1:6" x14ac:dyDescent="0.3">
      <c r="B2694" s="58" t="s">
        <v>426</v>
      </c>
      <c r="C2694" s="58">
        <v>1758028639119</v>
      </c>
      <c r="D2694" s="58" t="s">
        <v>5430</v>
      </c>
      <c r="E2694" s="58" t="s">
        <v>428</v>
      </c>
      <c r="F2694" t="s">
        <v>455</v>
      </c>
    </row>
    <row r="2695" spans="1:6" x14ac:dyDescent="0.3">
      <c r="B2695" s="58" t="s">
        <v>58</v>
      </c>
      <c r="C2695" s="58">
        <v>1758028656997</v>
      </c>
      <c r="D2695" s="58" t="s">
        <v>5431</v>
      </c>
      <c r="E2695" s="58" t="s">
        <v>520</v>
      </c>
      <c r="F2695" t="s">
        <v>2311</v>
      </c>
    </row>
    <row r="2696" spans="1:6" x14ac:dyDescent="0.3">
      <c r="B2696" s="58" t="s">
        <v>58</v>
      </c>
      <c r="C2696" s="58">
        <v>1758028660877</v>
      </c>
      <c r="D2696" s="58" t="s">
        <v>5432</v>
      </c>
      <c r="E2696" s="58" t="s">
        <v>525</v>
      </c>
      <c r="F2696" t="s">
        <v>2313</v>
      </c>
    </row>
    <row r="2697" spans="1:6" x14ac:dyDescent="0.3">
      <c r="B2697" s="58" t="s">
        <v>58</v>
      </c>
      <c r="C2697" s="58">
        <v>1758028667971</v>
      </c>
      <c r="D2697" s="58" t="s">
        <v>5433</v>
      </c>
      <c r="E2697" s="58" t="s">
        <v>424</v>
      </c>
      <c r="F2697" t="s">
        <v>461</v>
      </c>
    </row>
    <row r="2698" spans="1:6" x14ac:dyDescent="0.3">
      <c r="B2698" s="58" t="s">
        <v>58</v>
      </c>
      <c r="C2698" s="58">
        <v>1758028668504</v>
      </c>
      <c r="D2698" s="58" t="s">
        <v>5434</v>
      </c>
      <c r="E2698" s="58" t="s">
        <v>424</v>
      </c>
      <c r="F2698" t="s">
        <v>449</v>
      </c>
    </row>
    <row r="2699" spans="1:6" x14ac:dyDescent="0.3">
      <c r="B2699" s="58" t="s">
        <v>58</v>
      </c>
      <c r="C2699" s="58">
        <v>1758028670063</v>
      </c>
      <c r="D2699" s="58" t="s">
        <v>5435</v>
      </c>
      <c r="E2699" s="58" t="s">
        <v>424</v>
      </c>
      <c r="F2699" t="s">
        <v>451</v>
      </c>
    </row>
    <row r="2700" spans="1:6" x14ac:dyDescent="0.3">
      <c r="B2700" s="58" t="s">
        <v>58</v>
      </c>
      <c r="C2700" s="58">
        <v>1758028674082</v>
      </c>
      <c r="D2700" s="58" t="s">
        <v>5436</v>
      </c>
      <c r="E2700" s="58" t="s">
        <v>463</v>
      </c>
      <c r="F2700" t="s">
        <v>464</v>
      </c>
    </row>
    <row r="2701" spans="1:6" ht="21" x14ac:dyDescent="0.4">
      <c r="A2701" s="69" t="s">
        <v>61</v>
      </c>
      <c r="B2701" s="63" t="s">
        <v>64</v>
      </c>
      <c r="C2701" s="63">
        <v>1758037324139</v>
      </c>
      <c r="D2701" s="63" t="s">
        <v>5437</v>
      </c>
      <c r="E2701" s="63" t="s">
        <v>416</v>
      </c>
      <c r="F2701" t="s">
        <v>492</v>
      </c>
    </row>
    <row r="2702" spans="1:6" x14ac:dyDescent="0.3">
      <c r="B2702" s="63" t="s">
        <v>64</v>
      </c>
      <c r="C2702" s="63">
        <v>1758037330003</v>
      </c>
      <c r="D2702" s="63" t="s">
        <v>5438</v>
      </c>
      <c r="E2702" s="63" t="s">
        <v>419</v>
      </c>
      <c r="F2702" t="s">
        <v>420</v>
      </c>
    </row>
    <row r="2703" spans="1:6" x14ac:dyDescent="0.3">
      <c r="B2703" s="63" t="s">
        <v>64</v>
      </c>
      <c r="C2703" s="63">
        <v>1758037338343</v>
      </c>
      <c r="D2703" s="63" t="s">
        <v>5439</v>
      </c>
      <c r="E2703" s="63" t="s">
        <v>389</v>
      </c>
      <c r="F2703" t="s">
        <v>414</v>
      </c>
    </row>
    <row r="2704" spans="1:6" x14ac:dyDescent="0.3">
      <c r="B2704" s="63" t="s">
        <v>64</v>
      </c>
      <c r="C2704" s="63">
        <v>1758037347512</v>
      </c>
      <c r="D2704" s="63" t="s">
        <v>5440</v>
      </c>
      <c r="E2704" s="63" t="s">
        <v>389</v>
      </c>
      <c r="F2704" t="s">
        <v>495</v>
      </c>
    </row>
    <row r="2705" spans="2:6" x14ac:dyDescent="0.3">
      <c r="B2705" s="63" t="s">
        <v>64</v>
      </c>
      <c r="C2705" s="63">
        <v>1758037353260</v>
      </c>
      <c r="D2705" s="63" t="s">
        <v>5441</v>
      </c>
      <c r="E2705" s="63" t="s">
        <v>389</v>
      </c>
      <c r="F2705" t="s">
        <v>511</v>
      </c>
    </row>
    <row r="2706" spans="2:6" x14ac:dyDescent="0.3">
      <c r="B2706" s="63" t="s">
        <v>64</v>
      </c>
      <c r="C2706" s="63">
        <v>1758037394930</v>
      </c>
      <c r="D2706" s="63" t="s">
        <v>5442</v>
      </c>
      <c r="E2706" s="63" t="s">
        <v>389</v>
      </c>
      <c r="F2706" t="s">
        <v>396</v>
      </c>
    </row>
    <row r="2707" spans="2:6" x14ac:dyDescent="0.3">
      <c r="B2707" s="63" t="s">
        <v>64</v>
      </c>
      <c r="C2707" s="63">
        <v>1758037395709</v>
      </c>
      <c r="D2707" s="63" t="s">
        <v>5443</v>
      </c>
      <c r="E2707" s="63" t="s">
        <v>389</v>
      </c>
      <c r="F2707" t="s">
        <v>398</v>
      </c>
    </row>
    <row r="2708" spans="2:6" x14ac:dyDescent="0.3">
      <c r="B2708" s="63" t="s">
        <v>64</v>
      </c>
      <c r="C2708" s="63">
        <v>1758037397319</v>
      </c>
      <c r="D2708" s="63" t="s">
        <v>5444</v>
      </c>
      <c r="E2708" s="63" t="s">
        <v>389</v>
      </c>
      <c r="F2708" t="s">
        <v>400</v>
      </c>
    </row>
    <row r="2709" spans="2:6" x14ac:dyDescent="0.3">
      <c r="B2709" s="63" t="s">
        <v>64</v>
      </c>
      <c r="C2709" s="63">
        <v>1758037402793</v>
      </c>
      <c r="D2709" s="63" t="s">
        <v>5445</v>
      </c>
      <c r="E2709" s="63" t="s">
        <v>389</v>
      </c>
      <c r="F2709" t="s">
        <v>390</v>
      </c>
    </row>
    <row r="2710" spans="2:6" x14ac:dyDescent="0.3">
      <c r="B2710" s="63" t="s">
        <v>64</v>
      </c>
      <c r="C2710" s="63">
        <v>1758037404434</v>
      </c>
      <c r="D2710" s="63" t="s">
        <v>5446</v>
      </c>
      <c r="E2710" s="63" t="s">
        <v>389</v>
      </c>
      <c r="F2710" t="s">
        <v>392</v>
      </c>
    </row>
    <row r="2711" spans="2:6" x14ac:dyDescent="0.3">
      <c r="B2711" s="63" t="s">
        <v>64</v>
      </c>
      <c r="C2711" s="63">
        <v>1758037408071</v>
      </c>
      <c r="D2711" s="63" t="s">
        <v>5447</v>
      </c>
      <c r="E2711" s="63" t="s">
        <v>389</v>
      </c>
      <c r="F2711" t="s">
        <v>508</v>
      </c>
    </row>
    <row r="2712" spans="2:6" x14ac:dyDescent="0.3">
      <c r="B2712" s="63" t="s">
        <v>64</v>
      </c>
      <c r="C2712" s="63">
        <v>1758037408662</v>
      </c>
      <c r="D2712" s="63" t="s">
        <v>5448</v>
      </c>
      <c r="E2712" s="63" t="s">
        <v>389</v>
      </c>
      <c r="F2712" t="s">
        <v>660</v>
      </c>
    </row>
    <row r="2713" spans="2:6" x14ac:dyDescent="0.3">
      <c r="B2713" s="63" t="s">
        <v>64</v>
      </c>
      <c r="C2713" s="63">
        <v>1758037481692</v>
      </c>
      <c r="D2713" s="63" t="s">
        <v>5449</v>
      </c>
      <c r="E2713" s="63" t="s">
        <v>389</v>
      </c>
      <c r="F2713" t="s">
        <v>811</v>
      </c>
    </row>
    <row r="2714" spans="2:6" x14ac:dyDescent="0.3">
      <c r="B2714" s="63" t="s">
        <v>64</v>
      </c>
      <c r="C2714" s="63">
        <v>1758037485143</v>
      </c>
      <c r="D2714" s="63" t="s">
        <v>5450</v>
      </c>
      <c r="E2714" s="63" t="s">
        <v>422</v>
      </c>
      <c r="F2714" t="s">
        <v>420</v>
      </c>
    </row>
    <row r="2715" spans="2:6" x14ac:dyDescent="0.3">
      <c r="B2715" s="63" t="s">
        <v>426</v>
      </c>
      <c r="C2715" s="63">
        <v>1758037500736</v>
      </c>
      <c r="D2715" s="63" t="s">
        <v>5451</v>
      </c>
      <c r="E2715" s="63" t="s">
        <v>428</v>
      </c>
      <c r="F2715" t="s">
        <v>435</v>
      </c>
    </row>
    <row r="2716" spans="2:6" x14ac:dyDescent="0.3">
      <c r="B2716" s="63" t="s">
        <v>64</v>
      </c>
      <c r="C2716" s="63">
        <v>1758037505333</v>
      </c>
      <c r="D2716" s="63" t="s">
        <v>5452</v>
      </c>
      <c r="E2716" s="63" t="s">
        <v>520</v>
      </c>
      <c r="F2716" t="s">
        <v>3013</v>
      </c>
    </row>
    <row r="2717" spans="2:6" x14ac:dyDescent="0.3">
      <c r="B2717" s="63" t="s">
        <v>64</v>
      </c>
      <c r="C2717" s="63">
        <v>1758037513592</v>
      </c>
      <c r="D2717" s="63" t="s">
        <v>5453</v>
      </c>
      <c r="E2717" s="63" t="s">
        <v>525</v>
      </c>
      <c r="F2717" t="s">
        <v>3016</v>
      </c>
    </row>
    <row r="2718" spans="2:6" x14ac:dyDescent="0.3">
      <c r="B2718" s="63" t="s">
        <v>426</v>
      </c>
      <c r="C2718" s="63">
        <v>1758037515503</v>
      </c>
      <c r="D2718" s="63" t="s">
        <v>5454</v>
      </c>
      <c r="E2718" s="63" t="s">
        <v>428</v>
      </c>
      <c r="F2718" t="s">
        <v>437</v>
      </c>
    </row>
    <row r="2719" spans="2:6" x14ac:dyDescent="0.3">
      <c r="B2719" s="63" t="s">
        <v>426</v>
      </c>
      <c r="C2719" s="63">
        <v>1758037531779</v>
      </c>
      <c r="D2719" s="63" t="s">
        <v>5455</v>
      </c>
      <c r="E2719" s="63" t="s">
        <v>428</v>
      </c>
      <c r="F2719" t="s">
        <v>439</v>
      </c>
    </row>
    <row r="2720" spans="2:6" x14ac:dyDescent="0.3">
      <c r="B2720" s="63" t="s">
        <v>64</v>
      </c>
      <c r="C2720" s="63">
        <v>1758037533734</v>
      </c>
      <c r="D2720" s="63" t="s">
        <v>5456</v>
      </c>
      <c r="E2720" s="63" t="s">
        <v>520</v>
      </c>
      <c r="F2720" t="s">
        <v>1425</v>
      </c>
    </row>
    <row r="2721" spans="2:6" x14ac:dyDescent="0.3">
      <c r="B2721" s="63" t="s">
        <v>64</v>
      </c>
      <c r="C2721" s="63">
        <v>1758037543241</v>
      </c>
      <c r="D2721" s="63" t="s">
        <v>5457</v>
      </c>
      <c r="E2721" s="63" t="s">
        <v>525</v>
      </c>
      <c r="F2721" t="s">
        <v>1429</v>
      </c>
    </row>
    <row r="2722" spans="2:6" x14ac:dyDescent="0.3">
      <c r="B2722" s="63" t="s">
        <v>426</v>
      </c>
      <c r="C2722" s="63">
        <v>1758037547233</v>
      </c>
      <c r="D2722" s="63" t="s">
        <v>5458</v>
      </c>
      <c r="E2722" s="63" t="s">
        <v>428</v>
      </c>
      <c r="F2722" t="s">
        <v>538</v>
      </c>
    </row>
    <row r="2723" spans="2:6" x14ac:dyDescent="0.3">
      <c r="B2723" s="63" t="s">
        <v>64</v>
      </c>
      <c r="C2723" s="63">
        <v>1758037563374</v>
      </c>
      <c r="D2723" s="63" t="s">
        <v>5459</v>
      </c>
      <c r="E2723" s="63" t="s">
        <v>520</v>
      </c>
      <c r="F2723" t="s">
        <v>1435</v>
      </c>
    </row>
    <row r="2724" spans="2:6" x14ac:dyDescent="0.3">
      <c r="B2724" s="63" t="s">
        <v>426</v>
      </c>
      <c r="C2724" s="63">
        <v>1758037564915</v>
      </c>
      <c r="D2724" s="63" t="s">
        <v>5460</v>
      </c>
      <c r="E2724" s="63" t="s">
        <v>428</v>
      </c>
      <c r="F2724" t="s">
        <v>672</v>
      </c>
    </row>
    <row r="2725" spans="2:6" x14ac:dyDescent="0.3">
      <c r="B2725" s="63" t="s">
        <v>64</v>
      </c>
      <c r="C2725" s="63">
        <v>1758037583037</v>
      </c>
      <c r="D2725" s="63" t="s">
        <v>5461</v>
      </c>
      <c r="E2725" s="63" t="s">
        <v>525</v>
      </c>
      <c r="F2725" t="s">
        <v>1443</v>
      </c>
    </row>
    <row r="2726" spans="2:6" x14ac:dyDescent="0.3">
      <c r="B2726" s="63" t="s">
        <v>426</v>
      </c>
      <c r="C2726" s="63">
        <v>1758037583317</v>
      </c>
      <c r="D2726" s="63" t="s">
        <v>5462</v>
      </c>
      <c r="E2726" s="63" t="s">
        <v>428</v>
      </c>
      <c r="F2726" t="s">
        <v>429</v>
      </c>
    </row>
    <row r="2727" spans="2:6" x14ac:dyDescent="0.3">
      <c r="B2727" s="63" t="s">
        <v>426</v>
      </c>
      <c r="C2727" s="63">
        <v>1758037600982</v>
      </c>
      <c r="D2727" s="63" t="s">
        <v>5463</v>
      </c>
      <c r="E2727" s="63" t="s">
        <v>428</v>
      </c>
      <c r="F2727" t="s">
        <v>431</v>
      </c>
    </row>
    <row r="2728" spans="2:6" x14ac:dyDescent="0.3">
      <c r="B2728" s="63" t="s">
        <v>64</v>
      </c>
      <c r="C2728" s="63">
        <v>1758037603163</v>
      </c>
      <c r="D2728" s="63" t="s">
        <v>5464</v>
      </c>
      <c r="E2728" s="63" t="s">
        <v>520</v>
      </c>
      <c r="F2728" t="s">
        <v>1448</v>
      </c>
    </row>
    <row r="2729" spans="2:6" x14ac:dyDescent="0.3">
      <c r="B2729" s="63" t="s">
        <v>64</v>
      </c>
      <c r="C2729" s="63">
        <v>1758037614613</v>
      </c>
      <c r="D2729" s="63" t="s">
        <v>5465</v>
      </c>
      <c r="E2729" s="63" t="s">
        <v>525</v>
      </c>
      <c r="F2729" t="s">
        <v>1450</v>
      </c>
    </row>
    <row r="2730" spans="2:6" x14ac:dyDescent="0.3">
      <c r="B2730" s="63" t="s">
        <v>426</v>
      </c>
      <c r="C2730" s="63">
        <v>1758037617900</v>
      </c>
      <c r="D2730" s="63" t="s">
        <v>5466</v>
      </c>
      <c r="E2730" s="63" t="s">
        <v>428</v>
      </c>
      <c r="F2730" t="s">
        <v>523</v>
      </c>
    </row>
    <row r="2731" spans="2:6" x14ac:dyDescent="0.3">
      <c r="B2731" s="63" t="s">
        <v>64</v>
      </c>
      <c r="C2731" s="63">
        <v>1758037619164</v>
      </c>
      <c r="D2731" s="63" t="s">
        <v>5467</v>
      </c>
      <c r="E2731" s="63" t="s">
        <v>424</v>
      </c>
      <c r="F2731" t="s">
        <v>441</v>
      </c>
    </row>
    <row r="2732" spans="2:6" x14ac:dyDescent="0.3">
      <c r="B2732" s="63" t="s">
        <v>64</v>
      </c>
      <c r="C2732" s="63">
        <v>1758037620275</v>
      </c>
      <c r="D2732" s="63" t="s">
        <v>5468</v>
      </c>
      <c r="E2732" s="63" t="s">
        <v>424</v>
      </c>
      <c r="F2732" t="s">
        <v>518</v>
      </c>
    </row>
    <row r="2733" spans="2:6" x14ac:dyDescent="0.3">
      <c r="B2733" s="63" t="s">
        <v>64</v>
      </c>
      <c r="C2733" s="63">
        <v>1758037620994</v>
      </c>
      <c r="D2733" s="63" t="s">
        <v>5469</v>
      </c>
      <c r="E2733" s="63" t="s">
        <v>424</v>
      </c>
      <c r="F2733" t="s">
        <v>457</v>
      </c>
    </row>
    <row r="2734" spans="2:6" x14ac:dyDescent="0.3">
      <c r="B2734" s="63" t="s">
        <v>64</v>
      </c>
      <c r="C2734" s="63">
        <v>1758037621753</v>
      </c>
      <c r="D2734" s="63" t="s">
        <v>5470</v>
      </c>
      <c r="E2734" s="63" t="s">
        <v>424</v>
      </c>
      <c r="F2734" t="s">
        <v>459</v>
      </c>
    </row>
    <row r="2735" spans="2:6" x14ac:dyDescent="0.3">
      <c r="B2735" s="63" t="s">
        <v>64</v>
      </c>
      <c r="C2735" s="63">
        <v>1758037625080</v>
      </c>
      <c r="D2735" s="63" t="s">
        <v>5471</v>
      </c>
      <c r="E2735" s="63" t="s">
        <v>424</v>
      </c>
      <c r="F2735" t="s">
        <v>461</v>
      </c>
    </row>
    <row r="2736" spans="2:6" x14ac:dyDescent="0.3">
      <c r="B2736" s="63" t="s">
        <v>64</v>
      </c>
      <c r="C2736" s="63">
        <v>1758037634740</v>
      </c>
      <c r="D2736" s="63" t="s">
        <v>5472</v>
      </c>
      <c r="E2736" s="63" t="s">
        <v>520</v>
      </c>
      <c r="F2736" t="s">
        <v>1987</v>
      </c>
    </row>
    <row r="2737" spans="2:6" x14ac:dyDescent="0.3">
      <c r="B2737" s="63" t="s">
        <v>426</v>
      </c>
      <c r="C2737" s="63">
        <v>1758037639303</v>
      </c>
      <c r="D2737" s="63" t="s">
        <v>5473</v>
      </c>
      <c r="E2737" s="63" t="s">
        <v>428</v>
      </c>
      <c r="F2737" t="s">
        <v>455</v>
      </c>
    </row>
    <row r="2738" spans="2:6" x14ac:dyDescent="0.3">
      <c r="B2738" s="63" t="s">
        <v>64</v>
      </c>
      <c r="C2738" s="63">
        <v>1758037646535</v>
      </c>
      <c r="D2738" s="63" t="s">
        <v>5474</v>
      </c>
      <c r="E2738" s="63" t="s">
        <v>525</v>
      </c>
      <c r="F2738" t="s">
        <v>1990</v>
      </c>
    </row>
    <row r="2739" spans="2:6" x14ac:dyDescent="0.3">
      <c r="B2739" s="63" t="s">
        <v>64</v>
      </c>
      <c r="C2739" s="63">
        <v>1758037647876</v>
      </c>
      <c r="D2739" s="63" t="s">
        <v>5475</v>
      </c>
      <c r="E2739" s="63" t="s">
        <v>424</v>
      </c>
      <c r="F2739" t="s">
        <v>433</v>
      </c>
    </row>
    <row r="2740" spans="2:6" x14ac:dyDescent="0.3">
      <c r="B2740" s="63" t="s">
        <v>64</v>
      </c>
      <c r="C2740" s="63">
        <v>1758037648317</v>
      </c>
      <c r="D2740" s="63" t="s">
        <v>5476</v>
      </c>
      <c r="E2740" s="63" t="s">
        <v>424</v>
      </c>
      <c r="F2740" t="s">
        <v>841</v>
      </c>
    </row>
    <row r="2741" spans="2:6" x14ac:dyDescent="0.3">
      <c r="B2741" s="63" t="s">
        <v>64</v>
      </c>
      <c r="C2741" s="63">
        <v>1758037658414</v>
      </c>
      <c r="D2741" s="63" t="s">
        <v>5477</v>
      </c>
      <c r="E2741" s="63" t="s">
        <v>424</v>
      </c>
      <c r="F2741" t="s">
        <v>449</v>
      </c>
    </row>
    <row r="2742" spans="2:6" x14ac:dyDescent="0.3">
      <c r="B2742" s="63" t="s">
        <v>64</v>
      </c>
      <c r="C2742" s="63">
        <v>1758037658985</v>
      </c>
      <c r="D2742" s="63" t="s">
        <v>5478</v>
      </c>
      <c r="E2742" s="63" t="s">
        <v>424</v>
      </c>
      <c r="F2742" t="s">
        <v>451</v>
      </c>
    </row>
    <row r="2743" spans="2:6" x14ac:dyDescent="0.3">
      <c r="B2743" s="63" t="s">
        <v>64</v>
      </c>
      <c r="C2743" s="63">
        <v>1758037659976</v>
      </c>
      <c r="D2743" s="63" t="s">
        <v>5479</v>
      </c>
      <c r="E2743" s="63" t="s">
        <v>463</v>
      </c>
      <c r="F2743" t="s">
        <v>464</v>
      </c>
    </row>
    <row r="2744" spans="2:6" x14ac:dyDescent="0.3">
      <c r="B2744" s="58" t="s">
        <v>5480</v>
      </c>
      <c r="C2744" s="58">
        <v>1758037672315</v>
      </c>
      <c r="D2744" s="58" t="s">
        <v>5481</v>
      </c>
      <c r="E2744" s="58" t="s">
        <v>416</v>
      </c>
      <c r="F2744" t="s">
        <v>573</v>
      </c>
    </row>
    <row r="2745" spans="2:6" x14ac:dyDescent="0.3">
      <c r="B2745" s="58" t="s">
        <v>5480</v>
      </c>
      <c r="C2745" s="58">
        <v>1758037672504</v>
      </c>
      <c r="D2745" s="58" t="s">
        <v>5482</v>
      </c>
      <c r="E2745" s="58" t="s">
        <v>416</v>
      </c>
      <c r="F2745" t="s">
        <v>573</v>
      </c>
    </row>
    <row r="2746" spans="2:6" x14ac:dyDescent="0.3">
      <c r="B2746" s="58" t="s">
        <v>5480</v>
      </c>
      <c r="C2746" s="58">
        <v>1758037672709</v>
      </c>
      <c r="D2746" s="58" t="s">
        <v>5483</v>
      </c>
      <c r="E2746" s="58" t="s">
        <v>468</v>
      </c>
      <c r="F2746" t="s">
        <v>5258</v>
      </c>
    </row>
    <row r="2747" spans="2:6" x14ac:dyDescent="0.3">
      <c r="B2747" s="58" t="s">
        <v>5480</v>
      </c>
      <c r="C2747" s="58">
        <v>1758037672908</v>
      </c>
      <c r="D2747" s="58" t="s">
        <v>5484</v>
      </c>
      <c r="E2747" s="58" t="s">
        <v>468</v>
      </c>
      <c r="F2747" t="s">
        <v>5258</v>
      </c>
    </row>
    <row r="2748" spans="2:6" x14ac:dyDescent="0.3">
      <c r="B2748" s="58" t="s">
        <v>5480</v>
      </c>
      <c r="C2748" s="58">
        <v>1758037673027</v>
      </c>
      <c r="D2748" s="58" t="s">
        <v>5485</v>
      </c>
      <c r="E2748" s="58" t="s">
        <v>419</v>
      </c>
      <c r="F2748" t="s">
        <v>420</v>
      </c>
    </row>
    <row r="2749" spans="2:6" x14ac:dyDescent="0.3">
      <c r="B2749" s="58" t="s">
        <v>5480</v>
      </c>
      <c r="C2749" s="58">
        <v>1758037692282</v>
      </c>
      <c r="D2749" s="58" t="s">
        <v>5486</v>
      </c>
      <c r="E2749" s="58" t="s">
        <v>419</v>
      </c>
      <c r="F2749" t="s">
        <v>420</v>
      </c>
    </row>
    <row r="2750" spans="2:6" x14ac:dyDescent="0.3">
      <c r="B2750" s="58" t="s">
        <v>5480</v>
      </c>
      <c r="C2750" s="58">
        <v>1758037692437</v>
      </c>
      <c r="D2750" s="58" t="s">
        <v>5487</v>
      </c>
      <c r="E2750" s="58" t="s">
        <v>389</v>
      </c>
      <c r="F2750" t="s">
        <v>410</v>
      </c>
    </row>
    <row r="2751" spans="2:6" x14ac:dyDescent="0.3">
      <c r="B2751" s="58" t="s">
        <v>5480</v>
      </c>
      <c r="C2751" s="58">
        <v>1758037700040</v>
      </c>
      <c r="D2751" s="58" t="s">
        <v>5488</v>
      </c>
      <c r="E2751" s="58" t="s">
        <v>389</v>
      </c>
      <c r="F2751" t="s">
        <v>406</v>
      </c>
    </row>
    <row r="2752" spans="2:6" x14ac:dyDescent="0.3">
      <c r="B2752" s="58" t="s">
        <v>5480</v>
      </c>
      <c r="C2752" s="58">
        <v>1758037709942</v>
      </c>
      <c r="D2752" s="58" t="s">
        <v>5489</v>
      </c>
      <c r="E2752" s="58" t="s">
        <v>422</v>
      </c>
      <c r="F2752" t="s">
        <v>420</v>
      </c>
    </row>
    <row r="2753" spans="2:6" x14ac:dyDescent="0.3">
      <c r="B2753" s="58" t="s">
        <v>426</v>
      </c>
      <c r="C2753" s="58">
        <v>1758037729761</v>
      </c>
      <c r="D2753" s="58" t="s">
        <v>5490</v>
      </c>
      <c r="E2753" s="58" t="s">
        <v>428</v>
      </c>
      <c r="F2753" t="s">
        <v>435</v>
      </c>
    </row>
    <row r="2754" spans="2:6" x14ac:dyDescent="0.3">
      <c r="B2754" s="58" t="s">
        <v>5480</v>
      </c>
      <c r="C2754" s="58">
        <v>1758037730079</v>
      </c>
      <c r="D2754" s="58" t="s">
        <v>5491</v>
      </c>
      <c r="E2754" s="58" t="s">
        <v>520</v>
      </c>
      <c r="F2754" t="s">
        <v>559</v>
      </c>
    </row>
    <row r="2755" spans="2:6" x14ac:dyDescent="0.3">
      <c r="B2755" s="58" t="s">
        <v>5480</v>
      </c>
      <c r="C2755" s="58">
        <v>1758037734978</v>
      </c>
      <c r="D2755" s="58" t="s">
        <v>5492</v>
      </c>
      <c r="E2755" s="58" t="s">
        <v>525</v>
      </c>
      <c r="F2755" t="s">
        <v>561</v>
      </c>
    </row>
    <row r="2756" spans="2:6" x14ac:dyDescent="0.3">
      <c r="B2756" s="58" t="s">
        <v>426</v>
      </c>
      <c r="C2756" s="58">
        <v>1758037748179</v>
      </c>
      <c r="D2756" s="58" t="s">
        <v>5493</v>
      </c>
      <c r="E2756" s="58" t="s">
        <v>428</v>
      </c>
      <c r="F2756" t="s">
        <v>437</v>
      </c>
    </row>
    <row r="2757" spans="2:6" x14ac:dyDescent="0.3">
      <c r="B2757" s="58" t="s">
        <v>5480</v>
      </c>
      <c r="C2757" s="58">
        <v>1758037755111</v>
      </c>
      <c r="D2757" s="58" t="s">
        <v>5494</v>
      </c>
      <c r="E2757" s="58" t="s">
        <v>520</v>
      </c>
      <c r="F2757" t="s">
        <v>615</v>
      </c>
    </row>
    <row r="2758" spans="2:6" x14ac:dyDescent="0.3">
      <c r="B2758" s="58" t="s">
        <v>5480</v>
      </c>
      <c r="C2758" s="58">
        <v>1758037759811</v>
      </c>
      <c r="D2758" s="58" t="s">
        <v>5495</v>
      </c>
      <c r="E2758" s="58" t="s">
        <v>525</v>
      </c>
      <c r="F2758" t="s">
        <v>617</v>
      </c>
    </row>
    <row r="2759" spans="2:6" x14ac:dyDescent="0.3">
      <c r="B2759" s="58" t="s">
        <v>426</v>
      </c>
      <c r="C2759" s="58">
        <v>1758037766643</v>
      </c>
      <c r="D2759" s="58" t="s">
        <v>5496</v>
      </c>
      <c r="E2759" s="58" t="s">
        <v>428</v>
      </c>
      <c r="F2759" t="s">
        <v>439</v>
      </c>
    </row>
    <row r="2760" spans="2:6" x14ac:dyDescent="0.3">
      <c r="B2760" s="58" t="s">
        <v>5480</v>
      </c>
      <c r="C2760" s="58">
        <v>1758037776685</v>
      </c>
      <c r="D2760" s="58" t="s">
        <v>5497</v>
      </c>
      <c r="E2760" s="58" t="s">
        <v>424</v>
      </c>
      <c r="F2760" t="s">
        <v>441</v>
      </c>
    </row>
    <row r="2761" spans="2:6" x14ac:dyDescent="0.3">
      <c r="B2761" s="58" t="s">
        <v>5480</v>
      </c>
      <c r="C2761" s="58">
        <v>1758037779948</v>
      </c>
      <c r="D2761" s="58" t="s">
        <v>5498</v>
      </c>
      <c r="E2761" s="58" t="s">
        <v>520</v>
      </c>
      <c r="F2761" t="s">
        <v>1975</v>
      </c>
    </row>
    <row r="2762" spans="2:6" x14ac:dyDescent="0.3">
      <c r="B2762" s="58" t="s">
        <v>426</v>
      </c>
      <c r="C2762" s="58">
        <v>1758037782157</v>
      </c>
      <c r="D2762" s="58" t="s">
        <v>5499</v>
      </c>
      <c r="E2762" s="58" t="s">
        <v>428</v>
      </c>
      <c r="F2762" t="s">
        <v>429</v>
      </c>
    </row>
    <row r="2763" spans="2:6" x14ac:dyDescent="0.3">
      <c r="B2763" s="58" t="s">
        <v>426</v>
      </c>
      <c r="C2763" s="58">
        <v>1758037797647</v>
      </c>
      <c r="D2763" s="58" t="s">
        <v>5500</v>
      </c>
      <c r="E2763" s="58" t="s">
        <v>428</v>
      </c>
      <c r="F2763" t="s">
        <v>431</v>
      </c>
    </row>
    <row r="2764" spans="2:6" x14ac:dyDescent="0.3">
      <c r="B2764" s="58" t="s">
        <v>5480</v>
      </c>
      <c r="C2764" s="58">
        <v>1758037804393</v>
      </c>
      <c r="D2764" s="58" t="s">
        <v>5501</v>
      </c>
      <c r="E2764" s="58" t="s">
        <v>525</v>
      </c>
      <c r="F2764" t="s">
        <v>1977</v>
      </c>
    </row>
    <row r="2765" spans="2:6" x14ac:dyDescent="0.3">
      <c r="B2765" s="58" t="s">
        <v>426</v>
      </c>
      <c r="C2765" s="58">
        <v>1758037813860</v>
      </c>
      <c r="D2765" s="58" t="s">
        <v>5502</v>
      </c>
      <c r="E2765" s="58" t="s">
        <v>428</v>
      </c>
      <c r="F2765" t="s">
        <v>538</v>
      </c>
    </row>
    <row r="2766" spans="2:6" x14ac:dyDescent="0.3">
      <c r="B2766" s="58" t="s">
        <v>5480</v>
      </c>
      <c r="C2766" s="58">
        <v>1758037817729</v>
      </c>
      <c r="D2766" s="58" t="s">
        <v>5503</v>
      </c>
      <c r="E2766" s="58" t="s">
        <v>424</v>
      </c>
      <c r="F2766" t="s">
        <v>433</v>
      </c>
    </row>
    <row r="2767" spans="2:6" x14ac:dyDescent="0.3">
      <c r="B2767" s="58" t="s">
        <v>5480</v>
      </c>
      <c r="C2767" s="58">
        <v>1758037824510</v>
      </c>
      <c r="D2767" s="58" t="s">
        <v>5504</v>
      </c>
      <c r="E2767" s="58" t="s">
        <v>520</v>
      </c>
      <c r="F2767" t="s">
        <v>2311</v>
      </c>
    </row>
    <row r="2768" spans="2:6" x14ac:dyDescent="0.3">
      <c r="B2768" s="58" t="s">
        <v>426</v>
      </c>
      <c r="C2768" s="58">
        <v>1758037831566</v>
      </c>
      <c r="D2768" s="58" t="s">
        <v>5505</v>
      </c>
      <c r="E2768" s="58" t="s">
        <v>428</v>
      </c>
      <c r="F2768" t="s">
        <v>672</v>
      </c>
    </row>
    <row r="2769" spans="2:6" x14ac:dyDescent="0.3">
      <c r="B2769" s="58" t="s">
        <v>5480</v>
      </c>
      <c r="C2769" s="58">
        <v>1758037835452</v>
      </c>
      <c r="D2769" s="58" t="s">
        <v>5506</v>
      </c>
      <c r="E2769" s="58" t="s">
        <v>525</v>
      </c>
      <c r="F2769" t="s">
        <v>2313</v>
      </c>
    </row>
    <row r="2770" spans="2:6" x14ac:dyDescent="0.3">
      <c r="B2770" s="58" t="s">
        <v>426</v>
      </c>
      <c r="C2770" s="58">
        <v>1758037842697</v>
      </c>
      <c r="D2770" s="58" t="s">
        <v>5507</v>
      </c>
      <c r="E2770" s="58" t="s">
        <v>428</v>
      </c>
      <c r="F2770" t="s">
        <v>453</v>
      </c>
    </row>
    <row r="2771" spans="2:6" x14ac:dyDescent="0.3">
      <c r="B2771" s="58" t="s">
        <v>5480</v>
      </c>
      <c r="C2771" s="58">
        <v>1758037855570</v>
      </c>
      <c r="D2771" s="58" t="s">
        <v>5508</v>
      </c>
      <c r="E2771" s="58" t="s">
        <v>520</v>
      </c>
      <c r="F2771" t="s">
        <v>994</v>
      </c>
    </row>
    <row r="2772" spans="2:6" x14ac:dyDescent="0.3">
      <c r="B2772" s="58" t="s">
        <v>5480</v>
      </c>
      <c r="C2772" s="58">
        <v>1758037866849</v>
      </c>
      <c r="D2772" s="58" t="s">
        <v>5509</v>
      </c>
      <c r="E2772" s="58" t="s">
        <v>525</v>
      </c>
      <c r="F2772" t="s">
        <v>997</v>
      </c>
    </row>
    <row r="2773" spans="2:6" x14ac:dyDescent="0.3">
      <c r="B2773" s="58" t="s">
        <v>5480</v>
      </c>
      <c r="C2773" s="58">
        <v>1758037880136</v>
      </c>
      <c r="D2773" s="58" t="s">
        <v>5510</v>
      </c>
      <c r="E2773" s="58" t="s">
        <v>419</v>
      </c>
      <c r="F2773" t="s">
        <v>420</v>
      </c>
    </row>
    <row r="2774" spans="2:6" x14ac:dyDescent="0.3">
      <c r="B2774" s="58" t="s">
        <v>5480</v>
      </c>
      <c r="C2774" s="58">
        <v>1758037880524</v>
      </c>
      <c r="D2774" s="58" t="s">
        <v>5511</v>
      </c>
      <c r="E2774" s="58" t="s">
        <v>424</v>
      </c>
      <c r="F2774" t="s">
        <v>457</v>
      </c>
    </row>
    <row r="2775" spans="2:6" x14ac:dyDescent="0.3">
      <c r="B2775" s="58" t="s">
        <v>5480</v>
      </c>
      <c r="C2775" s="58">
        <v>1758037886982</v>
      </c>
      <c r="D2775" s="58" t="s">
        <v>5512</v>
      </c>
      <c r="E2775" s="58" t="s">
        <v>520</v>
      </c>
      <c r="F2775" t="s">
        <v>521</v>
      </c>
    </row>
    <row r="2776" spans="2:6" x14ac:dyDescent="0.3">
      <c r="B2776" s="58" t="s">
        <v>5480</v>
      </c>
      <c r="C2776" s="58">
        <v>1758037893016</v>
      </c>
      <c r="D2776" s="58" t="s">
        <v>5513</v>
      </c>
      <c r="E2776" s="58" t="s">
        <v>525</v>
      </c>
      <c r="F2776" t="s">
        <v>526</v>
      </c>
    </row>
    <row r="2777" spans="2:6" x14ac:dyDescent="0.3">
      <c r="B2777" s="58" t="s">
        <v>426</v>
      </c>
      <c r="C2777" s="58">
        <v>1758037901303</v>
      </c>
      <c r="D2777" s="58" t="s">
        <v>5514</v>
      </c>
      <c r="E2777" s="58" t="s">
        <v>428</v>
      </c>
      <c r="F2777" t="s">
        <v>455</v>
      </c>
    </row>
    <row r="2778" spans="2:6" x14ac:dyDescent="0.3">
      <c r="B2778" s="58" t="s">
        <v>5480</v>
      </c>
      <c r="C2778" s="58">
        <v>1758037913156</v>
      </c>
      <c r="D2778" s="58" t="s">
        <v>5515</v>
      </c>
      <c r="E2778" s="58" t="s">
        <v>520</v>
      </c>
      <c r="F2778" t="s">
        <v>949</v>
      </c>
    </row>
    <row r="2779" spans="2:6" x14ac:dyDescent="0.3">
      <c r="B2779" s="58" t="s">
        <v>426</v>
      </c>
      <c r="C2779" s="58">
        <v>1758037918194</v>
      </c>
      <c r="D2779" s="58" t="s">
        <v>5516</v>
      </c>
      <c r="E2779" s="58" t="s">
        <v>428</v>
      </c>
      <c r="F2779" t="s">
        <v>523</v>
      </c>
    </row>
    <row r="2780" spans="2:6" x14ac:dyDescent="0.3">
      <c r="B2780" s="58" t="s">
        <v>426</v>
      </c>
      <c r="C2780" s="58">
        <v>1758037933665</v>
      </c>
      <c r="D2780" s="58" t="s">
        <v>5517</v>
      </c>
      <c r="E2780" s="58" t="s">
        <v>428</v>
      </c>
      <c r="F2780" t="s">
        <v>447</v>
      </c>
    </row>
    <row r="2781" spans="2:6" x14ac:dyDescent="0.3">
      <c r="B2781" s="58" t="s">
        <v>5480</v>
      </c>
      <c r="C2781" s="58">
        <v>1758037937335</v>
      </c>
      <c r="D2781" s="58" t="s">
        <v>5518</v>
      </c>
      <c r="E2781" s="58" t="s">
        <v>525</v>
      </c>
      <c r="F2781" t="s">
        <v>951</v>
      </c>
    </row>
    <row r="2782" spans="2:6" x14ac:dyDescent="0.3">
      <c r="B2782" s="58" t="s">
        <v>5480</v>
      </c>
      <c r="C2782" s="58">
        <v>1758037939132</v>
      </c>
      <c r="D2782" s="58" t="s">
        <v>5519</v>
      </c>
      <c r="E2782" s="58" t="s">
        <v>424</v>
      </c>
      <c r="F2782" t="s">
        <v>459</v>
      </c>
    </row>
    <row r="2783" spans="2:6" x14ac:dyDescent="0.3">
      <c r="B2783" s="58" t="s">
        <v>5480</v>
      </c>
      <c r="C2783" s="58">
        <v>1758037940386</v>
      </c>
      <c r="D2783" s="58" t="s">
        <v>5520</v>
      </c>
      <c r="E2783" s="58" t="s">
        <v>424</v>
      </c>
      <c r="F2783" t="s">
        <v>461</v>
      </c>
    </row>
    <row r="2784" spans="2:6" x14ac:dyDescent="0.3">
      <c r="B2784" s="58" t="s">
        <v>5480</v>
      </c>
      <c r="C2784" s="58">
        <v>1758037949004</v>
      </c>
      <c r="D2784" s="58" t="s">
        <v>5521</v>
      </c>
      <c r="E2784" s="58" t="s">
        <v>424</v>
      </c>
      <c r="F2784" t="s">
        <v>449</v>
      </c>
    </row>
    <row r="2785" spans="1:6" x14ac:dyDescent="0.3">
      <c r="B2785" s="58" t="s">
        <v>5480</v>
      </c>
      <c r="C2785" s="58">
        <v>1758037950602</v>
      </c>
      <c r="D2785" s="58" t="s">
        <v>5522</v>
      </c>
      <c r="E2785" s="58" t="s">
        <v>424</v>
      </c>
      <c r="F2785" t="s">
        <v>451</v>
      </c>
    </row>
    <row r="2786" spans="1:6" x14ac:dyDescent="0.3">
      <c r="B2786" s="58" t="s">
        <v>5480</v>
      </c>
      <c r="C2786" s="58">
        <v>1758037952500</v>
      </c>
      <c r="D2786" s="58" t="s">
        <v>5523</v>
      </c>
      <c r="E2786" s="58" t="s">
        <v>463</v>
      </c>
      <c r="F2786" t="s">
        <v>464</v>
      </c>
    </row>
    <row r="2787" spans="1:6" ht="21" x14ac:dyDescent="0.4">
      <c r="A2787" s="69" t="s">
        <v>62</v>
      </c>
      <c r="B2787" s="63" t="s">
        <v>5681</v>
      </c>
      <c r="C2787" s="63">
        <v>1758043165973</v>
      </c>
      <c r="D2787" s="63" t="s">
        <v>5682</v>
      </c>
      <c r="E2787" s="63" t="s">
        <v>416</v>
      </c>
      <c r="F2787" t="s">
        <v>492</v>
      </c>
    </row>
    <row r="2788" spans="1:6" x14ac:dyDescent="0.3">
      <c r="B2788" s="63" t="s">
        <v>5681</v>
      </c>
      <c r="C2788" s="63">
        <v>1758043180400</v>
      </c>
      <c r="D2788" s="63" t="s">
        <v>5683</v>
      </c>
      <c r="E2788" s="63" t="s">
        <v>419</v>
      </c>
      <c r="F2788" t="s">
        <v>420</v>
      </c>
    </row>
    <row r="2789" spans="1:6" x14ac:dyDescent="0.3">
      <c r="B2789" s="63" t="s">
        <v>5681</v>
      </c>
      <c r="C2789" s="63">
        <v>1758043190093</v>
      </c>
      <c r="D2789" s="63" t="s">
        <v>5684</v>
      </c>
      <c r="E2789" s="63" t="s">
        <v>389</v>
      </c>
      <c r="F2789" t="s">
        <v>3207</v>
      </c>
    </row>
    <row r="2790" spans="1:6" x14ac:dyDescent="0.3">
      <c r="B2790" s="63" t="s">
        <v>5681</v>
      </c>
      <c r="C2790" s="63">
        <v>1758043190206</v>
      </c>
      <c r="D2790" s="63" t="s">
        <v>5685</v>
      </c>
      <c r="E2790" s="63" t="s">
        <v>389</v>
      </c>
      <c r="F2790" t="s">
        <v>2750</v>
      </c>
    </row>
    <row r="2791" spans="1:6" x14ac:dyDescent="0.3">
      <c r="B2791" s="63" t="s">
        <v>5681</v>
      </c>
      <c r="C2791" s="63">
        <v>1758043190336</v>
      </c>
      <c r="D2791" s="63" t="s">
        <v>5686</v>
      </c>
      <c r="E2791" s="63" t="s">
        <v>389</v>
      </c>
      <c r="F2791" t="s">
        <v>2020</v>
      </c>
    </row>
    <row r="2792" spans="1:6" x14ac:dyDescent="0.3">
      <c r="B2792" s="63" t="s">
        <v>5681</v>
      </c>
      <c r="C2792" s="63">
        <v>1758043190434</v>
      </c>
      <c r="D2792" s="63" t="s">
        <v>5687</v>
      </c>
      <c r="E2792" s="63" t="s">
        <v>389</v>
      </c>
      <c r="F2792" t="s">
        <v>3207</v>
      </c>
    </row>
    <row r="2793" spans="1:6" x14ac:dyDescent="0.3">
      <c r="B2793" s="63" t="s">
        <v>5681</v>
      </c>
      <c r="C2793" s="63">
        <v>1758043190595</v>
      </c>
      <c r="D2793" s="63" t="s">
        <v>5688</v>
      </c>
      <c r="E2793" s="63" t="s">
        <v>389</v>
      </c>
      <c r="F2793" t="s">
        <v>2750</v>
      </c>
    </row>
    <row r="2794" spans="1:6" x14ac:dyDescent="0.3">
      <c r="B2794" s="63" t="s">
        <v>5681</v>
      </c>
      <c r="C2794" s="63">
        <v>1758043190773</v>
      </c>
      <c r="D2794" s="63" t="s">
        <v>5689</v>
      </c>
      <c r="E2794" s="63" t="s">
        <v>389</v>
      </c>
      <c r="F2794" t="s">
        <v>2020</v>
      </c>
    </row>
    <row r="2795" spans="1:6" x14ac:dyDescent="0.3">
      <c r="B2795" s="63" t="s">
        <v>5681</v>
      </c>
      <c r="C2795" s="63">
        <v>1758043190981</v>
      </c>
      <c r="D2795" s="63" t="s">
        <v>5690</v>
      </c>
      <c r="E2795" s="63" t="s">
        <v>389</v>
      </c>
      <c r="F2795" t="s">
        <v>2750</v>
      </c>
    </row>
    <row r="2796" spans="1:6" x14ac:dyDescent="0.3">
      <c r="B2796" s="63" t="s">
        <v>5681</v>
      </c>
      <c r="C2796" s="63">
        <v>1758043191060</v>
      </c>
      <c r="D2796" s="63" t="s">
        <v>5691</v>
      </c>
      <c r="E2796" s="63" t="s">
        <v>389</v>
      </c>
      <c r="F2796" t="s">
        <v>3207</v>
      </c>
    </row>
    <row r="2797" spans="1:6" x14ac:dyDescent="0.3">
      <c r="B2797" s="63" t="s">
        <v>5681</v>
      </c>
      <c r="C2797" s="63">
        <v>1758043191169</v>
      </c>
      <c r="D2797" s="63" t="s">
        <v>5692</v>
      </c>
      <c r="E2797" s="63" t="s">
        <v>389</v>
      </c>
      <c r="F2797" t="s">
        <v>2750</v>
      </c>
    </row>
    <row r="2798" spans="1:6" x14ac:dyDescent="0.3">
      <c r="B2798" s="63" t="s">
        <v>5681</v>
      </c>
      <c r="C2798" s="63">
        <v>1758043191253</v>
      </c>
      <c r="D2798" s="63" t="s">
        <v>5693</v>
      </c>
      <c r="E2798" s="63" t="s">
        <v>389</v>
      </c>
      <c r="F2798" t="s">
        <v>508</v>
      </c>
    </row>
    <row r="2799" spans="1:6" x14ac:dyDescent="0.3">
      <c r="B2799" s="63" t="s">
        <v>5681</v>
      </c>
      <c r="C2799" s="63">
        <v>1758043191328</v>
      </c>
      <c r="D2799" s="63" t="s">
        <v>5694</v>
      </c>
      <c r="E2799" s="63" t="s">
        <v>389</v>
      </c>
      <c r="F2799" t="s">
        <v>2750</v>
      </c>
    </row>
    <row r="2800" spans="1:6" x14ac:dyDescent="0.3">
      <c r="B2800" s="63" t="s">
        <v>5681</v>
      </c>
      <c r="C2800" s="63">
        <v>1758043191401</v>
      </c>
      <c r="D2800" s="63" t="s">
        <v>5695</v>
      </c>
      <c r="E2800" s="63" t="s">
        <v>389</v>
      </c>
      <c r="F2800" t="s">
        <v>3207</v>
      </c>
    </row>
    <row r="2801" spans="2:6" x14ac:dyDescent="0.3">
      <c r="B2801" s="63" t="s">
        <v>5681</v>
      </c>
      <c r="C2801" s="63">
        <v>1758043191479</v>
      </c>
      <c r="D2801" s="63" t="s">
        <v>5696</v>
      </c>
      <c r="E2801" s="63" t="s">
        <v>389</v>
      </c>
      <c r="F2801" t="s">
        <v>5697</v>
      </c>
    </row>
    <row r="2802" spans="2:6" x14ac:dyDescent="0.3">
      <c r="B2802" s="63" t="s">
        <v>5681</v>
      </c>
      <c r="C2802" s="63">
        <v>1758043191568</v>
      </c>
      <c r="D2802" s="63" t="s">
        <v>5698</v>
      </c>
      <c r="E2802" s="63" t="s">
        <v>389</v>
      </c>
      <c r="F2802" t="s">
        <v>5699</v>
      </c>
    </row>
    <row r="2803" spans="2:6" x14ac:dyDescent="0.3">
      <c r="B2803" s="63" t="s">
        <v>5681</v>
      </c>
      <c r="C2803" s="63">
        <v>1758043191639</v>
      </c>
      <c r="D2803" s="63" t="s">
        <v>5700</v>
      </c>
      <c r="E2803" s="63" t="s">
        <v>389</v>
      </c>
      <c r="F2803" t="s">
        <v>5701</v>
      </c>
    </row>
    <row r="2804" spans="2:6" x14ac:dyDescent="0.3">
      <c r="B2804" s="63" t="s">
        <v>5681</v>
      </c>
      <c r="C2804" s="63">
        <v>1758043191696</v>
      </c>
      <c r="D2804" s="63" t="s">
        <v>5702</v>
      </c>
      <c r="E2804" s="63" t="s">
        <v>389</v>
      </c>
      <c r="F2804" t="s">
        <v>5703</v>
      </c>
    </row>
    <row r="2805" spans="2:6" x14ac:dyDescent="0.3">
      <c r="B2805" s="63" t="s">
        <v>5681</v>
      </c>
      <c r="C2805" s="63">
        <v>1758043191767</v>
      </c>
      <c r="D2805" s="63" t="s">
        <v>5704</v>
      </c>
      <c r="E2805" s="63" t="s">
        <v>389</v>
      </c>
      <c r="F2805" t="s">
        <v>2874</v>
      </c>
    </row>
    <row r="2806" spans="2:6" x14ac:dyDescent="0.3">
      <c r="B2806" s="63" t="s">
        <v>5681</v>
      </c>
      <c r="C2806" s="63">
        <v>1758043191850</v>
      </c>
      <c r="D2806" s="63" t="s">
        <v>5705</v>
      </c>
      <c r="E2806" s="63" t="s">
        <v>389</v>
      </c>
      <c r="F2806" t="s">
        <v>402</v>
      </c>
    </row>
    <row r="2807" spans="2:6" x14ac:dyDescent="0.3">
      <c r="B2807" s="63" t="s">
        <v>5681</v>
      </c>
      <c r="C2807" s="63">
        <v>1758043191925</v>
      </c>
      <c r="D2807" s="63" t="s">
        <v>5706</v>
      </c>
      <c r="E2807" s="63" t="s">
        <v>389</v>
      </c>
      <c r="F2807" t="s">
        <v>2874</v>
      </c>
    </row>
    <row r="2808" spans="2:6" x14ac:dyDescent="0.3">
      <c r="B2808" s="63" t="s">
        <v>5681</v>
      </c>
      <c r="C2808" s="63">
        <v>1758043192003</v>
      </c>
      <c r="D2808" s="63" t="s">
        <v>5707</v>
      </c>
      <c r="E2808" s="63" t="s">
        <v>389</v>
      </c>
      <c r="F2808" t="s">
        <v>402</v>
      </c>
    </row>
    <row r="2809" spans="2:6" x14ac:dyDescent="0.3">
      <c r="B2809" s="63" t="s">
        <v>5681</v>
      </c>
      <c r="C2809" s="63">
        <v>1758043192081</v>
      </c>
      <c r="D2809" s="63" t="s">
        <v>5708</v>
      </c>
      <c r="E2809" s="63" t="s">
        <v>389</v>
      </c>
      <c r="F2809" t="s">
        <v>5697</v>
      </c>
    </row>
    <row r="2810" spans="2:6" x14ac:dyDescent="0.3">
      <c r="B2810" s="63" t="s">
        <v>5681</v>
      </c>
      <c r="C2810" s="63">
        <v>1758043192163</v>
      </c>
      <c r="D2810" s="63" t="s">
        <v>5709</v>
      </c>
      <c r="E2810" s="63" t="s">
        <v>389</v>
      </c>
      <c r="F2810" t="s">
        <v>5699</v>
      </c>
    </row>
    <row r="2811" spans="2:6" x14ac:dyDescent="0.3">
      <c r="B2811" s="63" t="s">
        <v>5681</v>
      </c>
      <c r="C2811" s="63">
        <v>1758043192247</v>
      </c>
      <c r="D2811" s="63" t="s">
        <v>5710</v>
      </c>
      <c r="E2811" s="63" t="s">
        <v>389</v>
      </c>
      <c r="F2811" t="s">
        <v>3207</v>
      </c>
    </row>
    <row r="2812" spans="2:6" x14ac:dyDescent="0.3">
      <c r="B2812" s="63" t="s">
        <v>5681</v>
      </c>
      <c r="C2812" s="63">
        <v>1758043192332</v>
      </c>
      <c r="D2812" s="63" t="s">
        <v>5711</v>
      </c>
      <c r="E2812" s="63" t="s">
        <v>389</v>
      </c>
      <c r="F2812" t="s">
        <v>2750</v>
      </c>
    </row>
    <row r="2813" spans="2:6" x14ac:dyDescent="0.3">
      <c r="B2813" s="63" t="s">
        <v>5681</v>
      </c>
      <c r="C2813" s="63">
        <v>1758043192405</v>
      </c>
      <c r="D2813" s="63" t="s">
        <v>5712</v>
      </c>
      <c r="E2813" s="63" t="s">
        <v>389</v>
      </c>
      <c r="F2813" t="s">
        <v>3207</v>
      </c>
    </row>
    <row r="2814" spans="2:6" x14ac:dyDescent="0.3">
      <c r="B2814" s="63" t="s">
        <v>5681</v>
      </c>
      <c r="C2814" s="63">
        <v>1758043192510</v>
      </c>
      <c r="D2814" s="63" t="s">
        <v>5713</v>
      </c>
      <c r="E2814" s="63" t="s">
        <v>389</v>
      </c>
      <c r="F2814" t="s">
        <v>2750</v>
      </c>
    </row>
    <row r="2815" spans="2:6" x14ac:dyDescent="0.3">
      <c r="B2815" s="63" t="s">
        <v>5681</v>
      </c>
      <c r="C2815" s="63">
        <v>1758043192593</v>
      </c>
      <c r="D2815" s="63" t="s">
        <v>5714</v>
      </c>
      <c r="E2815" s="63" t="s">
        <v>389</v>
      </c>
      <c r="F2815" t="s">
        <v>3207</v>
      </c>
    </row>
    <row r="2816" spans="2:6" x14ac:dyDescent="0.3">
      <c r="B2816" s="63" t="s">
        <v>5681</v>
      </c>
      <c r="C2816" s="63">
        <v>1758043192723</v>
      </c>
      <c r="D2816" s="63" t="s">
        <v>5715</v>
      </c>
      <c r="E2816" s="63" t="s">
        <v>389</v>
      </c>
      <c r="F2816" t="s">
        <v>2750</v>
      </c>
    </row>
    <row r="2817" spans="2:6" x14ac:dyDescent="0.3">
      <c r="B2817" s="63" t="s">
        <v>5681</v>
      </c>
      <c r="C2817" s="63">
        <v>1758043192896</v>
      </c>
      <c r="D2817" s="63" t="s">
        <v>5716</v>
      </c>
      <c r="E2817" s="63" t="s">
        <v>389</v>
      </c>
      <c r="F2817" t="s">
        <v>3207</v>
      </c>
    </row>
    <row r="2818" spans="2:6" x14ac:dyDescent="0.3">
      <c r="B2818" s="63" t="s">
        <v>5681</v>
      </c>
      <c r="C2818" s="63">
        <v>1758043193055</v>
      </c>
      <c r="D2818" s="63" t="s">
        <v>5717</v>
      </c>
      <c r="E2818" s="63" t="s">
        <v>389</v>
      </c>
      <c r="F2818" t="s">
        <v>2750</v>
      </c>
    </row>
    <row r="2819" spans="2:6" x14ac:dyDescent="0.3">
      <c r="B2819" s="63" t="s">
        <v>5681</v>
      </c>
      <c r="C2819" s="63">
        <v>1758043193161</v>
      </c>
      <c r="D2819" s="63" t="s">
        <v>5718</v>
      </c>
      <c r="E2819" s="63" t="s">
        <v>389</v>
      </c>
      <c r="F2819" t="s">
        <v>3207</v>
      </c>
    </row>
    <row r="2820" spans="2:6" x14ac:dyDescent="0.3">
      <c r="B2820" s="63" t="s">
        <v>5681</v>
      </c>
      <c r="C2820" s="63">
        <v>1758043204990</v>
      </c>
      <c r="D2820" s="63" t="s">
        <v>5719</v>
      </c>
      <c r="E2820" s="63" t="s">
        <v>389</v>
      </c>
      <c r="F2820" t="s">
        <v>511</v>
      </c>
    </row>
    <row r="2821" spans="2:6" x14ac:dyDescent="0.3">
      <c r="B2821" s="63" t="s">
        <v>5681</v>
      </c>
      <c r="C2821" s="63">
        <v>1758043208178</v>
      </c>
      <c r="D2821" s="63" t="s">
        <v>5720</v>
      </c>
      <c r="E2821" s="63" t="s">
        <v>389</v>
      </c>
      <c r="F2821" t="s">
        <v>396</v>
      </c>
    </row>
    <row r="2822" spans="2:6" x14ac:dyDescent="0.3">
      <c r="B2822" s="63" t="s">
        <v>5681</v>
      </c>
      <c r="C2822" s="63">
        <v>1758043209528</v>
      </c>
      <c r="D2822" s="63" t="s">
        <v>5721</v>
      </c>
      <c r="E2822" s="63" t="s">
        <v>389</v>
      </c>
      <c r="F2822" t="s">
        <v>1694</v>
      </c>
    </row>
    <row r="2823" spans="2:6" x14ac:dyDescent="0.3">
      <c r="B2823" s="63" t="s">
        <v>5681</v>
      </c>
      <c r="C2823" s="63">
        <v>1758043210810</v>
      </c>
      <c r="D2823" s="63" t="s">
        <v>5722</v>
      </c>
      <c r="E2823" s="63" t="s">
        <v>389</v>
      </c>
      <c r="F2823" t="s">
        <v>398</v>
      </c>
    </row>
    <row r="2824" spans="2:6" x14ac:dyDescent="0.3">
      <c r="B2824" s="63" t="s">
        <v>5681</v>
      </c>
      <c r="C2824" s="63">
        <v>1758043212270</v>
      </c>
      <c r="D2824" s="63" t="s">
        <v>5723</v>
      </c>
      <c r="E2824" s="63" t="s">
        <v>389</v>
      </c>
      <c r="F2824" t="s">
        <v>1464</v>
      </c>
    </row>
    <row r="2825" spans="2:6" x14ac:dyDescent="0.3">
      <c r="B2825" s="63" t="s">
        <v>5681</v>
      </c>
      <c r="C2825" s="63">
        <v>1758043213830</v>
      </c>
      <c r="D2825" s="63" t="s">
        <v>5724</v>
      </c>
      <c r="E2825" s="63" t="s">
        <v>389</v>
      </c>
      <c r="F2825" t="s">
        <v>1592</v>
      </c>
    </row>
    <row r="2826" spans="2:6" x14ac:dyDescent="0.3">
      <c r="B2826" s="63" t="s">
        <v>5681</v>
      </c>
      <c r="C2826" s="63">
        <v>1758043221323</v>
      </c>
      <c r="D2826" s="63" t="s">
        <v>5725</v>
      </c>
      <c r="E2826" s="63" t="s">
        <v>389</v>
      </c>
      <c r="F2826" t="s">
        <v>508</v>
      </c>
    </row>
    <row r="2827" spans="2:6" x14ac:dyDescent="0.3">
      <c r="B2827" s="63" t="s">
        <v>5681</v>
      </c>
      <c r="C2827" s="63">
        <v>1758043222288</v>
      </c>
      <c r="D2827" s="63" t="s">
        <v>5726</v>
      </c>
      <c r="E2827" s="63" t="s">
        <v>389</v>
      </c>
      <c r="F2827" t="s">
        <v>660</v>
      </c>
    </row>
    <row r="2828" spans="2:6" x14ac:dyDescent="0.3">
      <c r="B2828" s="63" t="s">
        <v>5681</v>
      </c>
      <c r="C2828" s="63">
        <v>1758043225139</v>
      </c>
      <c r="D2828" s="63" t="s">
        <v>5727</v>
      </c>
      <c r="E2828" s="63" t="s">
        <v>389</v>
      </c>
      <c r="F2828" t="s">
        <v>495</v>
      </c>
    </row>
    <row r="2829" spans="2:6" x14ac:dyDescent="0.3">
      <c r="B2829" s="63" t="s">
        <v>5681</v>
      </c>
      <c r="C2829" s="63">
        <v>1758043227768</v>
      </c>
      <c r="D2829" s="63" t="s">
        <v>5728</v>
      </c>
      <c r="E2829" s="63" t="s">
        <v>389</v>
      </c>
      <c r="F2829" t="s">
        <v>515</v>
      </c>
    </row>
    <row r="2830" spans="2:6" x14ac:dyDescent="0.3">
      <c r="B2830" s="63" t="s">
        <v>5681</v>
      </c>
      <c r="C2830" s="63">
        <v>1758043269156</v>
      </c>
      <c r="D2830" s="63" t="s">
        <v>5729</v>
      </c>
      <c r="E2830" s="63" t="s">
        <v>389</v>
      </c>
      <c r="F2830" t="s">
        <v>390</v>
      </c>
    </row>
    <row r="2831" spans="2:6" x14ac:dyDescent="0.3">
      <c r="B2831" s="63" t="s">
        <v>5681</v>
      </c>
      <c r="C2831" s="63">
        <v>1758043271250</v>
      </c>
      <c r="D2831" s="63" t="s">
        <v>5730</v>
      </c>
      <c r="E2831" s="63" t="s">
        <v>389</v>
      </c>
      <c r="F2831" t="s">
        <v>392</v>
      </c>
    </row>
    <row r="2832" spans="2:6" x14ac:dyDescent="0.3">
      <c r="B2832" s="63" t="s">
        <v>5681</v>
      </c>
      <c r="C2832" s="63">
        <v>1758043278455</v>
      </c>
      <c r="D2832" s="63" t="s">
        <v>5731</v>
      </c>
      <c r="E2832" s="63" t="s">
        <v>389</v>
      </c>
      <c r="F2832" t="s">
        <v>811</v>
      </c>
    </row>
    <row r="2833" spans="2:6" x14ac:dyDescent="0.3">
      <c r="B2833" s="63" t="s">
        <v>5681</v>
      </c>
      <c r="C2833" s="63">
        <v>1758043321034</v>
      </c>
      <c r="D2833" s="63" t="s">
        <v>5732</v>
      </c>
      <c r="E2833" s="63" t="s">
        <v>422</v>
      </c>
      <c r="F2833" t="s">
        <v>420</v>
      </c>
    </row>
    <row r="2834" spans="2:6" x14ac:dyDescent="0.3">
      <c r="B2834" s="63" t="s">
        <v>426</v>
      </c>
      <c r="C2834" s="63">
        <v>1758043336483</v>
      </c>
      <c r="D2834" s="63" t="s">
        <v>5733</v>
      </c>
      <c r="E2834" s="63" t="s">
        <v>428</v>
      </c>
      <c r="F2834" t="s">
        <v>538</v>
      </c>
    </row>
    <row r="2835" spans="2:6" x14ac:dyDescent="0.3">
      <c r="B2835" s="63" t="s">
        <v>5681</v>
      </c>
      <c r="C2835" s="63">
        <v>1758043341208</v>
      </c>
      <c r="D2835" s="63" t="s">
        <v>5734</v>
      </c>
      <c r="E2835" s="63" t="s">
        <v>520</v>
      </c>
      <c r="F2835" t="s">
        <v>1975</v>
      </c>
    </row>
    <row r="2836" spans="2:6" x14ac:dyDescent="0.3">
      <c r="B2836" s="63" t="s">
        <v>5681</v>
      </c>
      <c r="C2836" s="63">
        <v>1758043346253</v>
      </c>
      <c r="D2836" s="63" t="s">
        <v>5735</v>
      </c>
      <c r="E2836" s="63" t="s">
        <v>525</v>
      </c>
      <c r="F2836" t="s">
        <v>1977</v>
      </c>
    </row>
    <row r="2837" spans="2:6" x14ac:dyDescent="0.3">
      <c r="B2837" s="63" t="s">
        <v>426</v>
      </c>
      <c r="C2837" s="63">
        <v>1758043353475</v>
      </c>
      <c r="D2837" s="63" t="s">
        <v>5736</v>
      </c>
      <c r="E2837" s="63" t="s">
        <v>428</v>
      </c>
      <c r="F2837" t="s">
        <v>672</v>
      </c>
    </row>
    <row r="2838" spans="2:6" x14ac:dyDescent="0.3">
      <c r="B2838" s="63" t="s">
        <v>5681</v>
      </c>
      <c r="C2838" s="63">
        <v>1758043366363</v>
      </c>
      <c r="D2838" s="63" t="s">
        <v>5737</v>
      </c>
      <c r="E2838" s="63" t="s">
        <v>520</v>
      </c>
      <c r="F2838" t="s">
        <v>1631</v>
      </c>
    </row>
    <row r="2839" spans="2:6" x14ac:dyDescent="0.3">
      <c r="B2839" s="63" t="s">
        <v>426</v>
      </c>
      <c r="C2839" s="63">
        <v>1758043368931</v>
      </c>
      <c r="D2839" s="63" t="s">
        <v>5738</v>
      </c>
      <c r="E2839" s="63" t="s">
        <v>428</v>
      </c>
      <c r="F2839" t="s">
        <v>435</v>
      </c>
    </row>
    <row r="2840" spans="2:6" x14ac:dyDescent="0.3">
      <c r="B2840" s="63" t="s">
        <v>5681</v>
      </c>
      <c r="C2840" s="63">
        <v>1758043371564</v>
      </c>
      <c r="D2840" s="63" t="s">
        <v>5739</v>
      </c>
      <c r="E2840" s="63" t="s">
        <v>525</v>
      </c>
      <c r="F2840" t="s">
        <v>1633</v>
      </c>
    </row>
    <row r="2841" spans="2:6" x14ac:dyDescent="0.3">
      <c r="B2841" s="63" t="s">
        <v>426</v>
      </c>
      <c r="C2841" s="63">
        <v>1758043383656</v>
      </c>
      <c r="D2841" s="63" t="s">
        <v>5740</v>
      </c>
      <c r="E2841" s="63" t="s">
        <v>428</v>
      </c>
      <c r="F2841" t="s">
        <v>437</v>
      </c>
    </row>
    <row r="2842" spans="2:6" x14ac:dyDescent="0.3">
      <c r="B2842" s="63" t="s">
        <v>5681</v>
      </c>
      <c r="C2842" s="63">
        <v>1758043386015</v>
      </c>
      <c r="D2842" s="63" t="s">
        <v>5741</v>
      </c>
      <c r="E2842" s="63" t="s">
        <v>424</v>
      </c>
      <c r="F2842" t="s">
        <v>518</v>
      </c>
    </row>
    <row r="2843" spans="2:6" x14ac:dyDescent="0.3">
      <c r="B2843" s="63" t="s">
        <v>5681</v>
      </c>
      <c r="C2843" s="63">
        <v>1758043386741</v>
      </c>
      <c r="D2843" s="63" t="s">
        <v>5742</v>
      </c>
      <c r="E2843" s="63" t="s">
        <v>424</v>
      </c>
      <c r="F2843" t="s">
        <v>457</v>
      </c>
    </row>
    <row r="2844" spans="2:6" x14ac:dyDescent="0.3">
      <c r="B2844" s="63" t="s">
        <v>5681</v>
      </c>
      <c r="C2844" s="63">
        <v>1758043387762</v>
      </c>
      <c r="D2844" s="63" t="s">
        <v>5743</v>
      </c>
      <c r="E2844" s="63" t="s">
        <v>424</v>
      </c>
      <c r="F2844" t="s">
        <v>459</v>
      </c>
    </row>
    <row r="2845" spans="2:6" x14ac:dyDescent="0.3">
      <c r="B2845" s="63" t="s">
        <v>5681</v>
      </c>
      <c r="C2845" s="63">
        <v>1758043389376</v>
      </c>
      <c r="D2845" s="63" t="s">
        <v>5744</v>
      </c>
      <c r="E2845" s="63" t="s">
        <v>424</v>
      </c>
      <c r="F2845" t="s">
        <v>461</v>
      </c>
    </row>
    <row r="2846" spans="2:6" x14ac:dyDescent="0.3">
      <c r="B2846" s="63" t="s">
        <v>5681</v>
      </c>
      <c r="C2846" s="63">
        <v>1758043391685</v>
      </c>
      <c r="D2846" s="63" t="s">
        <v>5745</v>
      </c>
      <c r="E2846" s="63" t="s">
        <v>520</v>
      </c>
      <c r="F2846" t="s">
        <v>2268</v>
      </c>
    </row>
    <row r="2847" spans="2:6" x14ac:dyDescent="0.3">
      <c r="B2847" s="63" t="s">
        <v>5681</v>
      </c>
      <c r="C2847" s="63">
        <v>1758043396068</v>
      </c>
      <c r="D2847" s="63" t="s">
        <v>5746</v>
      </c>
      <c r="E2847" s="63" t="s">
        <v>525</v>
      </c>
      <c r="F2847" t="s">
        <v>2270</v>
      </c>
    </row>
    <row r="2848" spans="2:6" x14ac:dyDescent="0.3">
      <c r="B2848" s="63" t="s">
        <v>426</v>
      </c>
      <c r="C2848" s="63">
        <v>1758043399893</v>
      </c>
      <c r="D2848" s="63" t="s">
        <v>5747</v>
      </c>
      <c r="E2848" s="63" t="s">
        <v>428</v>
      </c>
      <c r="F2848" t="s">
        <v>439</v>
      </c>
    </row>
    <row r="2849" spans="2:6" x14ac:dyDescent="0.3">
      <c r="B2849" s="63" t="s">
        <v>5681</v>
      </c>
      <c r="C2849" s="63">
        <v>1758043411078</v>
      </c>
      <c r="D2849" s="63" t="s">
        <v>5748</v>
      </c>
      <c r="E2849" s="63" t="s">
        <v>424</v>
      </c>
      <c r="F2849" t="s">
        <v>441</v>
      </c>
    </row>
    <row r="2850" spans="2:6" x14ac:dyDescent="0.3">
      <c r="B2850" s="63" t="s">
        <v>5681</v>
      </c>
      <c r="C2850" s="63">
        <v>1758043416187</v>
      </c>
      <c r="D2850" s="63" t="s">
        <v>5749</v>
      </c>
      <c r="E2850" s="63" t="s">
        <v>520</v>
      </c>
      <c r="F2850" t="s">
        <v>2258</v>
      </c>
    </row>
    <row r="2851" spans="2:6" x14ac:dyDescent="0.3">
      <c r="B2851" s="63" t="s">
        <v>426</v>
      </c>
      <c r="C2851" s="63">
        <v>1758043418195</v>
      </c>
      <c r="D2851" s="63" t="s">
        <v>5750</v>
      </c>
      <c r="E2851" s="63" t="s">
        <v>428</v>
      </c>
      <c r="F2851" t="s">
        <v>429</v>
      </c>
    </row>
    <row r="2852" spans="2:6" x14ac:dyDescent="0.3">
      <c r="B2852" s="63" t="s">
        <v>5681</v>
      </c>
      <c r="C2852" s="63">
        <v>1758043420345</v>
      </c>
      <c r="D2852" s="63" t="s">
        <v>5751</v>
      </c>
      <c r="E2852" s="63" t="s">
        <v>525</v>
      </c>
      <c r="F2852" t="s">
        <v>2264</v>
      </c>
    </row>
    <row r="2853" spans="2:6" x14ac:dyDescent="0.3">
      <c r="B2853" s="63" t="s">
        <v>5681</v>
      </c>
      <c r="C2853" s="63">
        <v>1758043427917</v>
      </c>
      <c r="D2853" s="63" t="s">
        <v>5752</v>
      </c>
      <c r="E2853" s="63" t="s">
        <v>424</v>
      </c>
      <c r="F2853" t="s">
        <v>841</v>
      </c>
    </row>
    <row r="2854" spans="2:6" x14ac:dyDescent="0.3">
      <c r="B2854" s="63" t="s">
        <v>5681</v>
      </c>
      <c r="C2854" s="63">
        <v>1758043428358</v>
      </c>
      <c r="D2854" s="63" t="s">
        <v>5753</v>
      </c>
      <c r="E2854" s="63" t="s">
        <v>424</v>
      </c>
      <c r="F2854" t="s">
        <v>449</v>
      </c>
    </row>
    <row r="2855" spans="2:6" x14ac:dyDescent="0.3">
      <c r="B2855" s="63" t="s">
        <v>5681</v>
      </c>
      <c r="C2855" s="63">
        <v>1758043429378</v>
      </c>
      <c r="D2855" s="63" t="s">
        <v>5754</v>
      </c>
      <c r="E2855" s="63" t="s">
        <v>424</v>
      </c>
      <c r="F2855" t="s">
        <v>451</v>
      </c>
    </row>
    <row r="2856" spans="2:6" x14ac:dyDescent="0.3">
      <c r="B2856" s="63" t="s">
        <v>426</v>
      </c>
      <c r="C2856" s="63">
        <v>1758043435842</v>
      </c>
      <c r="D2856" s="63" t="s">
        <v>5755</v>
      </c>
      <c r="E2856" s="63" t="s">
        <v>428</v>
      </c>
      <c r="F2856" t="s">
        <v>431</v>
      </c>
    </row>
    <row r="2857" spans="2:6" x14ac:dyDescent="0.3">
      <c r="B2857" s="63" t="s">
        <v>5681</v>
      </c>
      <c r="C2857" s="63">
        <v>1758043440484</v>
      </c>
      <c r="D2857" s="63" t="s">
        <v>5756</v>
      </c>
      <c r="E2857" s="63" t="s">
        <v>520</v>
      </c>
      <c r="F2857" t="s">
        <v>949</v>
      </c>
    </row>
    <row r="2858" spans="2:6" x14ac:dyDescent="0.3">
      <c r="B2858" s="63" t="s">
        <v>5681</v>
      </c>
      <c r="C2858" s="63">
        <v>1758043444235</v>
      </c>
      <c r="D2858" s="63" t="s">
        <v>5757</v>
      </c>
      <c r="E2858" s="63" t="s">
        <v>525</v>
      </c>
      <c r="F2858" t="s">
        <v>951</v>
      </c>
    </row>
    <row r="2859" spans="2:6" x14ac:dyDescent="0.3">
      <c r="B2859" s="63" t="s">
        <v>5681</v>
      </c>
      <c r="C2859" s="63">
        <v>1758043445239</v>
      </c>
      <c r="D2859" s="63" t="s">
        <v>5758</v>
      </c>
      <c r="E2859" s="63" t="s">
        <v>424</v>
      </c>
      <c r="F2859" t="s">
        <v>433</v>
      </c>
    </row>
    <row r="2860" spans="2:6" x14ac:dyDescent="0.3">
      <c r="B2860" s="63" t="s">
        <v>5681</v>
      </c>
      <c r="C2860" s="63">
        <v>1758043452064</v>
      </c>
      <c r="D2860" s="63" t="s">
        <v>5759</v>
      </c>
      <c r="E2860" s="63" t="s">
        <v>424</v>
      </c>
      <c r="F2860" t="s">
        <v>570</v>
      </c>
    </row>
    <row r="2861" spans="2:6" x14ac:dyDescent="0.3">
      <c r="B2861" s="63" t="s">
        <v>426</v>
      </c>
      <c r="C2861" s="63">
        <v>1758043452703</v>
      </c>
      <c r="D2861" s="63" t="s">
        <v>5760</v>
      </c>
      <c r="E2861" s="63" t="s">
        <v>428</v>
      </c>
      <c r="F2861" t="s">
        <v>523</v>
      </c>
    </row>
    <row r="2862" spans="2:6" x14ac:dyDescent="0.3">
      <c r="B2862" s="63" t="s">
        <v>5681</v>
      </c>
      <c r="C2862" s="63">
        <v>1758043456937</v>
      </c>
      <c r="D2862" s="63" t="s">
        <v>5761</v>
      </c>
      <c r="E2862" s="63" t="s">
        <v>463</v>
      </c>
      <c r="F2862" t="s">
        <v>464</v>
      </c>
    </row>
    <row r="2863" spans="2:6" x14ac:dyDescent="0.3">
      <c r="B2863" s="58" t="s">
        <v>5762</v>
      </c>
      <c r="C2863" s="58">
        <v>1758043464748</v>
      </c>
      <c r="D2863" s="58" t="s">
        <v>5763</v>
      </c>
      <c r="E2863" s="58" t="s">
        <v>416</v>
      </c>
      <c r="F2863" t="s">
        <v>573</v>
      </c>
    </row>
    <row r="2864" spans="2:6" x14ac:dyDescent="0.3">
      <c r="B2864" s="58" t="s">
        <v>5762</v>
      </c>
      <c r="C2864" s="58">
        <v>1758043464947</v>
      </c>
      <c r="D2864" s="58" t="s">
        <v>5764</v>
      </c>
      <c r="E2864" s="58" t="s">
        <v>468</v>
      </c>
      <c r="F2864" t="s">
        <v>5765</v>
      </c>
    </row>
    <row r="2865" spans="2:6" x14ac:dyDescent="0.3">
      <c r="B2865" s="58" t="s">
        <v>5762</v>
      </c>
      <c r="C2865" s="58">
        <v>1758043465453</v>
      </c>
      <c r="D2865" s="58" t="s">
        <v>5766</v>
      </c>
      <c r="E2865" s="58" t="s">
        <v>419</v>
      </c>
      <c r="F2865" t="s">
        <v>420</v>
      </c>
    </row>
    <row r="2866" spans="2:6" x14ac:dyDescent="0.3">
      <c r="B2866" s="58" t="s">
        <v>5762</v>
      </c>
      <c r="C2866" s="58">
        <v>1758043518955</v>
      </c>
      <c r="D2866" s="58" t="s">
        <v>5767</v>
      </c>
      <c r="E2866" s="58" t="s">
        <v>422</v>
      </c>
      <c r="F2866" t="s">
        <v>420</v>
      </c>
    </row>
    <row r="2867" spans="2:6" x14ac:dyDescent="0.3">
      <c r="B2867" s="58" t="s">
        <v>426</v>
      </c>
      <c r="C2867" s="58">
        <v>1758043535145</v>
      </c>
      <c r="D2867" s="58" t="s">
        <v>5768</v>
      </c>
      <c r="E2867" s="58" t="s">
        <v>428</v>
      </c>
      <c r="F2867" t="s">
        <v>538</v>
      </c>
    </row>
    <row r="2868" spans="2:6" x14ac:dyDescent="0.3">
      <c r="B2868" s="58" t="s">
        <v>5762</v>
      </c>
      <c r="C2868" s="58">
        <v>1758043539091</v>
      </c>
      <c r="D2868" s="58" t="s">
        <v>5769</v>
      </c>
      <c r="E2868" s="58" t="s">
        <v>520</v>
      </c>
      <c r="F2868" t="s">
        <v>1947</v>
      </c>
    </row>
    <row r="2869" spans="2:6" x14ac:dyDescent="0.3">
      <c r="B2869" s="58" t="s">
        <v>5762</v>
      </c>
      <c r="C2869" s="58">
        <v>1758043543418</v>
      </c>
      <c r="D2869" s="58" t="s">
        <v>5770</v>
      </c>
      <c r="E2869" s="58" t="s">
        <v>1438</v>
      </c>
      <c r="F2869" t="s">
        <v>5771</v>
      </c>
    </row>
    <row r="2870" spans="2:6" x14ac:dyDescent="0.3">
      <c r="B2870" s="58" t="s">
        <v>5762</v>
      </c>
      <c r="C2870" s="58">
        <v>1758043548774</v>
      </c>
      <c r="D2870" s="58" t="s">
        <v>5772</v>
      </c>
      <c r="E2870" s="58" t="s">
        <v>525</v>
      </c>
      <c r="F2870" t="s">
        <v>1950</v>
      </c>
    </row>
    <row r="2871" spans="2:6" x14ac:dyDescent="0.3">
      <c r="B2871" s="58" t="s">
        <v>426</v>
      </c>
      <c r="C2871" s="58">
        <v>1758043552847</v>
      </c>
      <c r="D2871" s="58" t="s">
        <v>5773</v>
      </c>
      <c r="E2871" s="58" t="s">
        <v>428</v>
      </c>
      <c r="F2871" t="s">
        <v>672</v>
      </c>
    </row>
    <row r="2872" spans="2:6" x14ac:dyDescent="0.3">
      <c r="B2872" s="58" t="s">
        <v>5762</v>
      </c>
      <c r="C2872" s="58">
        <v>1758043568876</v>
      </c>
      <c r="D2872" s="58" t="s">
        <v>5774</v>
      </c>
      <c r="E2872" s="58" t="s">
        <v>520</v>
      </c>
      <c r="F2872" t="s">
        <v>1631</v>
      </c>
    </row>
    <row r="2873" spans="2:6" x14ac:dyDescent="0.3">
      <c r="B2873" s="58" t="s">
        <v>426</v>
      </c>
      <c r="C2873" s="58">
        <v>1758043571962</v>
      </c>
      <c r="D2873" s="58" t="s">
        <v>5775</v>
      </c>
      <c r="E2873" s="58" t="s">
        <v>428</v>
      </c>
      <c r="F2873" t="s">
        <v>435</v>
      </c>
    </row>
    <row r="2874" spans="2:6" x14ac:dyDescent="0.3">
      <c r="B2874" s="58" t="s">
        <v>5762</v>
      </c>
      <c r="C2874" s="58">
        <v>1758043573583</v>
      </c>
      <c r="D2874" s="58" t="s">
        <v>5776</v>
      </c>
      <c r="E2874" s="58" t="s">
        <v>525</v>
      </c>
      <c r="F2874" t="s">
        <v>1633</v>
      </c>
    </row>
    <row r="2875" spans="2:6" x14ac:dyDescent="0.3">
      <c r="B2875" s="58" t="s">
        <v>426</v>
      </c>
      <c r="C2875" s="58">
        <v>1758043591057</v>
      </c>
      <c r="D2875" s="58" t="s">
        <v>5777</v>
      </c>
      <c r="E2875" s="58" t="s">
        <v>428</v>
      </c>
      <c r="F2875" t="s">
        <v>437</v>
      </c>
    </row>
    <row r="2876" spans="2:6" x14ac:dyDescent="0.3">
      <c r="B2876" s="58" t="s">
        <v>5762</v>
      </c>
      <c r="C2876" s="58">
        <v>1758043593717</v>
      </c>
      <c r="D2876" s="58" t="s">
        <v>5778</v>
      </c>
      <c r="E2876" s="58" t="s">
        <v>520</v>
      </c>
      <c r="F2876" t="s">
        <v>1631</v>
      </c>
    </row>
    <row r="2877" spans="2:6" x14ac:dyDescent="0.3">
      <c r="B2877" s="58" t="s">
        <v>5762</v>
      </c>
      <c r="C2877" s="58">
        <v>1758043599228</v>
      </c>
      <c r="D2877" s="58" t="s">
        <v>5779</v>
      </c>
      <c r="E2877" s="58" t="s">
        <v>525</v>
      </c>
      <c r="F2877" t="s">
        <v>1633</v>
      </c>
    </row>
    <row r="2878" spans="2:6" x14ac:dyDescent="0.3">
      <c r="B2878" s="58" t="s">
        <v>426</v>
      </c>
      <c r="C2878" s="58">
        <v>1758043609467</v>
      </c>
      <c r="D2878" s="58" t="s">
        <v>5780</v>
      </c>
      <c r="E2878" s="58" t="s">
        <v>428</v>
      </c>
      <c r="F2878" t="s">
        <v>439</v>
      </c>
    </row>
    <row r="2879" spans="2:6" x14ac:dyDescent="0.3">
      <c r="B2879" s="58" t="s">
        <v>5762</v>
      </c>
      <c r="C2879" s="58">
        <v>1758043615292</v>
      </c>
      <c r="D2879" s="58" t="s">
        <v>5781</v>
      </c>
      <c r="E2879" s="58" t="s">
        <v>424</v>
      </c>
      <c r="F2879" t="s">
        <v>518</v>
      </c>
    </row>
    <row r="2880" spans="2:6" x14ac:dyDescent="0.3">
      <c r="B2880" s="58" t="s">
        <v>5762</v>
      </c>
      <c r="C2880" s="58">
        <v>1758043617247</v>
      </c>
      <c r="D2880" s="58" t="s">
        <v>5782</v>
      </c>
      <c r="E2880" s="58" t="s">
        <v>424</v>
      </c>
      <c r="F2880" t="s">
        <v>457</v>
      </c>
    </row>
    <row r="2881" spans="2:6" x14ac:dyDescent="0.3">
      <c r="B2881" s="58" t="s">
        <v>5762</v>
      </c>
      <c r="C2881" s="58">
        <v>1758043618028</v>
      </c>
      <c r="D2881" s="58" t="s">
        <v>5783</v>
      </c>
      <c r="E2881" s="58" t="s">
        <v>424</v>
      </c>
      <c r="F2881" t="s">
        <v>459</v>
      </c>
    </row>
    <row r="2882" spans="2:6" x14ac:dyDescent="0.3">
      <c r="B2882" s="58" t="s">
        <v>5762</v>
      </c>
      <c r="C2882" s="58">
        <v>1758043618783</v>
      </c>
      <c r="D2882" s="58" t="s">
        <v>5784</v>
      </c>
      <c r="E2882" s="58" t="s">
        <v>424</v>
      </c>
      <c r="F2882" t="s">
        <v>461</v>
      </c>
    </row>
    <row r="2883" spans="2:6" x14ac:dyDescent="0.3">
      <c r="B2883" s="58" t="s">
        <v>5762</v>
      </c>
      <c r="C2883" s="58">
        <v>1758043619368</v>
      </c>
      <c r="D2883" s="58" t="s">
        <v>5785</v>
      </c>
      <c r="E2883" s="58" t="s">
        <v>520</v>
      </c>
      <c r="F2883" t="s">
        <v>2390</v>
      </c>
    </row>
    <row r="2884" spans="2:6" x14ac:dyDescent="0.3">
      <c r="B2884" s="58" t="s">
        <v>426</v>
      </c>
      <c r="C2884" s="58">
        <v>1758043624966</v>
      </c>
      <c r="D2884" s="58" t="s">
        <v>5786</v>
      </c>
      <c r="E2884" s="58" t="s">
        <v>428</v>
      </c>
      <c r="F2884" t="s">
        <v>429</v>
      </c>
    </row>
    <row r="2885" spans="2:6" x14ac:dyDescent="0.3">
      <c r="B2885" s="58" t="s">
        <v>5762</v>
      </c>
      <c r="C2885" s="58">
        <v>1758043628245</v>
      </c>
      <c r="D2885" s="58" t="s">
        <v>5787</v>
      </c>
      <c r="E2885" s="58" t="s">
        <v>525</v>
      </c>
      <c r="F2885" t="s">
        <v>2393</v>
      </c>
    </row>
    <row r="2886" spans="2:6" x14ac:dyDescent="0.3">
      <c r="B2886" s="58" t="s">
        <v>5762</v>
      </c>
      <c r="C2886" s="58">
        <v>1758043630907</v>
      </c>
      <c r="D2886" s="58" t="s">
        <v>5788</v>
      </c>
      <c r="E2886" s="58" t="s">
        <v>424</v>
      </c>
      <c r="F2886" t="s">
        <v>441</v>
      </c>
    </row>
    <row r="2887" spans="2:6" x14ac:dyDescent="0.3">
      <c r="B2887" s="58" t="s">
        <v>426</v>
      </c>
      <c r="C2887" s="58">
        <v>1758043640444</v>
      </c>
      <c r="D2887" s="58" t="s">
        <v>5789</v>
      </c>
      <c r="E2887" s="58" t="s">
        <v>428</v>
      </c>
      <c r="F2887" t="s">
        <v>431</v>
      </c>
    </row>
    <row r="2888" spans="2:6" x14ac:dyDescent="0.3">
      <c r="B2888" s="58" t="s">
        <v>5762</v>
      </c>
      <c r="C2888" s="58">
        <v>1758043641472</v>
      </c>
      <c r="D2888" s="58" t="s">
        <v>5790</v>
      </c>
      <c r="E2888" s="58" t="s">
        <v>424</v>
      </c>
      <c r="F2888" t="s">
        <v>841</v>
      </c>
    </row>
    <row r="2889" spans="2:6" x14ac:dyDescent="0.3">
      <c r="B2889" s="58" t="s">
        <v>5762</v>
      </c>
      <c r="C2889" s="58">
        <v>1758043642069</v>
      </c>
      <c r="D2889" s="58" t="s">
        <v>5791</v>
      </c>
      <c r="E2889" s="58" t="s">
        <v>424</v>
      </c>
      <c r="F2889" t="s">
        <v>449</v>
      </c>
    </row>
    <row r="2890" spans="2:6" x14ac:dyDescent="0.3">
      <c r="B2890" s="58" t="s">
        <v>5762</v>
      </c>
      <c r="C2890" s="58">
        <v>1758043643256</v>
      </c>
      <c r="D2890" s="58" t="s">
        <v>5792</v>
      </c>
      <c r="E2890" s="58" t="s">
        <v>424</v>
      </c>
      <c r="F2890" t="s">
        <v>451</v>
      </c>
    </row>
    <row r="2891" spans="2:6" x14ac:dyDescent="0.3">
      <c r="B2891" s="58" t="s">
        <v>5762</v>
      </c>
      <c r="C2891" s="58">
        <v>1758043648376</v>
      </c>
      <c r="D2891" s="58" t="s">
        <v>5793</v>
      </c>
      <c r="E2891" s="58" t="s">
        <v>520</v>
      </c>
      <c r="F2891" t="s">
        <v>2421</v>
      </c>
    </row>
    <row r="2892" spans="2:6" x14ac:dyDescent="0.3">
      <c r="B2892" s="58" t="s">
        <v>5762</v>
      </c>
      <c r="C2892" s="58">
        <v>1758043652511</v>
      </c>
      <c r="D2892" s="58" t="s">
        <v>5794</v>
      </c>
      <c r="E2892" s="58" t="s">
        <v>525</v>
      </c>
      <c r="F2892" t="s">
        <v>2424</v>
      </c>
    </row>
    <row r="2893" spans="2:6" x14ac:dyDescent="0.3">
      <c r="B2893" s="58" t="s">
        <v>5762</v>
      </c>
      <c r="C2893" s="58">
        <v>1758043654004</v>
      </c>
      <c r="D2893" s="58" t="s">
        <v>5795</v>
      </c>
      <c r="E2893" s="58" t="s">
        <v>424</v>
      </c>
      <c r="F2893" t="s">
        <v>433</v>
      </c>
    </row>
    <row r="2894" spans="2:6" x14ac:dyDescent="0.3">
      <c r="B2894" s="58" t="s">
        <v>426</v>
      </c>
      <c r="C2894" s="58">
        <v>1758043657350</v>
      </c>
      <c r="D2894" s="58" t="s">
        <v>5796</v>
      </c>
      <c r="E2894" s="58" t="s">
        <v>428</v>
      </c>
      <c r="F2894" t="s">
        <v>523</v>
      </c>
    </row>
    <row r="2895" spans="2:6" x14ac:dyDescent="0.3">
      <c r="B2895" s="58" t="s">
        <v>5762</v>
      </c>
      <c r="C2895" s="58">
        <v>1758043658743</v>
      </c>
      <c r="D2895" s="58" t="s">
        <v>5797</v>
      </c>
      <c r="E2895" s="58" t="s">
        <v>424</v>
      </c>
      <c r="F2895" t="s">
        <v>570</v>
      </c>
    </row>
    <row r="2896" spans="2:6" x14ac:dyDescent="0.3">
      <c r="B2896" s="58" t="s">
        <v>5762</v>
      </c>
      <c r="C2896" s="58">
        <v>1758043664537</v>
      </c>
      <c r="D2896" s="58" t="s">
        <v>5798</v>
      </c>
      <c r="E2896" s="58" t="s">
        <v>463</v>
      </c>
      <c r="F2896" t="s">
        <v>464</v>
      </c>
    </row>
    <row r="2897" spans="1:6" ht="21" x14ac:dyDescent="0.4">
      <c r="A2897" s="69" t="s">
        <v>63</v>
      </c>
      <c r="B2897" s="63" t="s">
        <v>5799</v>
      </c>
      <c r="C2897" s="63">
        <v>1758112590063</v>
      </c>
      <c r="D2897" s="63" t="s">
        <v>5800</v>
      </c>
      <c r="E2897" s="63" t="s">
        <v>416</v>
      </c>
      <c r="F2897" s="63" t="s">
        <v>492</v>
      </c>
    </row>
    <row r="2898" spans="1:6" x14ac:dyDescent="0.3">
      <c r="B2898" s="63" t="s">
        <v>5799</v>
      </c>
      <c r="C2898" s="63">
        <v>1758112590562</v>
      </c>
      <c r="D2898" s="63" t="s">
        <v>5801</v>
      </c>
      <c r="E2898" s="63" t="s">
        <v>419</v>
      </c>
      <c r="F2898" s="63" t="s">
        <v>420</v>
      </c>
    </row>
    <row r="2899" spans="1:6" x14ac:dyDescent="0.3">
      <c r="B2899" s="63" t="s">
        <v>5799</v>
      </c>
      <c r="C2899" s="63">
        <v>1758112615569</v>
      </c>
      <c r="D2899" s="63" t="s">
        <v>5802</v>
      </c>
      <c r="E2899" s="63" t="s">
        <v>389</v>
      </c>
      <c r="F2899" s="63" t="s">
        <v>396</v>
      </c>
    </row>
    <row r="2900" spans="1:6" x14ac:dyDescent="0.3">
      <c r="B2900" s="63" t="s">
        <v>5799</v>
      </c>
      <c r="C2900" s="63">
        <v>1758112618080</v>
      </c>
      <c r="D2900" s="63" t="s">
        <v>5803</v>
      </c>
      <c r="E2900" s="63" t="s">
        <v>389</v>
      </c>
      <c r="F2900" s="63" t="s">
        <v>1694</v>
      </c>
    </row>
    <row r="2901" spans="1:6" x14ac:dyDescent="0.3">
      <c r="B2901" s="63" t="s">
        <v>5799</v>
      </c>
      <c r="C2901" s="63">
        <v>1758112618187</v>
      </c>
      <c r="D2901" s="63" t="s">
        <v>5804</v>
      </c>
      <c r="E2901" s="63" t="s">
        <v>389</v>
      </c>
      <c r="F2901" s="63" t="s">
        <v>1594</v>
      </c>
    </row>
    <row r="2902" spans="1:6" x14ac:dyDescent="0.3">
      <c r="B2902" s="63" t="s">
        <v>5799</v>
      </c>
      <c r="C2902" s="63">
        <v>1758112643085</v>
      </c>
      <c r="D2902" s="63" t="s">
        <v>5805</v>
      </c>
      <c r="E2902" s="63" t="s">
        <v>389</v>
      </c>
      <c r="F2902" s="63" t="s">
        <v>406</v>
      </c>
    </row>
    <row r="2903" spans="1:6" x14ac:dyDescent="0.3">
      <c r="B2903" s="63" t="s">
        <v>5799</v>
      </c>
      <c r="C2903" s="63">
        <v>1758112645808</v>
      </c>
      <c r="D2903" s="63" t="s">
        <v>5806</v>
      </c>
      <c r="E2903" s="63" t="s">
        <v>389</v>
      </c>
      <c r="F2903" s="63" t="s">
        <v>1601</v>
      </c>
    </row>
    <row r="2904" spans="1:6" x14ac:dyDescent="0.3">
      <c r="B2904" s="63" t="s">
        <v>5799</v>
      </c>
      <c r="C2904" s="63">
        <v>1758112645904</v>
      </c>
      <c r="D2904" s="63" t="s">
        <v>5807</v>
      </c>
      <c r="E2904" s="63" t="s">
        <v>389</v>
      </c>
      <c r="F2904" s="63" t="s">
        <v>2856</v>
      </c>
    </row>
    <row r="2905" spans="1:6" x14ac:dyDescent="0.3">
      <c r="B2905" s="63" t="s">
        <v>5799</v>
      </c>
      <c r="C2905" s="63">
        <v>1758112652150</v>
      </c>
      <c r="D2905" s="63" t="s">
        <v>5808</v>
      </c>
      <c r="E2905" s="63" t="s">
        <v>389</v>
      </c>
      <c r="F2905" s="63" t="s">
        <v>1687</v>
      </c>
    </row>
    <row r="2906" spans="1:6" x14ac:dyDescent="0.3">
      <c r="B2906" s="63" t="s">
        <v>5799</v>
      </c>
      <c r="C2906" s="63">
        <v>1758112656245</v>
      </c>
      <c r="D2906" s="63" t="s">
        <v>5809</v>
      </c>
      <c r="E2906" s="63" t="s">
        <v>389</v>
      </c>
      <c r="F2906" s="63" t="s">
        <v>515</v>
      </c>
    </row>
    <row r="2907" spans="1:6" x14ac:dyDescent="0.3">
      <c r="B2907" s="63" t="s">
        <v>5799</v>
      </c>
      <c r="C2907" s="63">
        <v>1758112675612</v>
      </c>
      <c r="D2907" s="63" t="s">
        <v>5810</v>
      </c>
      <c r="E2907" s="63" t="s">
        <v>389</v>
      </c>
      <c r="F2907" s="63" t="s">
        <v>818</v>
      </c>
    </row>
    <row r="2908" spans="1:6" x14ac:dyDescent="0.3">
      <c r="B2908" s="63" t="s">
        <v>5799</v>
      </c>
      <c r="C2908" s="63">
        <v>1758112676661</v>
      </c>
      <c r="D2908" s="63" t="s">
        <v>5811</v>
      </c>
      <c r="E2908" s="63" t="s">
        <v>389</v>
      </c>
      <c r="F2908" s="63" t="s">
        <v>4519</v>
      </c>
    </row>
    <row r="2909" spans="1:6" x14ac:dyDescent="0.3">
      <c r="B2909" s="63" t="s">
        <v>5799</v>
      </c>
      <c r="C2909" s="63">
        <v>1758112677434</v>
      </c>
      <c r="D2909" s="63" t="s">
        <v>5812</v>
      </c>
      <c r="E2909" s="63" t="s">
        <v>389</v>
      </c>
      <c r="F2909" s="63" t="s">
        <v>2869</v>
      </c>
    </row>
    <row r="2910" spans="1:6" x14ac:dyDescent="0.3">
      <c r="B2910" s="63" t="s">
        <v>5799</v>
      </c>
      <c r="C2910" s="63">
        <v>1758112680951</v>
      </c>
      <c r="D2910" s="63" t="s">
        <v>5813</v>
      </c>
      <c r="E2910" s="63" t="s">
        <v>389</v>
      </c>
      <c r="F2910" s="63" t="s">
        <v>390</v>
      </c>
    </row>
    <row r="2911" spans="1:6" x14ac:dyDescent="0.3">
      <c r="B2911" s="63" t="s">
        <v>5799</v>
      </c>
      <c r="C2911" s="63">
        <v>1758112684298</v>
      </c>
      <c r="D2911" s="63" t="s">
        <v>5814</v>
      </c>
      <c r="E2911" s="63" t="s">
        <v>389</v>
      </c>
      <c r="F2911" s="63" t="s">
        <v>659</v>
      </c>
    </row>
    <row r="2912" spans="1:6" x14ac:dyDescent="0.3">
      <c r="B2912" s="63" t="s">
        <v>5799</v>
      </c>
      <c r="C2912" s="63">
        <v>1758112690799</v>
      </c>
      <c r="D2912" s="63" t="s">
        <v>5815</v>
      </c>
      <c r="E2912" s="63" t="s">
        <v>389</v>
      </c>
      <c r="F2912" s="63" t="s">
        <v>1689</v>
      </c>
    </row>
    <row r="2913" spans="2:6" x14ac:dyDescent="0.3">
      <c r="B2913" s="63" t="s">
        <v>5799</v>
      </c>
      <c r="C2913" s="63">
        <v>1758112694871</v>
      </c>
      <c r="D2913" s="63" t="s">
        <v>5816</v>
      </c>
      <c r="E2913" s="63" t="s">
        <v>389</v>
      </c>
      <c r="F2913" s="63" t="s">
        <v>404</v>
      </c>
    </row>
    <row r="2914" spans="2:6" x14ac:dyDescent="0.3">
      <c r="B2914" s="63" t="s">
        <v>5799</v>
      </c>
      <c r="C2914" s="63">
        <v>1758112695797</v>
      </c>
      <c r="D2914" s="63" t="s">
        <v>5817</v>
      </c>
      <c r="E2914" s="63" t="s">
        <v>389</v>
      </c>
      <c r="F2914" s="63" t="s">
        <v>2748</v>
      </c>
    </row>
    <row r="2915" spans="2:6" x14ac:dyDescent="0.3">
      <c r="B2915" s="63" t="s">
        <v>5799</v>
      </c>
      <c r="C2915" s="63">
        <v>1758112700805</v>
      </c>
      <c r="D2915" s="63" t="s">
        <v>5818</v>
      </c>
      <c r="E2915" s="63" t="s">
        <v>389</v>
      </c>
      <c r="F2915" s="63" t="s">
        <v>1644</v>
      </c>
    </row>
    <row r="2916" spans="2:6" x14ac:dyDescent="0.3">
      <c r="B2916" s="63" t="s">
        <v>5799</v>
      </c>
      <c r="C2916" s="63">
        <v>1758112709002</v>
      </c>
      <c r="D2916" s="63" t="s">
        <v>5819</v>
      </c>
      <c r="E2916" s="63" t="s">
        <v>389</v>
      </c>
      <c r="F2916" s="63" t="s">
        <v>1464</v>
      </c>
    </row>
    <row r="2917" spans="2:6" x14ac:dyDescent="0.3">
      <c r="B2917" s="63" t="s">
        <v>5799</v>
      </c>
      <c r="C2917" s="63">
        <v>1758112709664</v>
      </c>
      <c r="D2917" s="63" t="s">
        <v>5820</v>
      </c>
      <c r="E2917" s="63" t="s">
        <v>389</v>
      </c>
      <c r="F2917" s="63" t="s">
        <v>1592</v>
      </c>
    </row>
    <row r="2918" spans="2:6" x14ac:dyDescent="0.3">
      <c r="B2918" s="63" t="s">
        <v>5799</v>
      </c>
      <c r="C2918" s="63">
        <v>1758112723825</v>
      </c>
      <c r="D2918" s="63" t="s">
        <v>5821</v>
      </c>
      <c r="E2918" s="63" t="s">
        <v>389</v>
      </c>
      <c r="F2918" s="63" t="s">
        <v>402</v>
      </c>
    </row>
    <row r="2919" spans="2:6" x14ac:dyDescent="0.3">
      <c r="B2919" s="63" t="s">
        <v>5799</v>
      </c>
      <c r="C2919" s="63">
        <v>1758112725735</v>
      </c>
      <c r="D2919" s="63" t="s">
        <v>5822</v>
      </c>
      <c r="E2919" s="63" t="s">
        <v>389</v>
      </c>
      <c r="F2919" s="63" t="s">
        <v>5703</v>
      </c>
    </row>
    <row r="2920" spans="2:6" x14ac:dyDescent="0.3">
      <c r="B2920" s="63" t="s">
        <v>5799</v>
      </c>
      <c r="C2920" s="63">
        <v>1758112727566</v>
      </c>
      <c r="D2920" s="63" t="s">
        <v>5823</v>
      </c>
      <c r="E2920" s="63" t="s">
        <v>389</v>
      </c>
      <c r="F2920" s="63" t="s">
        <v>4374</v>
      </c>
    </row>
    <row r="2921" spans="2:6" x14ac:dyDescent="0.3">
      <c r="B2921" s="63" t="s">
        <v>5799</v>
      </c>
      <c r="C2921" s="63">
        <v>1758112740321</v>
      </c>
      <c r="D2921" s="63" t="s">
        <v>5824</v>
      </c>
      <c r="E2921" s="63" t="s">
        <v>422</v>
      </c>
      <c r="F2921" s="63" t="s">
        <v>420</v>
      </c>
    </row>
    <row r="2922" spans="2:6" x14ac:dyDescent="0.3">
      <c r="B2922" s="63" t="s">
        <v>5799</v>
      </c>
      <c r="C2922" s="63">
        <v>1758112746597</v>
      </c>
      <c r="D2922" s="63" t="s">
        <v>5825</v>
      </c>
      <c r="E2922" s="63" t="s">
        <v>424</v>
      </c>
      <c r="F2922" s="63" t="s">
        <v>570</v>
      </c>
    </row>
    <row r="2923" spans="2:6" x14ac:dyDescent="0.3">
      <c r="B2923" s="63" t="s">
        <v>426</v>
      </c>
      <c r="C2923" s="63">
        <v>1758112755952</v>
      </c>
      <c r="D2923" s="63" t="s">
        <v>5826</v>
      </c>
      <c r="E2923" s="63" t="s">
        <v>428</v>
      </c>
      <c r="F2923" s="63" t="s">
        <v>435</v>
      </c>
    </row>
    <row r="2924" spans="2:6" x14ac:dyDescent="0.3">
      <c r="B2924" s="63" t="s">
        <v>5799</v>
      </c>
      <c r="C2924" s="63">
        <v>1758112760468</v>
      </c>
      <c r="D2924" s="63" t="s">
        <v>5827</v>
      </c>
      <c r="E2924" s="63" t="s">
        <v>520</v>
      </c>
      <c r="F2924" s="63" t="s">
        <v>1409</v>
      </c>
    </row>
    <row r="2925" spans="2:6" x14ac:dyDescent="0.3">
      <c r="B2925" s="63" t="s">
        <v>426</v>
      </c>
      <c r="C2925" s="63">
        <v>1758112770821</v>
      </c>
      <c r="D2925" s="63" t="s">
        <v>5828</v>
      </c>
      <c r="E2925" s="63" t="s">
        <v>428</v>
      </c>
      <c r="F2925" s="63" t="s">
        <v>437</v>
      </c>
    </row>
    <row r="2926" spans="2:6" x14ac:dyDescent="0.3">
      <c r="B2926" s="63" t="s">
        <v>5799</v>
      </c>
      <c r="C2926" s="63">
        <v>1758112772056</v>
      </c>
      <c r="D2926" s="63" t="s">
        <v>5829</v>
      </c>
      <c r="E2926" s="63" t="s">
        <v>525</v>
      </c>
      <c r="F2926" s="63" t="s">
        <v>1413</v>
      </c>
    </row>
    <row r="2927" spans="2:6" x14ac:dyDescent="0.3">
      <c r="B2927" s="63" t="s">
        <v>5799</v>
      </c>
      <c r="C2927" s="63">
        <v>1758112776491</v>
      </c>
      <c r="D2927" s="63" t="s">
        <v>5830</v>
      </c>
      <c r="E2927" s="63" t="s">
        <v>424</v>
      </c>
      <c r="F2927" s="63" t="s">
        <v>443</v>
      </c>
    </row>
    <row r="2928" spans="2:6" x14ac:dyDescent="0.3">
      <c r="B2928" s="63" t="s">
        <v>5799</v>
      </c>
      <c r="C2928" s="63">
        <v>1758112778445</v>
      </c>
      <c r="D2928" s="63" t="s">
        <v>5831</v>
      </c>
      <c r="E2928" s="63" t="s">
        <v>424</v>
      </c>
      <c r="F2928" s="63" t="s">
        <v>445</v>
      </c>
    </row>
    <row r="2929" spans="2:6" x14ac:dyDescent="0.3">
      <c r="B2929" s="63" t="s">
        <v>426</v>
      </c>
      <c r="C2929" s="63">
        <v>1758112787183</v>
      </c>
      <c r="D2929" s="63" t="s">
        <v>5832</v>
      </c>
      <c r="E2929" s="63" t="s">
        <v>428</v>
      </c>
      <c r="F2929" s="63" t="s">
        <v>439</v>
      </c>
    </row>
    <row r="2930" spans="2:6" x14ac:dyDescent="0.3">
      <c r="B2930" s="63" t="s">
        <v>5799</v>
      </c>
      <c r="C2930" s="63">
        <v>1758112792196</v>
      </c>
      <c r="D2930" s="63" t="s">
        <v>5833</v>
      </c>
      <c r="E2930" s="63" t="s">
        <v>520</v>
      </c>
      <c r="F2930" s="63" t="s">
        <v>2268</v>
      </c>
    </row>
    <row r="2931" spans="2:6" x14ac:dyDescent="0.3">
      <c r="B2931" s="63" t="s">
        <v>426</v>
      </c>
      <c r="C2931" s="63">
        <v>1758112804939</v>
      </c>
      <c r="D2931" s="63" t="s">
        <v>5834</v>
      </c>
      <c r="E2931" s="63" t="s">
        <v>428</v>
      </c>
      <c r="F2931" s="63" t="s">
        <v>453</v>
      </c>
    </row>
    <row r="2932" spans="2:6" x14ac:dyDescent="0.3">
      <c r="B2932" s="63" t="s">
        <v>5799</v>
      </c>
      <c r="C2932" s="63">
        <v>1758112805163</v>
      </c>
      <c r="D2932" s="63" t="s">
        <v>5835</v>
      </c>
      <c r="E2932" s="63" t="s">
        <v>525</v>
      </c>
      <c r="F2932" s="63" t="s">
        <v>2270</v>
      </c>
    </row>
    <row r="2933" spans="2:6" x14ac:dyDescent="0.3">
      <c r="B2933" s="63" t="s">
        <v>5799</v>
      </c>
      <c r="C2933" s="63">
        <v>1758112821741</v>
      </c>
      <c r="D2933" s="63" t="s">
        <v>5836</v>
      </c>
      <c r="E2933" s="63" t="s">
        <v>424</v>
      </c>
      <c r="F2933" s="63" t="s">
        <v>441</v>
      </c>
    </row>
    <row r="2934" spans="2:6" x14ac:dyDescent="0.3">
      <c r="B2934" s="63" t="s">
        <v>426</v>
      </c>
      <c r="C2934" s="63">
        <v>1758112822705</v>
      </c>
      <c r="D2934" s="63" t="s">
        <v>5837</v>
      </c>
      <c r="E2934" s="63" t="s">
        <v>428</v>
      </c>
      <c r="F2934" s="63" t="s">
        <v>429</v>
      </c>
    </row>
    <row r="2935" spans="2:6" x14ac:dyDescent="0.3">
      <c r="B2935" s="63" t="s">
        <v>5799</v>
      </c>
      <c r="C2935" s="63">
        <v>1758112825297</v>
      </c>
      <c r="D2935" s="63" t="s">
        <v>5838</v>
      </c>
      <c r="E2935" s="63" t="s">
        <v>520</v>
      </c>
      <c r="F2935" s="63" t="s">
        <v>555</v>
      </c>
    </row>
    <row r="2936" spans="2:6" x14ac:dyDescent="0.3">
      <c r="B2936" s="63" t="s">
        <v>5799</v>
      </c>
      <c r="C2936" s="63">
        <v>1758112835538</v>
      </c>
      <c r="D2936" s="63" t="s">
        <v>5839</v>
      </c>
      <c r="E2936" s="63" t="s">
        <v>525</v>
      </c>
      <c r="F2936" s="63" t="s">
        <v>557</v>
      </c>
    </row>
    <row r="2937" spans="2:6" x14ac:dyDescent="0.3">
      <c r="B2937" s="63" t="s">
        <v>426</v>
      </c>
      <c r="C2937" s="63">
        <v>1758112839713</v>
      </c>
      <c r="D2937" s="63" t="s">
        <v>5840</v>
      </c>
      <c r="E2937" s="63" t="s">
        <v>428</v>
      </c>
      <c r="F2937" s="63" t="s">
        <v>431</v>
      </c>
    </row>
    <row r="2938" spans="2:6" x14ac:dyDescent="0.3">
      <c r="B2938" s="63" t="s">
        <v>5799</v>
      </c>
      <c r="C2938" s="63">
        <v>1758112846224</v>
      </c>
      <c r="D2938" s="63" t="s">
        <v>5841</v>
      </c>
      <c r="E2938" s="63" t="s">
        <v>424</v>
      </c>
      <c r="F2938" s="63" t="s">
        <v>457</v>
      </c>
    </row>
    <row r="2939" spans="2:6" x14ac:dyDescent="0.3">
      <c r="B2939" s="63" t="s">
        <v>5799</v>
      </c>
      <c r="C2939" s="63">
        <v>1758112854578</v>
      </c>
      <c r="D2939" s="63" t="s">
        <v>5842</v>
      </c>
      <c r="E2939" s="63" t="s">
        <v>424</v>
      </c>
      <c r="F2939" s="63" t="s">
        <v>459</v>
      </c>
    </row>
    <row r="2940" spans="2:6" x14ac:dyDescent="0.3">
      <c r="B2940" s="63" t="s">
        <v>426</v>
      </c>
      <c r="C2940" s="63">
        <v>1758112855323</v>
      </c>
      <c r="D2940" s="63" t="s">
        <v>5843</v>
      </c>
      <c r="E2940" s="63" t="s">
        <v>428</v>
      </c>
      <c r="F2940" s="63" t="s">
        <v>447</v>
      </c>
    </row>
    <row r="2941" spans="2:6" x14ac:dyDescent="0.3">
      <c r="B2941" s="63" t="s">
        <v>5799</v>
      </c>
      <c r="C2941" s="63">
        <v>1758112855670</v>
      </c>
      <c r="D2941" s="63" t="s">
        <v>5844</v>
      </c>
      <c r="E2941" s="63" t="s">
        <v>520</v>
      </c>
      <c r="F2941" s="63" t="s">
        <v>529</v>
      </c>
    </row>
    <row r="2942" spans="2:6" x14ac:dyDescent="0.3">
      <c r="B2942" s="63" t="s">
        <v>5799</v>
      </c>
      <c r="C2942" s="63">
        <v>1758112871181</v>
      </c>
      <c r="D2942" s="63" t="s">
        <v>5845</v>
      </c>
      <c r="E2942" s="63" t="s">
        <v>525</v>
      </c>
      <c r="F2942" s="63" t="s">
        <v>531</v>
      </c>
    </row>
    <row r="2943" spans="2:6" x14ac:dyDescent="0.3">
      <c r="B2943" s="63" t="s">
        <v>5799</v>
      </c>
      <c r="C2943" s="63">
        <v>1758112891326</v>
      </c>
      <c r="D2943" s="63" t="s">
        <v>5846</v>
      </c>
      <c r="E2943" s="63" t="s">
        <v>520</v>
      </c>
      <c r="F2943" s="63" t="s">
        <v>1987</v>
      </c>
    </row>
    <row r="2944" spans="2:6" x14ac:dyDescent="0.3">
      <c r="B2944" s="63" t="s">
        <v>5799</v>
      </c>
      <c r="C2944" s="63">
        <v>1758112903258</v>
      </c>
      <c r="D2944" s="63" t="s">
        <v>5847</v>
      </c>
      <c r="E2944" s="63" t="s">
        <v>525</v>
      </c>
      <c r="F2944" s="63" t="s">
        <v>1990</v>
      </c>
    </row>
    <row r="2945" spans="2:6" x14ac:dyDescent="0.3">
      <c r="B2945" s="63" t="s">
        <v>5799</v>
      </c>
      <c r="C2945" s="63">
        <v>1758112906417</v>
      </c>
      <c r="D2945" s="63" t="s">
        <v>5848</v>
      </c>
      <c r="E2945" s="63" t="s">
        <v>424</v>
      </c>
      <c r="F2945" s="63" t="s">
        <v>461</v>
      </c>
    </row>
    <row r="2946" spans="2:6" x14ac:dyDescent="0.3">
      <c r="B2946" s="63" t="s">
        <v>5799</v>
      </c>
      <c r="C2946" s="63">
        <v>1758112913764</v>
      </c>
      <c r="D2946" s="63" t="s">
        <v>5849</v>
      </c>
      <c r="E2946" s="63" t="s">
        <v>424</v>
      </c>
      <c r="F2946" s="63" t="s">
        <v>433</v>
      </c>
    </row>
    <row r="2947" spans="2:6" x14ac:dyDescent="0.3">
      <c r="B2947" s="63" t="s">
        <v>5799</v>
      </c>
      <c r="C2947" s="63">
        <v>1758112917802</v>
      </c>
      <c r="D2947" s="63" t="s">
        <v>5850</v>
      </c>
      <c r="E2947" s="63" t="s">
        <v>424</v>
      </c>
      <c r="F2947" s="63" t="s">
        <v>425</v>
      </c>
    </row>
    <row r="2948" spans="2:6" x14ac:dyDescent="0.3">
      <c r="B2948" s="63" t="s">
        <v>5799</v>
      </c>
      <c r="C2948" s="63">
        <v>1758112918978</v>
      </c>
      <c r="D2948" s="63" t="s">
        <v>5851</v>
      </c>
      <c r="E2948" s="63" t="s">
        <v>424</v>
      </c>
      <c r="F2948" s="63" t="s">
        <v>449</v>
      </c>
    </row>
    <row r="2949" spans="2:6" x14ac:dyDescent="0.3">
      <c r="B2949" s="63" t="s">
        <v>5799</v>
      </c>
      <c r="C2949" s="63">
        <v>1758112923400</v>
      </c>
      <c r="D2949" s="63" t="s">
        <v>5852</v>
      </c>
      <c r="E2949" s="63" t="s">
        <v>520</v>
      </c>
      <c r="F2949" s="63" t="s">
        <v>536</v>
      </c>
    </row>
    <row r="2950" spans="2:6" x14ac:dyDescent="0.3">
      <c r="B2950" s="63" t="s">
        <v>5799</v>
      </c>
      <c r="C2950" s="63">
        <v>1758112930741</v>
      </c>
      <c r="D2950" s="63" t="s">
        <v>5853</v>
      </c>
      <c r="E2950" s="63" t="s">
        <v>525</v>
      </c>
      <c r="F2950" s="63" t="s">
        <v>540</v>
      </c>
    </row>
    <row r="2951" spans="2:6" x14ac:dyDescent="0.3">
      <c r="B2951" s="63" t="s">
        <v>5799</v>
      </c>
      <c r="C2951" s="63">
        <v>1758112935087</v>
      </c>
      <c r="D2951" s="63" t="s">
        <v>5854</v>
      </c>
      <c r="E2951" s="63" t="s">
        <v>424</v>
      </c>
      <c r="F2951" s="63" t="s">
        <v>451</v>
      </c>
    </row>
    <row r="2952" spans="2:6" x14ac:dyDescent="0.3">
      <c r="B2952" s="63" t="s">
        <v>5799</v>
      </c>
      <c r="C2952" s="63">
        <v>1758112936441</v>
      </c>
      <c r="D2952" s="63" t="s">
        <v>5855</v>
      </c>
      <c r="E2952" s="63" t="s">
        <v>463</v>
      </c>
      <c r="F2952" s="63" t="s">
        <v>464</v>
      </c>
    </row>
    <row r="2953" spans="2:6" x14ac:dyDescent="0.3">
      <c r="B2953" s="58" t="s">
        <v>5856</v>
      </c>
      <c r="C2953" s="58">
        <v>1758112948666</v>
      </c>
      <c r="D2953" s="58" t="s">
        <v>5857</v>
      </c>
      <c r="E2953" s="58" t="s">
        <v>416</v>
      </c>
      <c r="F2953" t="s">
        <v>573</v>
      </c>
    </row>
    <row r="2954" spans="2:6" x14ac:dyDescent="0.3">
      <c r="B2954" s="58" t="s">
        <v>5856</v>
      </c>
      <c r="C2954" s="58">
        <v>1758112948853</v>
      </c>
      <c r="D2954" s="58" t="s">
        <v>5858</v>
      </c>
      <c r="E2954" s="58" t="s">
        <v>468</v>
      </c>
      <c r="F2954" t="s">
        <v>5859</v>
      </c>
    </row>
    <row r="2955" spans="2:6" x14ac:dyDescent="0.3">
      <c r="B2955" s="58" t="s">
        <v>5856</v>
      </c>
      <c r="C2955" s="58">
        <v>1758112963104</v>
      </c>
      <c r="D2955" s="58" t="s">
        <v>5860</v>
      </c>
      <c r="E2955" s="58" t="s">
        <v>419</v>
      </c>
      <c r="F2955" t="s">
        <v>420</v>
      </c>
    </row>
    <row r="2956" spans="2:6" x14ac:dyDescent="0.3">
      <c r="B2956" s="58" t="s">
        <v>5856</v>
      </c>
      <c r="C2956" s="58">
        <v>1758112965541</v>
      </c>
      <c r="D2956" s="58" t="s">
        <v>5861</v>
      </c>
      <c r="E2956" s="58" t="s">
        <v>389</v>
      </c>
      <c r="F2956" t="s">
        <v>414</v>
      </c>
    </row>
    <row r="2957" spans="2:6" x14ac:dyDescent="0.3">
      <c r="B2957" s="58" t="s">
        <v>5856</v>
      </c>
      <c r="C2957" s="58">
        <v>1758112972424</v>
      </c>
      <c r="D2957" s="58" t="s">
        <v>5862</v>
      </c>
      <c r="E2957" s="58" t="s">
        <v>389</v>
      </c>
      <c r="F2957" t="s">
        <v>495</v>
      </c>
    </row>
    <row r="2958" spans="2:6" x14ac:dyDescent="0.3">
      <c r="B2958" s="58" t="s">
        <v>5856</v>
      </c>
      <c r="C2958" s="58">
        <v>1758112974204</v>
      </c>
      <c r="D2958" s="58" t="s">
        <v>5863</v>
      </c>
      <c r="E2958" s="58" t="s">
        <v>389</v>
      </c>
      <c r="F2958" t="s">
        <v>1587</v>
      </c>
    </row>
    <row r="2959" spans="2:6" x14ac:dyDescent="0.3">
      <c r="B2959" s="58" t="s">
        <v>5856</v>
      </c>
      <c r="C2959" s="58">
        <v>1758112974311</v>
      </c>
      <c r="D2959" s="58" t="s">
        <v>5864</v>
      </c>
      <c r="E2959" s="58" t="s">
        <v>389</v>
      </c>
      <c r="F2959" t="s">
        <v>1587</v>
      </c>
    </row>
    <row r="2960" spans="2:6" x14ac:dyDescent="0.3">
      <c r="B2960" s="58" t="s">
        <v>5856</v>
      </c>
      <c r="C2960" s="58">
        <v>1758112974424</v>
      </c>
      <c r="D2960" s="58" t="s">
        <v>5865</v>
      </c>
      <c r="E2960" s="58" t="s">
        <v>389</v>
      </c>
      <c r="F2960" t="s">
        <v>1587</v>
      </c>
    </row>
    <row r="2961" spans="2:6" x14ac:dyDescent="0.3">
      <c r="B2961" s="58" t="s">
        <v>5856</v>
      </c>
      <c r="C2961" s="58">
        <v>1758112974535</v>
      </c>
      <c r="D2961" s="58" t="s">
        <v>5866</v>
      </c>
      <c r="E2961" s="58" t="s">
        <v>389</v>
      </c>
      <c r="F2961" t="s">
        <v>1728</v>
      </c>
    </row>
    <row r="2962" spans="2:6" x14ac:dyDescent="0.3">
      <c r="B2962" s="58" t="s">
        <v>5856</v>
      </c>
      <c r="C2962" s="58">
        <v>1758112974606</v>
      </c>
      <c r="D2962" s="58" t="s">
        <v>5867</v>
      </c>
      <c r="E2962" s="58" t="s">
        <v>389</v>
      </c>
      <c r="F2962" t="s">
        <v>1728</v>
      </c>
    </row>
    <row r="2963" spans="2:6" x14ac:dyDescent="0.3">
      <c r="B2963" s="58" t="s">
        <v>5856</v>
      </c>
      <c r="C2963" s="58">
        <v>1758112976071</v>
      </c>
      <c r="D2963" s="58" t="s">
        <v>5868</v>
      </c>
      <c r="E2963" s="58" t="s">
        <v>389</v>
      </c>
      <c r="F2963" t="s">
        <v>412</v>
      </c>
    </row>
    <row r="2964" spans="2:6" x14ac:dyDescent="0.3">
      <c r="B2964" s="58" t="s">
        <v>5856</v>
      </c>
      <c r="C2964" s="58">
        <v>1758112976185</v>
      </c>
      <c r="D2964" s="58" t="s">
        <v>5869</v>
      </c>
      <c r="E2964" s="58" t="s">
        <v>389</v>
      </c>
      <c r="F2964" t="s">
        <v>412</v>
      </c>
    </row>
    <row r="2965" spans="2:6" x14ac:dyDescent="0.3">
      <c r="B2965" s="58" t="s">
        <v>5856</v>
      </c>
      <c r="C2965" s="58">
        <v>1758112976259</v>
      </c>
      <c r="D2965" s="58" t="s">
        <v>5870</v>
      </c>
      <c r="E2965" s="58" t="s">
        <v>389</v>
      </c>
      <c r="F2965" t="s">
        <v>412</v>
      </c>
    </row>
    <row r="2966" spans="2:6" x14ac:dyDescent="0.3">
      <c r="B2966" s="58" t="s">
        <v>5856</v>
      </c>
      <c r="C2966" s="58">
        <v>1758112985434</v>
      </c>
      <c r="D2966" s="58" t="s">
        <v>5871</v>
      </c>
      <c r="E2966" s="58" t="s">
        <v>389</v>
      </c>
      <c r="F2966" t="s">
        <v>508</v>
      </c>
    </row>
    <row r="2967" spans="2:6" x14ac:dyDescent="0.3">
      <c r="B2967" s="58" t="s">
        <v>5856</v>
      </c>
      <c r="C2967" s="58">
        <v>1758113008283</v>
      </c>
      <c r="D2967" s="58" t="s">
        <v>5872</v>
      </c>
      <c r="E2967" s="58" t="s">
        <v>422</v>
      </c>
      <c r="F2967" t="s">
        <v>420</v>
      </c>
    </row>
    <row r="2968" spans="2:6" x14ac:dyDescent="0.3">
      <c r="B2968" s="58" t="s">
        <v>426</v>
      </c>
      <c r="C2968" s="58">
        <v>1758113028106</v>
      </c>
      <c r="D2968" s="58" t="s">
        <v>5873</v>
      </c>
      <c r="E2968" s="58" t="s">
        <v>428</v>
      </c>
      <c r="F2968" t="s">
        <v>435</v>
      </c>
    </row>
    <row r="2969" spans="2:6" x14ac:dyDescent="0.3">
      <c r="B2969" s="58" t="s">
        <v>5856</v>
      </c>
      <c r="C2969" s="58">
        <v>1758113028438</v>
      </c>
      <c r="D2969" s="58" t="s">
        <v>5874</v>
      </c>
      <c r="E2969" s="58" t="s">
        <v>520</v>
      </c>
      <c r="F2969" t="s">
        <v>1281</v>
      </c>
    </row>
    <row r="2970" spans="2:6" x14ac:dyDescent="0.3">
      <c r="B2970" s="58" t="s">
        <v>5856</v>
      </c>
      <c r="C2970" s="58">
        <v>1758113035392</v>
      </c>
      <c r="D2970" s="58" t="s">
        <v>5875</v>
      </c>
      <c r="E2970" s="58" t="s">
        <v>525</v>
      </c>
      <c r="F2970" t="s">
        <v>1283</v>
      </c>
    </row>
    <row r="2971" spans="2:6" x14ac:dyDescent="0.3">
      <c r="B2971" s="58" t="s">
        <v>426</v>
      </c>
      <c r="C2971" s="58">
        <v>1758113047285</v>
      </c>
      <c r="D2971" s="58" t="s">
        <v>5876</v>
      </c>
      <c r="E2971" s="58" t="s">
        <v>428</v>
      </c>
      <c r="F2971" t="s">
        <v>437</v>
      </c>
    </row>
    <row r="2972" spans="2:6" x14ac:dyDescent="0.3">
      <c r="B2972" s="58" t="s">
        <v>5856</v>
      </c>
      <c r="C2972" s="58">
        <v>1758113055514</v>
      </c>
      <c r="D2972" s="58" t="s">
        <v>5877</v>
      </c>
      <c r="E2972" s="58" t="s">
        <v>520</v>
      </c>
      <c r="F2972" t="s">
        <v>521</v>
      </c>
    </row>
    <row r="2973" spans="2:6" x14ac:dyDescent="0.3">
      <c r="B2973" s="58" t="s">
        <v>5856</v>
      </c>
      <c r="C2973" s="58">
        <v>1758113059797</v>
      </c>
      <c r="D2973" s="58" t="s">
        <v>5878</v>
      </c>
      <c r="E2973" s="58" t="s">
        <v>525</v>
      </c>
      <c r="F2973" t="s">
        <v>526</v>
      </c>
    </row>
    <row r="2974" spans="2:6" x14ac:dyDescent="0.3">
      <c r="B2974" s="58" t="s">
        <v>426</v>
      </c>
      <c r="C2974" s="58">
        <v>1758113065908</v>
      </c>
      <c r="D2974" s="58" t="s">
        <v>5879</v>
      </c>
      <c r="E2974" s="58" t="s">
        <v>428</v>
      </c>
      <c r="F2974" t="s">
        <v>439</v>
      </c>
    </row>
    <row r="2975" spans="2:6" x14ac:dyDescent="0.3">
      <c r="B2975" s="58" t="s">
        <v>5856</v>
      </c>
      <c r="C2975" s="58">
        <v>1758113069431</v>
      </c>
      <c r="D2975" s="58" t="s">
        <v>5880</v>
      </c>
      <c r="E2975" s="58" t="s">
        <v>424</v>
      </c>
      <c r="F2975" t="s">
        <v>441</v>
      </c>
    </row>
    <row r="2976" spans="2:6" x14ac:dyDescent="0.3">
      <c r="B2976" s="58" t="s">
        <v>5856</v>
      </c>
      <c r="C2976" s="58">
        <v>1758113079911</v>
      </c>
      <c r="D2976" s="58" t="s">
        <v>5881</v>
      </c>
      <c r="E2976" s="58" t="s">
        <v>520</v>
      </c>
      <c r="F2976" t="s">
        <v>1448</v>
      </c>
    </row>
    <row r="2977" spans="2:6" x14ac:dyDescent="0.3">
      <c r="B2977" s="58" t="s">
        <v>426</v>
      </c>
      <c r="C2977" s="58">
        <v>1758113080728</v>
      </c>
      <c r="D2977" s="58" t="s">
        <v>5882</v>
      </c>
      <c r="E2977" s="58" t="s">
        <v>428</v>
      </c>
      <c r="F2977" t="s">
        <v>453</v>
      </c>
    </row>
    <row r="2978" spans="2:6" x14ac:dyDescent="0.3">
      <c r="B2978" s="58" t="s">
        <v>5856</v>
      </c>
      <c r="C2978" s="58">
        <v>1758113089099</v>
      </c>
      <c r="D2978" s="58" t="s">
        <v>5883</v>
      </c>
      <c r="E2978" s="58" t="s">
        <v>525</v>
      </c>
      <c r="F2978" t="s">
        <v>1450</v>
      </c>
    </row>
    <row r="2979" spans="2:6" x14ac:dyDescent="0.3">
      <c r="B2979" s="58" t="s">
        <v>426</v>
      </c>
      <c r="C2979" s="58">
        <v>1758113096316</v>
      </c>
      <c r="D2979" s="58" t="s">
        <v>5884</v>
      </c>
      <c r="E2979" s="58" t="s">
        <v>428</v>
      </c>
      <c r="F2979" t="s">
        <v>429</v>
      </c>
    </row>
    <row r="2980" spans="2:6" x14ac:dyDescent="0.3">
      <c r="B2980" s="58" t="s">
        <v>5856</v>
      </c>
      <c r="C2980" s="58">
        <v>1758113100719</v>
      </c>
      <c r="D2980" s="58" t="s">
        <v>5885</v>
      </c>
      <c r="E2980" s="58" t="s">
        <v>424</v>
      </c>
      <c r="F2980" t="s">
        <v>457</v>
      </c>
    </row>
    <row r="2981" spans="2:6" x14ac:dyDescent="0.3">
      <c r="B2981" s="58" t="s">
        <v>5856</v>
      </c>
      <c r="C2981" s="58">
        <v>1758113106105</v>
      </c>
      <c r="D2981" s="58" t="s">
        <v>5886</v>
      </c>
      <c r="E2981" s="58" t="s">
        <v>424</v>
      </c>
      <c r="F2981" t="s">
        <v>459</v>
      </c>
    </row>
    <row r="2982" spans="2:6" x14ac:dyDescent="0.3">
      <c r="B2982" s="58" t="s">
        <v>5856</v>
      </c>
      <c r="C2982" s="58">
        <v>1758113109224</v>
      </c>
      <c r="D2982" s="58" t="s">
        <v>5887</v>
      </c>
      <c r="E2982" s="58" t="s">
        <v>520</v>
      </c>
      <c r="F2982" t="s">
        <v>521</v>
      </c>
    </row>
    <row r="2983" spans="2:6" x14ac:dyDescent="0.3">
      <c r="B2983" s="58" t="s">
        <v>426</v>
      </c>
      <c r="C2983" s="58">
        <v>1758113111893</v>
      </c>
      <c r="D2983" s="58" t="s">
        <v>5888</v>
      </c>
      <c r="E2983" s="58" t="s">
        <v>428</v>
      </c>
      <c r="F2983" t="s">
        <v>431</v>
      </c>
    </row>
    <row r="2984" spans="2:6" x14ac:dyDescent="0.3">
      <c r="B2984" s="58" t="s">
        <v>5856</v>
      </c>
      <c r="C2984" s="58">
        <v>1758113115922</v>
      </c>
      <c r="D2984" s="58" t="s">
        <v>5889</v>
      </c>
      <c r="E2984" s="58" t="s">
        <v>525</v>
      </c>
      <c r="F2984" t="s">
        <v>526</v>
      </c>
    </row>
    <row r="2985" spans="2:6" x14ac:dyDescent="0.3">
      <c r="B2985" s="58" t="s">
        <v>426</v>
      </c>
      <c r="C2985" s="58">
        <v>1758113128147</v>
      </c>
      <c r="D2985" s="58" t="s">
        <v>5890</v>
      </c>
      <c r="E2985" s="58" t="s">
        <v>428</v>
      </c>
      <c r="F2985" t="s">
        <v>538</v>
      </c>
    </row>
    <row r="2986" spans="2:6" x14ac:dyDescent="0.3">
      <c r="B2986" s="58" t="s">
        <v>5856</v>
      </c>
      <c r="C2986" s="58">
        <v>1758113134811</v>
      </c>
      <c r="D2986" s="58" t="s">
        <v>5891</v>
      </c>
      <c r="E2986" s="58" t="s">
        <v>424</v>
      </c>
      <c r="F2986" t="s">
        <v>461</v>
      </c>
    </row>
    <row r="2987" spans="2:6" x14ac:dyDescent="0.3">
      <c r="B2987" s="58" t="s">
        <v>5856</v>
      </c>
      <c r="C2987" s="58">
        <v>1758113136032</v>
      </c>
      <c r="D2987" s="58" t="s">
        <v>5892</v>
      </c>
      <c r="E2987" s="58" t="s">
        <v>520</v>
      </c>
      <c r="F2987" t="s">
        <v>949</v>
      </c>
    </row>
    <row r="2988" spans="2:6" x14ac:dyDescent="0.3">
      <c r="B2988" s="58" t="s">
        <v>5856</v>
      </c>
      <c r="C2988" s="58">
        <v>1758113144490</v>
      </c>
      <c r="D2988" s="58" t="s">
        <v>5893</v>
      </c>
      <c r="E2988" s="58" t="s">
        <v>525</v>
      </c>
      <c r="F2988" t="s">
        <v>951</v>
      </c>
    </row>
    <row r="2989" spans="2:6" x14ac:dyDescent="0.3">
      <c r="B2989" s="58" t="s">
        <v>426</v>
      </c>
      <c r="C2989" s="58">
        <v>1758113145180</v>
      </c>
      <c r="D2989" s="58" t="s">
        <v>5894</v>
      </c>
      <c r="E2989" s="58" t="s">
        <v>428</v>
      </c>
      <c r="F2989" t="s">
        <v>523</v>
      </c>
    </row>
    <row r="2990" spans="2:6" x14ac:dyDescent="0.3">
      <c r="B2990" s="58" t="s">
        <v>5856</v>
      </c>
      <c r="C2990" s="58">
        <v>1758113152339</v>
      </c>
      <c r="D2990" s="58" t="s">
        <v>5895</v>
      </c>
      <c r="E2990" s="58" t="s">
        <v>424</v>
      </c>
      <c r="F2990" t="s">
        <v>433</v>
      </c>
    </row>
    <row r="2991" spans="2:6" x14ac:dyDescent="0.3">
      <c r="B2991" s="58" t="s">
        <v>5856</v>
      </c>
      <c r="C2991" s="58">
        <v>1758113160332</v>
      </c>
      <c r="D2991" s="58" t="s">
        <v>5896</v>
      </c>
      <c r="E2991" s="58" t="s">
        <v>424</v>
      </c>
      <c r="F2991" s="58" t="s">
        <v>445</v>
      </c>
    </row>
    <row r="2992" spans="2:6" x14ac:dyDescent="0.3">
      <c r="B2992" s="58" t="s">
        <v>426</v>
      </c>
      <c r="C2992" s="58">
        <v>1758113160762</v>
      </c>
      <c r="D2992" s="58" t="s">
        <v>5897</v>
      </c>
      <c r="E2992" s="58" t="s">
        <v>428</v>
      </c>
      <c r="F2992" s="58" t="s">
        <v>447</v>
      </c>
    </row>
    <row r="2993" spans="1:6" x14ac:dyDescent="0.3">
      <c r="B2993" s="58" t="s">
        <v>5856</v>
      </c>
      <c r="C2993" s="58">
        <v>1758113164610</v>
      </c>
      <c r="D2993" s="58" t="s">
        <v>5898</v>
      </c>
      <c r="E2993" s="58" t="s">
        <v>520</v>
      </c>
      <c r="F2993" s="58" t="s">
        <v>664</v>
      </c>
    </row>
    <row r="2994" spans="1:6" x14ac:dyDescent="0.3">
      <c r="B2994" s="58" t="s">
        <v>5856</v>
      </c>
      <c r="C2994" s="58">
        <v>1758113177424</v>
      </c>
      <c r="D2994" s="58" t="s">
        <v>5899</v>
      </c>
      <c r="E2994" s="58" t="s">
        <v>525</v>
      </c>
      <c r="F2994" s="58" t="s">
        <v>665</v>
      </c>
    </row>
    <row r="2995" spans="1:6" x14ac:dyDescent="0.3">
      <c r="B2995" s="58" t="s">
        <v>426</v>
      </c>
      <c r="C2995" s="58">
        <v>1758113181336</v>
      </c>
      <c r="D2995" s="58" t="s">
        <v>5900</v>
      </c>
      <c r="E2995" s="58" t="s">
        <v>428</v>
      </c>
      <c r="F2995" s="58" t="s">
        <v>455</v>
      </c>
    </row>
    <row r="2996" spans="1:6" x14ac:dyDescent="0.3">
      <c r="B2996" s="58" t="s">
        <v>5856</v>
      </c>
      <c r="C2996" s="58">
        <v>1758113183360</v>
      </c>
      <c r="D2996" s="58" t="s">
        <v>5901</v>
      </c>
      <c r="E2996" s="58" t="s">
        <v>424</v>
      </c>
      <c r="F2996" s="58" t="s">
        <v>449</v>
      </c>
    </row>
    <row r="2997" spans="1:6" x14ac:dyDescent="0.3">
      <c r="B2997" s="58" t="s">
        <v>5856</v>
      </c>
      <c r="C2997" s="58">
        <v>1758113184545</v>
      </c>
      <c r="D2997" s="58" t="s">
        <v>5902</v>
      </c>
      <c r="E2997" s="58" t="s">
        <v>424</v>
      </c>
      <c r="F2997" s="58" t="s">
        <v>451</v>
      </c>
    </row>
    <row r="2998" spans="1:6" x14ac:dyDescent="0.3">
      <c r="B2998" s="58" t="s">
        <v>5856</v>
      </c>
      <c r="C2998" s="58">
        <v>1758113185748</v>
      </c>
      <c r="D2998" s="58" t="s">
        <v>5903</v>
      </c>
      <c r="E2998" s="58" t="s">
        <v>463</v>
      </c>
      <c r="F2998" s="58" t="s">
        <v>464</v>
      </c>
    </row>
    <row r="2999" spans="1:6" ht="21" x14ac:dyDescent="0.4">
      <c r="A2999" s="69" t="s">
        <v>65</v>
      </c>
      <c r="B2999" s="63" t="s">
        <v>49</v>
      </c>
      <c r="C2999" s="63">
        <v>1758123800976</v>
      </c>
      <c r="D2999" s="63" t="s">
        <v>6026</v>
      </c>
      <c r="E2999" s="63" t="s">
        <v>416</v>
      </c>
      <c r="F2999" t="s">
        <v>492</v>
      </c>
    </row>
    <row r="3000" spans="1:6" x14ac:dyDescent="0.3">
      <c r="B3000" s="63" t="s">
        <v>49</v>
      </c>
      <c r="C3000" s="63">
        <v>1758123801480</v>
      </c>
      <c r="D3000" s="63" t="s">
        <v>6027</v>
      </c>
      <c r="E3000" s="63" t="s">
        <v>419</v>
      </c>
      <c r="F3000" t="s">
        <v>420</v>
      </c>
    </row>
    <row r="3001" spans="1:6" x14ac:dyDescent="0.3">
      <c r="B3001" s="63" t="s">
        <v>49</v>
      </c>
      <c r="C3001" s="63">
        <v>1758123825718</v>
      </c>
      <c r="D3001" s="63" t="s">
        <v>6028</v>
      </c>
      <c r="E3001" s="63" t="s">
        <v>389</v>
      </c>
      <c r="F3001" t="s">
        <v>406</v>
      </c>
    </row>
    <row r="3002" spans="1:6" x14ac:dyDescent="0.3">
      <c r="B3002" s="63" t="s">
        <v>49</v>
      </c>
      <c r="C3002" s="63">
        <v>1758123827061</v>
      </c>
      <c r="D3002" s="63" t="s">
        <v>6029</v>
      </c>
      <c r="E3002" s="63" t="s">
        <v>389</v>
      </c>
      <c r="F3002" t="s">
        <v>410</v>
      </c>
    </row>
    <row r="3003" spans="1:6" x14ac:dyDescent="0.3">
      <c r="B3003" s="63" t="s">
        <v>49</v>
      </c>
      <c r="C3003" s="63">
        <v>1758123828022</v>
      </c>
      <c r="D3003" s="63" t="s">
        <v>6030</v>
      </c>
      <c r="E3003" s="63" t="s">
        <v>389</v>
      </c>
      <c r="F3003" t="s">
        <v>508</v>
      </c>
    </row>
    <row r="3004" spans="1:6" x14ac:dyDescent="0.3">
      <c r="B3004" s="63" t="s">
        <v>49</v>
      </c>
      <c r="C3004" s="63">
        <v>1758123828616</v>
      </c>
      <c r="D3004" s="63" t="s">
        <v>6031</v>
      </c>
      <c r="E3004" s="63" t="s">
        <v>389</v>
      </c>
      <c r="F3004" t="s">
        <v>660</v>
      </c>
    </row>
    <row r="3005" spans="1:6" x14ac:dyDescent="0.3">
      <c r="B3005" s="63" t="s">
        <v>49</v>
      </c>
      <c r="C3005" s="63">
        <v>1758123829328</v>
      </c>
      <c r="D3005" s="63" t="s">
        <v>6032</v>
      </c>
      <c r="E3005" s="63" t="s">
        <v>389</v>
      </c>
      <c r="F3005" t="s">
        <v>495</v>
      </c>
    </row>
    <row r="3006" spans="1:6" x14ac:dyDescent="0.3">
      <c r="B3006" s="63" t="s">
        <v>49</v>
      </c>
      <c r="C3006" s="63">
        <v>1758123830091</v>
      </c>
      <c r="D3006" s="63" t="s">
        <v>6033</v>
      </c>
      <c r="E3006" s="63" t="s">
        <v>389</v>
      </c>
      <c r="F3006" t="s">
        <v>414</v>
      </c>
    </row>
    <row r="3007" spans="1:6" x14ac:dyDescent="0.3">
      <c r="B3007" s="63" t="s">
        <v>49</v>
      </c>
      <c r="C3007" s="63">
        <v>1758123830787</v>
      </c>
      <c r="D3007" s="63" t="s">
        <v>6034</v>
      </c>
      <c r="E3007" s="63" t="s">
        <v>389</v>
      </c>
      <c r="F3007" t="s">
        <v>390</v>
      </c>
    </row>
    <row r="3008" spans="1:6" x14ac:dyDescent="0.3">
      <c r="B3008" s="63" t="s">
        <v>49</v>
      </c>
      <c r="C3008" s="63">
        <v>1758123831344</v>
      </c>
      <c r="D3008" s="63" t="s">
        <v>6035</v>
      </c>
      <c r="E3008" s="63" t="s">
        <v>389</v>
      </c>
      <c r="F3008" t="s">
        <v>392</v>
      </c>
    </row>
    <row r="3009" spans="2:6" x14ac:dyDescent="0.3">
      <c r="B3009" s="63" t="s">
        <v>49</v>
      </c>
      <c r="C3009" s="63">
        <v>1758123832655</v>
      </c>
      <c r="D3009" s="63" t="s">
        <v>6036</v>
      </c>
      <c r="E3009" s="63" t="s">
        <v>389</v>
      </c>
      <c r="F3009" t="s">
        <v>396</v>
      </c>
    </row>
    <row r="3010" spans="2:6" x14ac:dyDescent="0.3">
      <c r="B3010" s="63" t="s">
        <v>49</v>
      </c>
      <c r="C3010" s="63">
        <v>1758123833212</v>
      </c>
      <c r="D3010" s="63" t="s">
        <v>6037</v>
      </c>
      <c r="E3010" s="63" t="s">
        <v>389</v>
      </c>
      <c r="F3010" t="s">
        <v>398</v>
      </c>
    </row>
    <row r="3011" spans="2:6" x14ac:dyDescent="0.3">
      <c r="B3011" s="63" t="s">
        <v>49</v>
      </c>
      <c r="C3011" s="63">
        <v>1758123833760</v>
      </c>
      <c r="D3011" s="63" t="s">
        <v>6038</v>
      </c>
      <c r="E3011" s="63" t="s">
        <v>389</v>
      </c>
      <c r="F3011" t="s">
        <v>400</v>
      </c>
    </row>
    <row r="3012" spans="2:6" x14ac:dyDescent="0.3">
      <c r="B3012" s="63" t="s">
        <v>49</v>
      </c>
      <c r="C3012" s="63">
        <v>1758123846628</v>
      </c>
      <c r="D3012" s="63" t="s">
        <v>6039</v>
      </c>
      <c r="E3012" s="63" t="s">
        <v>422</v>
      </c>
      <c r="F3012" t="s">
        <v>420</v>
      </c>
    </row>
    <row r="3013" spans="2:6" x14ac:dyDescent="0.3">
      <c r="B3013" s="63" t="s">
        <v>426</v>
      </c>
      <c r="C3013" s="63">
        <v>1758123864320</v>
      </c>
      <c r="D3013" s="63" t="s">
        <v>6040</v>
      </c>
      <c r="E3013" s="63" t="s">
        <v>428</v>
      </c>
      <c r="F3013" t="s">
        <v>453</v>
      </c>
    </row>
    <row r="3014" spans="2:6" x14ac:dyDescent="0.3">
      <c r="B3014" s="63" t="s">
        <v>49</v>
      </c>
      <c r="C3014" s="63">
        <v>1758123866850</v>
      </c>
      <c r="D3014" s="63" t="s">
        <v>6041</v>
      </c>
      <c r="E3014" s="63" t="s">
        <v>520</v>
      </c>
      <c r="F3014" t="s">
        <v>1409</v>
      </c>
    </row>
    <row r="3015" spans="2:6" x14ac:dyDescent="0.3">
      <c r="B3015" s="63" t="s">
        <v>49</v>
      </c>
      <c r="C3015" s="63">
        <v>1758123875742</v>
      </c>
      <c r="D3015" s="63" t="s">
        <v>6042</v>
      </c>
      <c r="E3015" s="63" t="s">
        <v>1438</v>
      </c>
      <c r="F3015" t="s">
        <v>6043</v>
      </c>
    </row>
    <row r="3016" spans="2:6" x14ac:dyDescent="0.3">
      <c r="B3016" s="63" t="s">
        <v>426</v>
      </c>
      <c r="C3016" s="63">
        <v>1758123879880</v>
      </c>
      <c r="D3016" s="63" t="s">
        <v>6044</v>
      </c>
      <c r="E3016" s="63" t="s">
        <v>428</v>
      </c>
      <c r="F3016" t="s">
        <v>447</v>
      </c>
    </row>
    <row r="3017" spans="2:6" x14ac:dyDescent="0.3">
      <c r="B3017" s="63" t="s">
        <v>49</v>
      </c>
      <c r="C3017" s="63">
        <v>1758123884046</v>
      </c>
      <c r="D3017" s="63" t="s">
        <v>6045</v>
      </c>
      <c r="E3017" s="63" t="s">
        <v>525</v>
      </c>
      <c r="F3017" t="s">
        <v>1413</v>
      </c>
    </row>
    <row r="3018" spans="2:6" x14ac:dyDescent="0.3">
      <c r="B3018" s="63" t="s">
        <v>49</v>
      </c>
      <c r="C3018" s="63">
        <v>1758123894165</v>
      </c>
      <c r="D3018" s="63" t="s">
        <v>6046</v>
      </c>
      <c r="E3018" s="63" t="s">
        <v>424</v>
      </c>
      <c r="F3018" t="s">
        <v>457</v>
      </c>
    </row>
    <row r="3019" spans="2:6" x14ac:dyDescent="0.3">
      <c r="B3019" s="63" t="s">
        <v>426</v>
      </c>
      <c r="C3019" s="63">
        <v>1758123895393</v>
      </c>
      <c r="D3019" s="63" t="s">
        <v>6047</v>
      </c>
      <c r="E3019" s="63" t="s">
        <v>428</v>
      </c>
      <c r="F3019" t="s">
        <v>538</v>
      </c>
    </row>
    <row r="3020" spans="2:6" x14ac:dyDescent="0.3">
      <c r="B3020" s="63" t="s">
        <v>49</v>
      </c>
      <c r="C3020" s="63">
        <v>1758123898595</v>
      </c>
      <c r="D3020" s="63" t="s">
        <v>6048</v>
      </c>
      <c r="E3020" s="63" t="s">
        <v>424</v>
      </c>
      <c r="F3020" t="s">
        <v>459</v>
      </c>
    </row>
    <row r="3021" spans="2:6" x14ac:dyDescent="0.3">
      <c r="B3021" s="63" t="s">
        <v>49</v>
      </c>
      <c r="C3021" s="63">
        <v>1758123904209</v>
      </c>
      <c r="D3021" s="63" t="s">
        <v>6049</v>
      </c>
      <c r="E3021" s="63" t="s">
        <v>520</v>
      </c>
      <c r="F3021" t="s">
        <v>536</v>
      </c>
    </row>
    <row r="3022" spans="2:6" x14ac:dyDescent="0.3">
      <c r="B3022" s="63" t="s">
        <v>49</v>
      </c>
      <c r="C3022" s="63">
        <v>1758123912100</v>
      </c>
      <c r="D3022" s="63" t="s">
        <v>6050</v>
      </c>
      <c r="E3022" s="63" t="s">
        <v>525</v>
      </c>
      <c r="F3022" t="s">
        <v>540</v>
      </c>
    </row>
    <row r="3023" spans="2:6" x14ac:dyDescent="0.3">
      <c r="B3023" s="63" t="s">
        <v>426</v>
      </c>
      <c r="C3023" s="63">
        <v>1758123913130</v>
      </c>
      <c r="D3023" s="63" t="s">
        <v>6051</v>
      </c>
      <c r="E3023" s="63" t="s">
        <v>428</v>
      </c>
      <c r="F3023" t="s">
        <v>672</v>
      </c>
    </row>
    <row r="3024" spans="2:6" x14ac:dyDescent="0.3">
      <c r="B3024" s="63" t="s">
        <v>49</v>
      </c>
      <c r="C3024" s="63">
        <v>1758123918021</v>
      </c>
      <c r="D3024" s="63" t="s">
        <v>6052</v>
      </c>
      <c r="E3024" s="63" t="s">
        <v>424</v>
      </c>
      <c r="F3024" t="s">
        <v>461</v>
      </c>
    </row>
    <row r="3025" spans="2:6" x14ac:dyDescent="0.3">
      <c r="B3025" s="63" t="s">
        <v>49</v>
      </c>
      <c r="C3025" s="63">
        <v>1758123925055</v>
      </c>
      <c r="D3025" s="63" t="s">
        <v>6053</v>
      </c>
      <c r="E3025" s="63" t="s">
        <v>424</v>
      </c>
      <c r="F3025" t="s">
        <v>449</v>
      </c>
    </row>
    <row r="3026" spans="2:6" x14ac:dyDescent="0.3">
      <c r="B3026" s="63" t="s">
        <v>426</v>
      </c>
      <c r="C3026" s="63">
        <v>1758123930041</v>
      </c>
      <c r="D3026" s="63" t="s">
        <v>6054</v>
      </c>
      <c r="E3026" s="63" t="s">
        <v>428</v>
      </c>
      <c r="F3026" t="s">
        <v>523</v>
      </c>
    </row>
    <row r="3027" spans="2:6" x14ac:dyDescent="0.3">
      <c r="B3027" s="63" t="s">
        <v>49</v>
      </c>
      <c r="C3027" s="63">
        <v>1758123932236</v>
      </c>
      <c r="D3027" s="63" t="s">
        <v>6055</v>
      </c>
      <c r="E3027" s="63" t="s">
        <v>520</v>
      </c>
      <c r="F3027" t="s">
        <v>536</v>
      </c>
    </row>
    <row r="3028" spans="2:6" x14ac:dyDescent="0.3">
      <c r="B3028" s="63" t="s">
        <v>49</v>
      </c>
      <c r="C3028" s="63">
        <v>1758123935760</v>
      </c>
      <c r="D3028" s="63" t="s">
        <v>6056</v>
      </c>
      <c r="E3028" s="63" t="s">
        <v>525</v>
      </c>
      <c r="F3028" t="s">
        <v>540</v>
      </c>
    </row>
    <row r="3029" spans="2:6" x14ac:dyDescent="0.3">
      <c r="B3029" s="63" t="s">
        <v>49</v>
      </c>
      <c r="C3029" s="63">
        <v>1758123938280</v>
      </c>
      <c r="D3029" s="63" t="s">
        <v>6057</v>
      </c>
      <c r="E3029" s="63" t="s">
        <v>424</v>
      </c>
      <c r="F3029" t="s">
        <v>451</v>
      </c>
    </row>
    <row r="3030" spans="2:6" x14ac:dyDescent="0.3">
      <c r="B3030" s="63" t="s">
        <v>426</v>
      </c>
      <c r="C3030" s="63">
        <v>1758123951412</v>
      </c>
      <c r="D3030" s="63" t="s">
        <v>6058</v>
      </c>
      <c r="E3030" s="63" t="s">
        <v>428</v>
      </c>
      <c r="F3030" t="s">
        <v>455</v>
      </c>
    </row>
    <row r="3031" spans="2:6" x14ac:dyDescent="0.3">
      <c r="B3031" s="63" t="s">
        <v>49</v>
      </c>
      <c r="C3031" s="63">
        <v>1758123955892</v>
      </c>
      <c r="D3031" s="63" t="s">
        <v>6059</v>
      </c>
      <c r="E3031" s="63" t="s">
        <v>520</v>
      </c>
      <c r="F3031" t="s">
        <v>1425</v>
      </c>
    </row>
    <row r="3032" spans="2:6" x14ac:dyDescent="0.3">
      <c r="B3032" s="63" t="s">
        <v>49</v>
      </c>
      <c r="C3032" s="63">
        <v>1758123960438</v>
      </c>
      <c r="D3032" s="63" t="s">
        <v>6060</v>
      </c>
      <c r="E3032" s="63" t="s">
        <v>525</v>
      </c>
      <c r="F3032" t="s">
        <v>1429</v>
      </c>
    </row>
    <row r="3033" spans="2:6" x14ac:dyDescent="0.3">
      <c r="B3033" s="63" t="s">
        <v>426</v>
      </c>
      <c r="C3033" s="63">
        <v>1758123969899</v>
      </c>
      <c r="D3033" s="63" t="s">
        <v>6061</v>
      </c>
      <c r="E3033" s="63" t="s">
        <v>428</v>
      </c>
      <c r="F3033" t="s">
        <v>429</v>
      </c>
    </row>
    <row r="3034" spans="2:6" x14ac:dyDescent="0.3">
      <c r="B3034" s="63" t="s">
        <v>49</v>
      </c>
      <c r="C3034" s="63">
        <v>1758123980574</v>
      </c>
      <c r="D3034" s="63" t="s">
        <v>6062</v>
      </c>
      <c r="E3034" s="63" t="s">
        <v>520</v>
      </c>
      <c r="F3034" t="s">
        <v>2268</v>
      </c>
    </row>
    <row r="3035" spans="2:6" x14ac:dyDescent="0.3">
      <c r="B3035" s="63" t="s">
        <v>426</v>
      </c>
      <c r="C3035" s="63">
        <v>1758123987606</v>
      </c>
      <c r="D3035" s="63" t="s">
        <v>6063</v>
      </c>
      <c r="E3035" s="63" t="s">
        <v>428</v>
      </c>
      <c r="F3035" t="s">
        <v>431</v>
      </c>
    </row>
    <row r="3036" spans="2:6" x14ac:dyDescent="0.3">
      <c r="B3036" s="63" t="s">
        <v>49</v>
      </c>
      <c r="C3036" s="63">
        <v>1758123989194</v>
      </c>
      <c r="D3036" s="63" t="s">
        <v>6064</v>
      </c>
      <c r="E3036" s="63" t="s">
        <v>525</v>
      </c>
      <c r="F3036" t="s">
        <v>2270</v>
      </c>
    </row>
    <row r="3037" spans="2:6" x14ac:dyDescent="0.3">
      <c r="B3037" s="63" t="s">
        <v>49</v>
      </c>
      <c r="C3037" s="63">
        <v>1758123996887</v>
      </c>
      <c r="D3037" s="63" t="s">
        <v>6065</v>
      </c>
      <c r="E3037" s="63" t="s">
        <v>424</v>
      </c>
      <c r="F3037" t="s">
        <v>433</v>
      </c>
    </row>
    <row r="3038" spans="2:6" x14ac:dyDescent="0.3">
      <c r="B3038" s="63" t="s">
        <v>426</v>
      </c>
      <c r="C3038" s="63">
        <v>1758124003090</v>
      </c>
      <c r="D3038" s="63" t="s">
        <v>6066</v>
      </c>
      <c r="E3038" s="63" t="s">
        <v>428</v>
      </c>
      <c r="F3038" t="s">
        <v>435</v>
      </c>
    </row>
    <row r="3039" spans="2:6" x14ac:dyDescent="0.3">
      <c r="B3039" s="63" t="s">
        <v>49</v>
      </c>
      <c r="C3039" s="63">
        <v>1758124009315</v>
      </c>
      <c r="D3039" s="63" t="s">
        <v>6067</v>
      </c>
      <c r="E3039" s="63" t="s">
        <v>520</v>
      </c>
      <c r="F3039" t="s">
        <v>2687</v>
      </c>
    </row>
    <row r="3040" spans="2:6" x14ac:dyDescent="0.3">
      <c r="B3040" s="63" t="s">
        <v>49</v>
      </c>
      <c r="C3040" s="63">
        <v>1758124013743</v>
      </c>
      <c r="D3040" s="63" t="s">
        <v>6068</v>
      </c>
      <c r="E3040" s="63" t="s">
        <v>525</v>
      </c>
      <c r="F3040" t="s">
        <v>2690</v>
      </c>
    </row>
    <row r="3041" spans="2:6" x14ac:dyDescent="0.3">
      <c r="B3041" s="63" t="s">
        <v>426</v>
      </c>
      <c r="C3041" s="63">
        <v>1758124018643</v>
      </c>
      <c r="D3041" s="63" t="s">
        <v>6069</v>
      </c>
      <c r="E3041" s="63" t="s">
        <v>428</v>
      </c>
      <c r="F3041" t="s">
        <v>437</v>
      </c>
    </row>
    <row r="3042" spans="2:6" x14ac:dyDescent="0.3">
      <c r="B3042" s="63" t="s">
        <v>49</v>
      </c>
      <c r="C3042" s="63">
        <v>1758124033869</v>
      </c>
      <c r="D3042" s="63" t="s">
        <v>6070</v>
      </c>
      <c r="E3042" s="63" t="s">
        <v>520</v>
      </c>
      <c r="F3042" t="s">
        <v>1606</v>
      </c>
    </row>
    <row r="3043" spans="2:6" x14ac:dyDescent="0.3">
      <c r="B3043" s="63" t="s">
        <v>426</v>
      </c>
      <c r="C3043" s="63">
        <v>1758124034978</v>
      </c>
      <c r="D3043" s="63" t="s">
        <v>6071</v>
      </c>
      <c r="E3043" s="63" t="s">
        <v>428</v>
      </c>
      <c r="F3043" t="s">
        <v>439</v>
      </c>
    </row>
    <row r="3044" spans="2:6" x14ac:dyDescent="0.3">
      <c r="B3044" s="63" t="s">
        <v>49</v>
      </c>
      <c r="C3044" s="63">
        <v>1758124040917</v>
      </c>
      <c r="D3044" s="63" t="s">
        <v>6072</v>
      </c>
      <c r="E3044" s="63" t="s">
        <v>525</v>
      </c>
      <c r="F3044" t="s">
        <v>1608</v>
      </c>
    </row>
    <row r="3045" spans="2:6" x14ac:dyDescent="0.3">
      <c r="B3045" s="63" t="s">
        <v>49</v>
      </c>
      <c r="C3045" s="63">
        <v>1758124042819</v>
      </c>
      <c r="D3045" s="63" t="s">
        <v>6073</v>
      </c>
      <c r="E3045" s="63" t="s">
        <v>424</v>
      </c>
      <c r="F3045" t="s">
        <v>441</v>
      </c>
    </row>
    <row r="3046" spans="2:6" x14ac:dyDescent="0.3">
      <c r="B3046" s="63" t="s">
        <v>49</v>
      </c>
      <c r="C3046" s="63">
        <v>1758124043517</v>
      </c>
      <c r="D3046" s="63" t="s">
        <v>6074</v>
      </c>
      <c r="E3046" s="63" t="s">
        <v>463</v>
      </c>
      <c r="F3046" t="s">
        <v>464</v>
      </c>
    </row>
    <row r="3047" spans="2:6" x14ac:dyDescent="0.3">
      <c r="B3047" s="76" t="s">
        <v>50</v>
      </c>
      <c r="C3047" s="76">
        <v>1758124052700</v>
      </c>
      <c r="D3047" s="76" t="s">
        <v>6075</v>
      </c>
      <c r="E3047" t="s">
        <v>416</v>
      </c>
      <c r="F3047" t="s">
        <v>573</v>
      </c>
    </row>
    <row r="3048" spans="2:6" x14ac:dyDescent="0.3">
      <c r="B3048" s="76" t="s">
        <v>50</v>
      </c>
      <c r="C3048" s="76">
        <v>1758124053013</v>
      </c>
      <c r="D3048" s="76" t="s">
        <v>6076</v>
      </c>
      <c r="E3048" t="s">
        <v>468</v>
      </c>
      <c r="F3048" t="s">
        <v>2557</v>
      </c>
    </row>
    <row r="3049" spans="2:6" x14ac:dyDescent="0.3">
      <c r="B3049" s="76" t="s">
        <v>50</v>
      </c>
      <c r="C3049" s="76">
        <v>1758124067357</v>
      </c>
      <c r="D3049" s="76" t="s">
        <v>6077</v>
      </c>
      <c r="E3049" t="s">
        <v>419</v>
      </c>
      <c r="F3049" t="s">
        <v>420</v>
      </c>
    </row>
    <row r="3050" spans="2:6" x14ac:dyDescent="0.3">
      <c r="B3050" s="76" t="s">
        <v>50</v>
      </c>
      <c r="C3050" s="76">
        <v>1758124085612</v>
      </c>
      <c r="D3050" s="76" t="s">
        <v>6078</v>
      </c>
      <c r="E3050" t="s">
        <v>422</v>
      </c>
      <c r="F3050" t="s">
        <v>420</v>
      </c>
    </row>
    <row r="3051" spans="2:6" x14ac:dyDescent="0.3">
      <c r="B3051" s="76" t="s">
        <v>426</v>
      </c>
      <c r="C3051" s="76">
        <v>1758124100373</v>
      </c>
      <c r="D3051" s="76" t="s">
        <v>6079</v>
      </c>
      <c r="E3051" t="s">
        <v>428</v>
      </c>
      <c r="F3051" t="s">
        <v>453</v>
      </c>
    </row>
    <row r="3052" spans="2:6" x14ac:dyDescent="0.3">
      <c r="B3052" s="76" t="s">
        <v>50</v>
      </c>
      <c r="C3052" s="76">
        <v>1758124105727</v>
      </c>
      <c r="D3052" s="76" t="s">
        <v>6080</v>
      </c>
      <c r="E3052" t="s">
        <v>520</v>
      </c>
      <c r="F3052" t="s">
        <v>529</v>
      </c>
    </row>
    <row r="3053" spans="2:6" x14ac:dyDescent="0.3">
      <c r="B3053" s="76" t="s">
        <v>50</v>
      </c>
      <c r="C3053" s="76">
        <v>1758124112201</v>
      </c>
      <c r="D3053" s="76" t="s">
        <v>6081</v>
      </c>
      <c r="E3053" t="s">
        <v>1438</v>
      </c>
      <c r="F3053" t="s">
        <v>6082</v>
      </c>
    </row>
    <row r="3054" spans="2:6" x14ac:dyDescent="0.3">
      <c r="B3054" s="76" t="s">
        <v>426</v>
      </c>
      <c r="C3054" s="76">
        <v>1758124115838</v>
      </c>
      <c r="D3054" s="76" t="s">
        <v>6083</v>
      </c>
      <c r="E3054" t="s">
        <v>428</v>
      </c>
      <c r="F3054" t="s">
        <v>447</v>
      </c>
    </row>
    <row r="3055" spans="2:6" x14ac:dyDescent="0.3">
      <c r="B3055" s="76" t="s">
        <v>50</v>
      </c>
      <c r="C3055" s="76">
        <v>1758124117674</v>
      </c>
      <c r="D3055" s="76" t="s">
        <v>6084</v>
      </c>
      <c r="E3055" t="s">
        <v>525</v>
      </c>
      <c r="F3055" t="s">
        <v>531</v>
      </c>
    </row>
    <row r="3056" spans="2:6" x14ac:dyDescent="0.3">
      <c r="B3056" s="76" t="s">
        <v>426</v>
      </c>
      <c r="C3056" s="76">
        <v>1758124132102</v>
      </c>
      <c r="D3056" s="76" t="s">
        <v>6085</v>
      </c>
      <c r="E3056" t="s">
        <v>428</v>
      </c>
      <c r="F3056" t="s">
        <v>538</v>
      </c>
    </row>
    <row r="3057" spans="2:6" x14ac:dyDescent="0.3">
      <c r="B3057" s="76" t="s">
        <v>50</v>
      </c>
      <c r="C3057" s="76">
        <v>1758124133234</v>
      </c>
      <c r="D3057" s="76" t="s">
        <v>6086</v>
      </c>
      <c r="E3057" t="s">
        <v>424</v>
      </c>
      <c r="F3057" t="s">
        <v>457</v>
      </c>
    </row>
    <row r="3058" spans="2:6" x14ac:dyDescent="0.3">
      <c r="B3058" s="76" t="s">
        <v>50</v>
      </c>
      <c r="C3058" s="76">
        <v>1758124136018</v>
      </c>
      <c r="D3058" s="76" t="s">
        <v>6087</v>
      </c>
      <c r="E3058" t="s">
        <v>424</v>
      </c>
      <c r="F3058" t="s">
        <v>459</v>
      </c>
    </row>
    <row r="3059" spans="2:6" x14ac:dyDescent="0.3">
      <c r="B3059" s="76" t="s">
        <v>50</v>
      </c>
      <c r="C3059" s="76">
        <v>1758124136859</v>
      </c>
      <c r="D3059" s="76" t="s">
        <v>6088</v>
      </c>
      <c r="E3059" t="s">
        <v>6089</v>
      </c>
      <c r="F3059" t="s">
        <v>461</v>
      </c>
    </row>
    <row r="3060" spans="2:6" x14ac:dyDescent="0.3">
      <c r="B3060" s="76" t="s">
        <v>50</v>
      </c>
      <c r="C3060" s="76">
        <v>1758124137784</v>
      </c>
      <c r="D3060" s="76" t="s">
        <v>6090</v>
      </c>
      <c r="E3060" t="s">
        <v>520</v>
      </c>
      <c r="F3060" t="s">
        <v>664</v>
      </c>
    </row>
    <row r="3061" spans="2:6" x14ac:dyDescent="0.3">
      <c r="B3061" s="76" t="s">
        <v>50</v>
      </c>
      <c r="C3061" s="76">
        <v>1758124146168</v>
      </c>
      <c r="D3061" s="76" t="s">
        <v>6091</v>
      </c>
      <c r="E3061" t="s">
        <v>525</v>
      </c>
      <c r="F3061" t="s">
        <v>665</v>
      </c>
    </row>
    <row r="3062" spans="2:6" x14ac:dyDescent="0.3">
      <c r="B3062" s="76" t="s">
        <v>426</v>
      </c>
      <c r="C3062" s="76">
        <v>1758124149905</v>
      </c>
      <c r="D3062" s="76" t="s">
        <v>6092</v>
      </c>
      <c r="E3062" t="s">
        <v>428</v>
      </c>
      <c r="F3062" t="s">
        <v>672</v>
      </c>
    </row>
    <row r="3063" spans="2:6" x14ac:dyDescent="0.3">
      <c r="B3063" s="76" t="s">
        <v>50</v>
      </c>
      <c r="C3063" s="76">
        <v>1758124153581</v>
      </c>
      <c r="D3063" s="76" t="s">
        <v>6093</v>
      </c>
      <c r="E3063" t="s">
        <v>424</v>
      </c>
      <c r="F3063" t="s">
        <v>459</v>
      </c>
    </row>
    <row r="3064" spans="2:6" x14ac:dyDescent="0.3">
      <c r="B3064" s="76" t="s">
        <v>50</v>
      </c>
      <c r="C3064" s="76">
        <v>1758124166281</v>
      </c>
      <c r="D3064" s="76" t="s">
        <v>6094</v>
      </c>
      <c r="E3064" t="s">
        <v>520</v>
      </c>
      <c r="F3064" t="s">
        <v>2311</v>
      </c>
    </row>
    <row r="3065" spans="2:6" x14ac:dyDescent="0.3">
      <c r="B3065" s="76" t="s">
        <v>426</v>
      </c>
      <c r="C3065" s="76">
        <v>1758124166905</v>
      </c>
      <c r="D3065" s="76" t="s">
        <v>6095</v>
      </c>
      <c r="E3065" t="s">
        <v>428</v>
      </c>
      <c r="F3065" t="s">
        <v>523</v>
      </c>
    </row>
    <row r="3066" spans="2:6" x14ac:dyDescent="0.3">
      <c r="B3066" s="76" t="s">
        <v>50</v>
      </c>
      <c r="C3066" s="76">
        <v>1758124171480</v>
      </c>
      <c r="D3066" s="76" t="s">
        <v>6096</v>
      </c>
      <c r="E3066" t="s">
        <v>525</v>
      </c>
      <c r="F3066" t="s">
        <v>2313</v>
      </c>
    </row>
    <row r="3067" spans="2:6" x14ac:dyDescent="0.3">
      <c r="B3067" s="76" t="s">
        <v>50</v>
      </c>
      <c r="C3067" s="76">
        <v>1758124174530</v>
      </c>
      <c r="D3067" s="76" t="s">
        <v>6097</v>
      </c>
      <c r="E3067" t="s">
        <v>424</v>
      </c>
      <c r="F3067" t="s">
        <v>461</v>
      </c>
    </row>
    <row r="3068" spans="2:6" x14ac:dyDescent="0.3">
      <c r="B3068" s="76" t="s">
        <v>50</v>
      </c>
      <c r="C3068" s="76">
        <v>1758124176586</v>
      </c>
      <c r="D3068" s="76" t="s">
        <v>6098</v>
      </c>
      <c r="E3068" t="s">
        <v>424</v>
      </c>
      <c r="F3068" t="s">
        <v>449</v>
      </c>
    </row>
    <row r="3069" spans="2:6" x14ac:dyDescent="0.3">
      <c r="B3069" s="76" t="s">
        <v>50</v>
      </c>
      <c r="C3069" s="76">
        <v>1758124182451</v>
      </c>
      <c r="D3069" s="76" t="s">
        <v>6099</v>
      </c>
      <c r="E3069" t="s">
        <v>424</v>
      </c>
      <c r="F3069" t="s">
        <v>451</v>
      </c>
    </row>
    <row r="3070" spans="2:6" x14ac:dyDescent="0.3">
      <c r="B3070" s="76" t="s">
        <v>426</v>
      </c>
      <c r="C3070" s="76">
        <v>1758124188259</v>
      </c>
      <c r="D3070" s="76" t="s">
        <v>6100</v>
      </c>
      <c r="E3070" t="s">
        <v>428</v>
      </c>
      <c r="F3070" t="s">
        <v>455</v>
      </c>
    </row>
    <row r="3071" spans="2:6" x14ac:dyDescent="0.3">
      <c r="B3071" s="76" t="s">
        <v>50</v>
      </c>
      <c r="C3071" s="76">
        <v>1758124191600</v>
      </c>
      <c r="D3071" s="76" t="s">
        <v>6101</v>
      </c>
      <c r="E3071" t="s">
        <v>520</v>
      </c>
      <c r="F3071" t="s">
        <v>2687</v>
      </c>
    </row>
    <row r="3072" spans="2:6" x14ac:dyDescent="0.3">
      <c r="B3072" s="76" t="s">
        <v>50</v>
      </c>
      <c r="C3072" s="76">
        <v>1758124196433</v>
      </c>
      <c r="D3072" s="76" t="s">
        <v>6102</v>
      </c>
      <c r="E3072" t="s">
        <v>525</v>
      </c>
      <c r="F3072" t="s">
        <v>2690</v>
      </c>
    </row>
    <row r="3073" spans="1:6" x14ac:dyDescent="0.3">
      <c r="B3073" s="76" t="s">
        <v>426</v>
      </c>
      <c r="C3073" s="76">
        <v>1758124203743</v>
      </c>
      <c r="D3073" s="76" t="s">
        <v>6103</v>
      </c>
      <c r="E3073" t="s">
        <v>428</v>
      </c>
      <c r="F3073" t="s">
        <v>429</v>
      </c>
    </row>
    <row r="3074" spans="1:6" x14ac:dyDescent="0.3">
      <c r="B3074" s="76" t="s">
        <v>50</v>
      </c>
      <c r="C3074" s="76">
        <v>1758124216535</v>
      </c>
      <c r="D3074" s="76" t="s">
        <v>6104</v>
      </c>
      <c r="E3074" t="s">
        <v>520</v>
      </c>
      <c r="F3074" t="s">
        <v>1947</v>
      </c>
    </row>
    <row r="3075" spans="1:6" x14ac:dyDescent="0.3">
      <c r="B3075" s="76" t="s">
        <v>426</v>
      </c>
      <c r="C3075" s="76">
        <v>1758124220012</v>
      </c>
      <c r="D3075" s="76" t="s">
        <v>6105</v>
      </c>
      <c r="E3075" t="s">
        <v>428</v>
      </c>
      <c r="F3075" t="s">
        <v>431</v>
      </c>
    </row>
    <row r="3076" spans="1:6" x14ac:dyDescent="0.3">
      <c r="B3076" s="76" t="s">
        <v>50</v>
      </c>
      <c r="C3076" s="76">
        <v>1758124222790</v>
      </c>
      <c r="D3076" s="76" t="s">
        <v>6106</v>
      </c>
      <c r="E3076" t="s">
        <v>525</v>
      </c>
      <c r="F3076" t="s">
        <v>1950</v>
      </c>
    </row>
    <row r="3077" spans="1:6" x14ac:dyDescent="0.3">
      <c r="B3077" s="76" t="s">
        <v>50</v>
      </c>
      <c r="C3077" s="76">
        <v>1758124227232</v>
      </c>
      <c r="D3077" s="76" t="s">
        <v>6107</v>
      </c>
      <c r="E3077" t="s">
        <v>424</v>
      </c>
      <c r="F3077" t="s">
        <v>433</v>
      </c>
    </row>
    <row r="3078" spans="1:6" x14ac:dyDescent="0.3">
      <c r="B3078" s="76" t="s">
        <v>426</v>
      </c>
      <c r="C3078" s="76">
        <v>1758124239230</v>
      </c>
      <c r="D3078" s="76" t="s">
        <v>6108</v>
      </c>
      <c r="E3078" t="s">
        <v>428</v>
      </c>
      <c r="F3078" t="s">
        <v>435</v>
      </c>
    </row>
    <row r="3079" spans="1:6" x14ac:dyDescent="0.3">
      <c r="B3079" s="76" t="s">
        <v>50</v>
      </c>
      <c r="C3079" s="76">
        <v>1758124242889</v>
      </c>
      <c r="D3079" s="76" t="s">
        <v>6109</v>
      </c>
      <c r="E3079" t="s">
        <v>520</v>
      </c>
      <c r="F3079" t="s">
        <v>559</v>
      </c>
    </row>
    <row r="3080" spans="1:6" x14ac:dyDescent="0.3">
      <c r="B3080" s="76" t="s">
        <v>50</v>
      </c>
      <c r="C3080" s="76">
        <v>1758124247742</v>
      </c>
      <c r="D3080" s="76" t="s">
        <v>6110</v>
      </c>
      <c r="E3080" t="s">
        <v>525</v>
      </c>
      <c r="F3080" t="s">
        <v>561</v>
      </c>
    </row>
    <row r="3081" spans="1:6" x14ac:dyDescent="0.3">
      <c r="B3081" s="76" t="s">
        <v>426</v>
      </c>
      <c r="C3081" s="76">
        <v>1758124258368</v>
      </c>
      <c r="D3081" s="76" t="s">
        <v>6111</v>
      </c>
      <c r="E3081" t="s">
        <v>428</v>
      </c>
      <c r="F3081" t="s">
        <v>437</v>
      </c>
    </row>
    <row r="3082" spans="1:6" x14ac:dyDescent="0.3">
      <c r="B3082" s="76" t="s">
        <v>50</v>
      </c>
      <c r="C3082" s="76">
        <v>1758124267874</v>
      </c>
      <c r="D3082" s="76" t="s">
        <v>6112</v>
      </c>
      <c r="E3082" t="s">
        <v>520</v>
      </c>
      <c r="F3082" t="s">
        <v>1281</v>
      </c>
    </row>
    <row r="3083" spans="1:6" x14ac:dyDescent="0.3">
      <c r="B3083" s="76" t="s">
        <v>50</v>
      </c>
      <c r="C3083" s="76">
        <v>1758124273476</v>
      </c>
      <c r="D3083" s="76" t="s">
        <v>6113</v>
      </c>
      <c r="E3083" t="s">
        <v>525</v>
      </c>
      <c r="F3083" t="s">
        <v>1283</v>
      </c>
    </row>
    <row r="3084" spans="1:6" x14ac:dyDescent="0.3">
      <c r="B3084" s="76" t="s">
        <v>426</v>
      </c>
      <c r="C3084" s="76">
        <v>1758124277044</v>
      </c>
      <c r="D3084" s="76" t="s">
        <v>6114</v>
      </c>
      <c r="E3084" t="s">
        <v>428</v>
      </c>
      <c r="F3084" t="s">
        <v>439</v>
      </c>
    </row>
    <row r="3085" spans="1:6" x14ac:dyDescent="0.3">
      <c r="B3085" s="76" t="s">
        <v>50</v>
      </c>
      <c r="C3085" s="76">
        <v>1758124279991</v>
      </c>
      <c r="D3085" s="76" t="s">
        <v>6115</v>
      </c>
      <c r="E3085" t="s">
        <v>424</v>
      </c>
      <c r="F3085" t="s">
        <v>441</v>
      </c>
    </row>
    <row r="3086" spans="1:6" x14ac:dyDescent="0.3">
      <c r="B3086" s="76" t="s">
        <v>50</v>
      </c>
      <c r="C3086" s="76">
        <v>1758124280448</v>
      </c>
      <c r="D3086" s="76" t="s">
        <v>6116</v>
      </c>
      <c r="E3086" t="s">
        <v>463</v>
      </c>
      <c r="F3086" t="s">
        <v>464</v>
      </c>
    </row>
    <row r="3087" spans="1:6" ht="21" x14ac:dyDescent="0.4">
      <c r="A3087" s="69" t="s">
        <v>64</v>
      </c>
      <c r="B3087" s="63" t="s">
        <v>56</v>
      </c>
      <c r="C3087" s="63">
        <v>1758194991558</v>
      </c>
      <c r="D3087" s="63" t="s">
        <v>6117</v>
      </c>
      <c r="E3087" s="63" t="s">
        <v>416</v>
      </c>
      <c r="F3087" t="s">
        <v>492</v>
      </c>
    </row>
    <row r="3088" spans="1:6" x14ac:dyDescent="0.3">
      <c r="B3088" s="63" t="s">
        <v>56</v>
      </c>
      <c r="C3088" s="63">
        <v>1758194992065</v>
      </c>
      <c r="D3088" s="63" t="s">
        <v>6118</v>
      </c>
      <c r="E3088" s="63" t="s">
        <v>419</v>
      </c>
      <c r="F3088" t="s">
        <v>420</v>
      </c>
    </row>
    <row r="3089" spans="2:6" x14ac:dyDescent="0.3">
      <c r="B3089" s="63" t="s">
        <v>56</v>
      </c>
      <c r="C3089" s="63">
        <v>1758195069707</v>
      </c>
      <c r="D3089" s="63" t="s">
        <v>6119</v>
      </c>
      <c r="E3089" s="63" t="s">
        <v>389</v>
      </c>
      <c r="F3089" t="s">
        <v>396</v>
      </c>
    </row>
    <row r="3090" spans="2:6" x14ac:dyDescent="0.3">
      <c r="B3090" s="63" t="s">
        <v>56</v>
      </c>
      <c r="C3090" s="63">
        <v>1758195070180</v>
      </c>
      <c r="D3090" s="63" t="s">
        <v>6120</v>
      </c>
      <c r="E3090" s="63" t="s">
        <v>389</v>
      </c>
      <c r="F3090" t="s">
        <v>398</v>
      </c>
    </row>
    <row r="3091" spans="2:6" x14ac:dyDescent="0.3">
      <c r="B3091" s="63" t="s">
        <v>56</v>
      </c>
      <c r="C3091" s="63">
        <v>1758195070863</v>
      </c>
      <c r="D3091" s="63" t="s">
        <v>6121</v>
      </c>
      <c r="E3091" s="63" t="s">
        <v>389</v>
      </c>
      <c r="F3091" t="s">
        <v>400</v>
      </c>
    </row>
    <row r="3092" spans="2:6" x14ac:dyDescent="0.3">
      <c r="B3092" s="63" t="s">
        <v>56</v>
      </c>
      <c r="C3092" s="63">
        <v>1758195071569</v>
      </c>
      <c r="D3092" s="63" t="s">
        <v>6122</v>
      </c>
      <c r="E3092" s="63" t="s">
        <v>389</v>
      </c>
      <c r="F3092" t="s">
        <v>508</v>
      </c>
    </row>
    <row r="3093" spans="2:6" x14ac:dyDescent="0.3">
      <c r="B3093" s="63" t="s">
        <v>56</v>
      </c>
      <c r="C3093" s="63">
        <v>1758195072070</v>
      </c>
      <c r="D3093" s="63" t="s">
        <v>6123</v>
      </c>
      <c r="E3093" s="63" t="s">
        <v>389</v>
      </c>
      <c r="F3093" t="s">
        <v>1685</v>
      </c>
    </row>
    <row r="3094" spans="2:6" x14ac:dyDescent="0.3">
      <c r="B3094" s="63" t="s">
        <v>56</v>
      </c>
      <c r="C3094" s="63">
        <v>1758195073300</v>
      </c>
      <c r="D3094" s="63" t="s">
        <v>6124</v>
      </c>
      <c r="E3094" s="63" t="s">
        <v>389</v>
      </c>
      <c r="F3094" t="s">
        <v>406</v>
      </c>
    </row>
    <row r="3095" spans="2:6" x14ac:dyDescent="0.3">
      <c r="B3095" s="63" t="s">
        <v>56</v>
      </c>
      <c r="C3095" s="63">
        <v>1758195074358</v>
      </c>
      <c r="D3095" s="63" t="s">
        <v>6125</v>
      </c>
      <c r="E3095" s="63" t="s">
        <v>389</v>
      </c>
      <c r="F3095" t="s">
        <v>390</v>
      </c>
    </row>
    <row r="3096" spans="2:6" x14ac:dyDescent="0.3">
      <c r="B3096" s="63" t="s">
        <v>56</v>
      </c>
      <c r="C3096" s="63">
        <v>1758195075196</v>
      </c>
      <c r="D3096" s="63" t="s">
        <v>6126</v>
      </c>
      <c r="E3096" s="63" t="s">
        <v>389</v>
      </c>
      <c r="F3096" t="s">
        <v>392</v>
      </c>
    </row>
    <row r="3097" spans="2:6" x14ac:dyDescent="0.3">
      <c r="B3097" s="63" t="s">
        <v>56</v>
      </c>
      <c r="C3097" s="63">
        <v>1758195076379</v>
      </c>
      <c r="D3097" s="63" t="s">
        <v>6127</v>
      </c>
      <c r="E3097" s="63" t="s">
        <v>389</v>
      </c>
      <c r="F3097" t="s">
        <v>410</v>
      </c>
    </row>
    <row r="3098" spans="2:6" x14ac:dyDescent="0.3">
      <c r="B3098" s="63" t="s">
        <v>56</v>
      </c>
      <c r="C3098" s="63">
        <v>1758195077665</v>
      </c>
      <c r="D3098" s="63" t="s">
        <v>6128</v>
      </c>
      <c r="E3098" s="63" t="s">
        <v>389</v>
      </c>
      <c r="F3098" t="s">
        <v>495</v>
      </c>
    </row>
    <row r="3099" spans="2:6" x14ac:dyDescent="0.3">
      <c r="B3099" s="63" t="s">
        <v>56</v>
      </c>
      <c r="C3099" s="63">
        <v>1758195078458</v>
      </c>
      <c r="D3099" s="63" t="s">
        <v>6129</v>
      </c>
      <c r="E3099" s="63" t="s">
        <v>389</v>
      </c>
      <c r="F3099" t="s">
        <v>414</v>
      </c>
    </row>
    <row r="3100" spans="2:6" x14ac:dyDescent="0.3">
      <c r="B3100" s="63" t="s">
        <v>56</v>
      </c>
      <c r="C3100" s="63">
        <v>1758195082991</v>
      </c>
      <c r="D3100" s="63" t="s">
        <v>6130</v>
      </c>
      <c r="E3100" s="63" t="s">
        <v>422</v>
      </c>
      <c r="F3100" t="s">
        <v>420</v>
      </c>
    </row>
    <row r="3101" spans="2:6" x14ac:dyDescent="0.3">
      <c r="B3101" s="63" t="s">
        <v>426</v>
      </c>
      <c r="C3101" s="63">
        <v>1758195098501</v>
      </c>
      <c r="D3101" s="63" t="s">
        <v>6131</v>
      </c>
      <c r="E3101" s="63" t="s">
        <v>428</v>
      </c>
      <c r="F3101" t="s">
        <v>435</v>
      </c>
    </row>
    <row r="3102" spans="2:6" x14ac:dyDescent="0.3">
      <c r="B3102" s="63" t="s">
        <v>56</v>
      </c>
      <c r="C3102" s="63">
        <v>1758195103204</v>
      </c>
      <c r="D3102" s="63" t="s">
        <v>6132</v>
      </c>
      <c r="E3102" s="63" t="s">
        <v>520</v>
      </c>
      <c r="F3102" t="s">
        <v>536</v>
      </c>
    </row>
    <row r="3103" spans="2:6" x14ac:dyDescent="0.3">
      <c r="B3103" s="63" t="s">
        <v>56</v>
      </c>
      <c r="C3103" s="63">
        <v>1758195108622</v>
      </c>
      <c r="D3103" s="63" t="s">
        <v>6133</v>
      </c>
      <c r="E3103" s="63" t="s">
        <v>525</v>
      </c>
      <c r="F3103" t="s">
        <v>540</v>
      </c>
    </row>
    <row r="3104" spans="2:6" x14ac:dyDescent="0.3">
      <c r="B3104" s="63" t="s">
        <v>426</v>
      </c>
      <c r="C3104" s="63">
        <v>1758195114046</v>
      </c>
      <c r="D3104" s="63" t="s">
        <v>6134</v>
      </c>
      <c r="E3104" s="63" t="s">
        <v>428</v>
      </c>
      <c r="F3104" t="s">
        <v>437</v>
      </c>
    </row>
    <row r="3105" spans="2:6" x14ac:dyDescent="0.3">
      <c r="B3105" s="63" t="s">
        <v>56</v>
      </c>
      <c r="C3105" s="63">
        <v>1758195128742</v>
      </c>
      <c r="D3105" s="63" t="s">
        <v>6135</v>
      </c>
      <c r="E3105" s="63" t="s">
        <v>520</v>
      </c>
      <c r="F3105" t="s">
        <v>2311</v>
      </c>
    </row>
    <row r="3106" spans="2:6" x14ac:dyDescent="0.3">
      <c r="B3106" s="63" t="s">
        <v>426</v>
      </c>
      <c r="C3106" s="63">
        <v>1758195130402</v>
      </c>
      <c r="D3106" s="63" t="s">
        <v>6136</v>
      </c>
      <c r="E3106" s="63" t="s">
        <v>428</v>
      </c>
      <c r="F3106" t="s">
        <v>439</v>
      </c>
    </row>
    <row r="3107" spans="2:6" x14ac:dyDescent="0.3">
      <c r="B3107" s="63" t="s">
        <v>56</v>
      </c>
      <c r="C3107" s="63">
        <v>1758195135327</v>
      </c>
      <c r="D3107" s="63" t="s">
        <v>6137</v>
      </c>
      <c r="E3107" s="63" t="s">
        <v>525</v>
      </c>
      <c r="F3107" t="s">
        <v>2313</v>
      </c>
    </row>
    <row r="3108" spans="2:6" x14ac:dyDescent="0.3">
      <c r="B3108" s="63" t="s">
        <v>426</v>
      </c>
      <c r="C3108" s="63">
        <v>1758195145952</v>
      </c>
      <c r="D3108" s="63" t="s">
        <v>6138</v>
      </c>
      <c r="E3108" s="63" t="s">
        <v>428</v>
      </c>
      <c r="F3108" t="s">
        <v>538</v>
      </c>
    </row>
    <row r="3109" spans="2:6" x14ac:dyDescent="0.3">
      <c r="B3109" s="63" t="s">
        <v>56</v>
      </c>
      <c r="C3109" s="63">
        <v>1758195155456</v>
      </c>
      <c r="D3109" s="63" t="s">
        <v>6139</v>
      </c>
      <c r="E3109" s="63" t="s">
        <v>520</v>
      </c>
      <c r="F3109" t="s">
        <v>664</v>
      </c>
    </row>
    <row r="3110" spans="2:6" x14ac:dyDescent="0.3">
      <c r="B3110" s="63" t="s">
        <v>56</v>
      </c>
      <c r="C3110" s="63">
        <v>1758195162815</v>
      </c>
      <c r="D3110" s="63" t="s">
        <v>6140</v>
      </c>
      <c r="E3110" s="63" t="s">
        <v>525</v>
      </c>
      <c r="F3110" t="s">
        <v>665</v>
      </c>
    </row>
    <row r="3111" spans="2:6" x14ac:dyDescent="0.3">
      <c r="B3111" s="63" t="s">
        <v>426</v>
      </c>
      <c r="C3111" s="63">
        <v>1758195163610</v>
      </c>
      <c r="D3111" s="63" t="s">
        <v>6141</v>
      </c>
      <c r="E3111" s="63" t="s">
        <v>428</v>
      </c>
      <c r="F3111" t="s">
        <v>672</v>
      </c>
    </row>
    <row r="3112" spans="2:6" x14ac:dyDescent="0.3">
      <c r="B3112" s="63" t="s">
        <v>56</v>
      </c>
      <c r="C3112" s="63">
        <v>1758195167015</v>
      </c>
      <c r="D3112" s="63" t="s">
        <v>6142</v>
      </c>
      <c r="E3112" s="63" t="s">
        <v>424</v>
      </c>
      <c r="F3112" t="s">
        <v>441</v>
      </c>
    </row>
    <row r="3113" spans="2:6" x14ac:dyDescent="0.3">
      <c r="B3113" s="63" t="s">
        <v>426</v>
      </c>
      <c r="C3113" s="63">
        <v>1758195181353</v>
      </c>
      <c r="D3113" s="63" t="s">
        <v>6143</v>
      </c>
      <c r="E3113" s="63" t="s">
        <v>428</v>
      </c>
      <c r="F3113" t="s">
        <v>453</v>
      </c>
    </row>
    <row r="3114" spans="2:6" x14ac:dyDescent="0.3">
      <c r="B3114" s="63" t="s">
        <v>56</v>
      </c>
      <c r="C3114" s="63">
        <v>1758195182931</v>
      </c>
      <c r="D3114" s="63" t="s">
        <v>6144</v>
      </c>
      <c r="E3114" s="63" t="s">
        <v>520</v>
      </c>
      <c r="F3114" t="s">
        <v>675</v>
      </c>
    </row>
    <row r="3115" spans="2:6" x14ac:dyDescent="0.3">
      <c r="B3115" s="63" t="s">
        <v>56</v>
      </c>
      <c r="C3115" s="63">
        <v>1758195189953</v>
      </c>
      <c r="D3115" s="63" t="s">
        <v>6145</v>
      </c>
      <c r="E3115" s="63" t="s">
        <v>525</v>
      </c>
      <c r="F3115" t="s">
        <v>677</v>
      </c>
    </row>
    <row r="3116" spans="2:6" x14ac:dyDescent="0.3">
      <c r="B3116" s="63" t="s">
        <v>426</v>
      </c>
      <c r="C3116" s="63">
        <v>1758195199879</v>
      </c>
      <c r="D3116" s="63" t="s">
        <v>6146</v>
      </c>
      <c r="E3116" s="63" t="s">
        <v>428</v>
      </c>
      <c r="F3116" t="s">
        <v>429</v>
      </c>
    </row>
    <row r="3117" spans="2:6" x14ac:dyDescent="0.3">
      <c r="B3117" s="63" t="s">
        <v>56</v>
      </c>
      <c r="C3117" s="63">
        <v>1758195206768</v>
      </c>
      <c r="D3117" s="63" t="s">
        <v>6147</v>
      </c>
      <c r="E3117" s="63" t="s">
        <v>424</v>
      </c>
      <c r="F3117" t="s">
        <v>457</v>
      </c>
    </row>
    <row r="3118" spans="2:6" x14ac:dyDescent="0.3">
      <c r="B3118" s="63" t="s">
        <v>56</v>
      </c>
      <c r="C3118" s="63">
        <v>1758195207228</v>
      </c>
      <c r="D3118" s="63" t="s">
        <v>6148</v>
      </c>
      <c r="E3118" s="63" t="s">
        <v>424</v>
      </c>
      <c r="F3118" t="s">
        <v>459</v>
      </c>
    </row>
    <row r="3119" spans="2:6" x14ac:dyDescent="0.3">
      <c r="B3119" s="63" t="s">
        <v>56</v>
      </c>
      <c r="C3119" s="63">
        <v>1758195210079</v>
      </c>
      <c r="D3119" s="63" t="s">
        <v>6149</v>
      </c>
      <c r="E3119" s="63" t="s">
        <v>520</v>
      </c>
      <c r="F3119" t="s">
        <v>949</v>
      </c>
    </row>
    <row r="3120" spans="2:6" x14ac:dyDescent="0.3">
      <c r="B3120" s="63" t="s">
        <v>56</v>
      </c>
      <c r="C3120" s="63">
        <v>1758195216787</v>
      </c>
      <c r="D3120" s="63" t="s">
        <v>6150</v>
      </c>
      <c r="E3120" s="63" t="s">
        <v>525</v>
      </c>
      <c r="F3120" t="s">
        <v>951</v>
      </c>
    </row>
    <row r="3121" spans="2:6" x14ac:dyDescent="0.3">
      <c r="B3121" s="63" t="s">
        <v>426</v>
      </c>
      <c r="C3121" s="63">
        <v>1758195217626</v>
      </c>
      <c r="D3121" s="63" t="s">
        <v>6151</v>
      </c>
      <c r="E3121" s="63" t="s">
        <v>428</v>
      </c>
      <c r="F3121" t="s">
        <v>431</v>
      </c>
    </row>
    <row r="3122" spans="2:6" x14ac:dyDescent="0.3">
      <c r="B3122" s="63" t="s">
        <v>56</v>
      </c>
      <c r="C3122" s="63">
        <v>1758195232302</v>
      </c>
      <c r="D3122" s="63" t="s">
        <v>6152</v>
      </c>
      <c r="E3122" s="63" t="s">
        <v>424</v>
      </c>
      <c r="F3122" t="s">
        <v>461</v>
      </c>
    </row>
    <row r="3123" spans="2:6" x14ac:dyDescent="0.3">
      <c r="B3123" s="63" t="s">
        <v>426</v>
      </c>
      <c r="C3123" s="63">
        <v>1758195233170</v>
      </c>
      <c r="D3123" s="63" t="s">
        <v>6153</v>
      </c>
      <c r="E3123" s="63" t="s">
        <v>428</v>
      </c>
      <c r="F3123" t="s">
        <v>447</v>
      </c>
    </row>
    <row r="3124" spans="2:6" x14ac:dyDescent="0.3">
      <c r="B3124" s="63" t="s">
        <v>56</v>
      </c>
      <c r="C3124" s="63">
        <v>1758195236926</v>
      </c>
      <c r="D3124" s="63" t="s">
        <v>6154</v>
      </c>
      <c r="E3124" s="63" t="s">
        <v>520</v>
      </c>
      <c r="F3124" t="s">
        <v>536</v>
      </c>
    </row>
    <row r="3125" spans="2:6" x14ac:dyDescent="0.3">
      <c r="B3125" s="63" t="s">
        <v>56</v>
      </c>
      <c r="C3125" s="63">
        <v>1758195243813</v>
      </c>
      <c r="D3125" s="63" t="s">
        <v>6155</v>
      </c>
      <c r="E3125" s="63" t="s">
        <v>525</v>
      </c>
      <c r="F3125" t="s">
        <v>540</v>
      </c>
    </row>
    <row r="3126" spans="2:6" x14ac:dyDescent="0.3">
      <c r="B3126" s="63" t="s">
        <v>56</v>
      </c>
      <c r="C3126" s="63">
        <v>1758195244716</v>
      </c>
      <c r="D3126" s="63" t="s">
        <v>6156</v>
      </c>
      <c r="E3126" s="63" t="s">
        <v>424</v>
      </c>
      <c r="F3126" t="s">
        <v>433</v>
      </c>
    </row>
    <row r="3127" spans="2:6" x14ac:dyDescent="0.3">
      <c r="B3127" s="63" t="s">
        <v>426</v>
      </c>
      <c r="C3127" s="63">
        <v>1758195250069</v>
      </c>
      <c r="D3127" s="63" t="s">
        <v>6157</v>
      </c>
      <c r="E3127" s="63" t="s">
        <v>428</v>
      </c>
      <c r="F3127" t="s">
        <v>523</v>
      </c>
    </row>
    <row r="3128" spans="2:6" x14ac:dyDescent="0.3">
      <c r="B3128" s="63" t="s">
        <v>56</v>
      </c>
      <c r="C3128" s="63">
        <v>1758195254593</v>
      </c>
      <c r="D3128" s="63" t="s">
        <v>6158</v>
      </c>
      <c r="E3128" s="63" t="s">
        <v>424</v>
      </c>
      <c r="F3128" t="s">
        <v>449</v>
      </c>
    </row>
    <row r="3129" spans="2:6" x14ac:dyDescent="0.3">
      <c r="B3129" s="63" t="s">
        <v>56</v>
      </c>
      <c r="C3129" s="63">
        <v>1758195255462</v>
      </c>
      <c r="D3129" s="63" t="s">
        <v>6159</v>
      </c>
      <c r="E3129" s="63" t="s">
        <v>424</v>
      </c>
      <c r="F3129" t="s">
        <v>451</v>
      </c>
    </row>
    <row r="3130" spans="2:6" x14ac:dyDescent="0.3">
      <c r="B3130" s="63" t="s">
        <v>56</v>
      </c>
      <c r="C3130" s="63">
        <v>1758195263931</v>
      </c>
      <c r="D3130" s="63" t="s">
        <v>6160</v>
      </c>
      <c r="E3130" s="63" t="s">
        <v>520</v>
      </c>
      <c r="F3130" t="s">
        <v>1409</v>
      </c>
    </row>
    <row r="3131" spans="2:6" x14ac:dyDescent="0.3">
      <c r="B3131" s="63" t="s">
        <v>426</v>
      </c>
      <c r="C3131" s="63">
        <v>1758195271410</v>
      </c>
      <c r="D3131" s="63" t="s">
        <v>6161</v>
      </c>
      <c r="E3131" s="63" t="s">
        <v>428</v>
      </c>
      <c r="F3131" t="s">
        <v>455</v>
      </c>
    </row>
    <row r="3132" spans="2:6" x14ac:dyDescent="0.3">
      <c r="B3132" s="63" t="s">
        <v>56</v>
      </c>
      <c r="C3132" s="63">
        <v>1758195277023</v>
      </c>
      <c r="D3132" s="63" t="s">
        <v>6162</v>
      </c>
      <c r="E3132" s="63" t="s">
        <v>525</v>
      </c>
      <c r="F3132" t="s">
        <v>1413</v>
      </c>
    </row>
    <row r="3133" spans="2:6" x14ac:dyDescent="0.3">
      <c r="B3133" s="63" t="s">
        <v>56</v>
      </c>
      <c r="C3133" s="63">
        <v>1758195277913</v>
      </c>
      <c r="D3133" s="63" t="s">
        <v>6163</v>
      </c>
      <c r="E3133" s="63" t="s">
        <v>463</v>
      </c>
      <c r="F3133" t="s">
        <v>464</v>
      </c>
    </row>
    <row r="3134" spans="2:6" x14ac:dyDescent="0.3">
      <c r="B3134" s="76" t="s">
        <v>57</v>
      </c>
      <c r="C3134" s="76">
        <v>1758195289242</v>
      </c>
      <c r="D3134" s="76" t="s">
        <v>6164</v>
      </c>
      <c r="E3134" s="76" t="s">
        <v>416</v>
      </c>
      <c r="F3134" t="s">
        <v>573</v>
      </c>
    </row>
    <row r="3135" spans="2:6" x14ac:dyDescent="0.3">
      <c r="B3135" s="76" t="s">
        <v>57</v>
      </c>
      <c r="C3135" s="76">
        <v>1758195289402</v>
      </c>
      <c r="D3135" s="76" t="s">
        <v>6165</v>
      </c>
      <c r="E3135" s="76" t="s">
        <v>468</v>
      </c>
      <c r="F3135" t="s">
        <v>6166</v>
      </c>
    </row>
    <row r="3136" spans="2:6" x14ac:dyDescent="0.3">
      <c r="B3136" s="76" t="s">
        <v>57</v>
      </c>
      <c r="C3136" s="76">
        <v>1758195289920</v>
      </c>
      <c r="D3136" s="76" t="s">
        <v>6167</v>
      </c>
      <c r="E3136" s="76" t="s">
        <v>419</v>
      </c>
      <c r="F3136" t="s">
        <v>420</v>
      </c>
    </row>
    <row r="3137" spans="2:7" x14ac:dyDescent="0.3">
      <c r="B3137" s="76" t="s">
        <v>57</v>
      </c>
      <c r="C3137" s="76">
        <v>1758195310105</v>
      </c>
      <c r="D3137" s="76" t="s">
        <v>6168</v>
      </c>
      <c r="E3137" s="76" t="s">
        <v>422</v>
      </c>
      <c r="F3137" t="s">
        <v>420</v>
      </c>
    </row>
    <row r="3138" spans="2:7" x14ac:dyDescent="0.3">
      <c r="B3138" s="76" t="s">
        <v>426</v>
      </c>
      <c r="C3138" s="76">
        <v>1758195324824</v>
      </c>
      <c r="D3138" s="76" t="s">
        <v>6169</v>
      </c>
      <c r="E3138" s="76" t="s">
        <v>428</v>
      </c>
      <c r="F3138" t="s">
        <v>453</v>
      </c>
    </row>
    <row r="3139" spans="2:7" x14ac:dyDescent="0.3">
      <c r="B3139" s="76" t="s">
        <v>57</v>
      </c>
      <c r="C3139" s="76">
        <v>1758195330238</v>
      </c>
      <c r="D3139" s="76" t="s">
        <v>6170</v>
      </c>
      <c r="E3139" s="76" t="s">
        <v>520</v>
      </c>
      <c r="F3139" t="s">
        <v>615</v>
      </c>
    </row>
    <row r="3140" spans="2:7" x14ac:dyDescent="0.3">
      <c r="B3140" s="76" t="s">
        <v>57</v>
      </c>
      <c r="C3140" s="76">
        <v>1758195338390</v>
      </c>
      <c r="D3140" s="76" t="s">
        <v>6171</v>
      </c>
      <c r="E3140" s="76" t="s">
        <v>525</v>
      </c>
      <c r="F3140" t="s">
        <v>617</v>
      </c>
    </row>
    <row r="3141" spans="2:7" x14ac:dyDescent="0.3">
      <c r="B3141" s="76" t="s">
        <v>426</v>
      </c>
      <c r="C3141" s="76">
        <v>1758195344004</v>
      </c>
      <c r="D3141" s="76" t="s">
        <v>6172</v>
      </c>
      <c r="E3141" s="76" t="s">
        <v>428</v>
      </c>
      <c r="F3141" t="s">
        <v>435</v>
      </c>
    </row>
    <row r="3142" spans="2:7" x14ac:dyDescent="0.3">
      <c r="B3142" s="76" t="s">
        <v>57</v>
      </c>
      <c r="C3142" s="76">
        <v>1758195350505</v>
      </c>
      <c r="D3142" s="76" t="s">
        <v>6173</v>
      </c>
      <c r="E3142" s="76" t="s">
        <v>424</v>
      </c>
      <c r="F3142" t="s">
        <v>457</v>
      </c>
    </row>
    <row r="3143" spans="2:7" x14ac:dyDescent="0.3">
      <c r="B3143" s="76" t="s">
        <v>57</v>
      </c>
      <c r="C3143" s="76">
        <v>1758195358489</v>
      </c>
      <c r="D3143" s="76" t="s">
        <v>6174</v>
      </c>
      <c r="E3143" s="76" t="s">
        <v>520</v>
      </c>
      <c r="F3143" t="s">
        <v>559</v>
      </c>
    </row>
    <row r="3144" spans="2:7" x14ac:dyDescent="0.3">
      <c r="B3144" s="76" t="s">
        <v>57</v>
      </c>
      <c r="C3144" s="76">
        <v>1758195358554</v>
      </c>
      <c r="D3144" s="76" t="s">
        <v>6175</v>
      </c>
      <c r="E3144" s="76" t="s">
        <v>424</v>
      </c>
      <c r="F3144" t="s">
        <v>459</v>
      </c>
    </row>
    <row r="3145" spans="2:7" x14ac:dyDescent="0.3">
      <c r="B3145" s="76" t="s">
        <v>426</v>
      </c>
      <c r="C3145" s="76">
        <v>1758195363144</v>
      </c>
      <c r="D3145" s="76" t="s">
        <v>6176</v>
      </c>
      <c r="E3145" s="76" t="s">
        <v>428</v>
      </c>
      <c r="F3145" t="s">
        <v>437</v>
      </c>
    </row>
    <row r="3146" spans="2:7" x14ac:dyDescent="0.3">
      <c r="B3146" s="76" t="s">
        <v>57</v>
      </c>
      <c r="C3146" s="76">
        <v>1758195366313</v>
      </c>
      <c r="D3146" s="76" t="s">
        <v>6177</v>
      </c>
      <c r="E3146" s="76" t="s">
        <v>525</v>
      </c>
      <c r="F3146" t="s">
        <v>561</v>
      </c>
    </row>
    <row r="3147" spans="2:7" x14ac:dyDescent="0.3">
      <c r="B3147" s="76" t="s">
        <v>426</v>
      </c>
      <c r="C3147" s="76">
        <v>1758195381646</v>
      </c>
      <c r="D3147" s="76" t="s">
        <v>6178</v>
      </c>
      <c r="E3147" s="76" t="s">
        <v>428</v>
      </c>
      <c r="F3147" t="s">
        <v>439</v>
      </c>
    </row>
    <row r="3148" spans="2:7" x14ac:dyDescent="0.3">
      <c r="B3148" s="76" t="s">
        <v>57</v>
      </c>
      <c r="C3148" s="76">
        <v>1758195386451</v>
      </c>
      <c r="D3148" s="76" t="s">
        <v>6179</v>
      </c>
      <c r="E3148" s="76" t="s">
        <v>520</v>
      </c>
      <c r="F3148" t="s">
        <v>2258</v>
      </c>
    </row>
    <row r="3149" spans="2:7" x14ac:dyDescent="0.3">
      <c r="B3149" s="76" t="s">
        <v>426</v>
      </c>
      <c r="C3149" s="76">
        <v>1758195397154</v>
      </c>
      <c r="D3149" s="76" t="s">
        <v>6180</v>
      </c>
      <c r="E3149" s="76" t="s">
        <v>428</v>
      </c>
      <c r="F3149" t="s">
        <v>429</v>
      </c>
    </row>
    <row r="3150" spans="2:7" x14ac:dyDescent="0.3">
      <c r="B3150" s="76" t="s">
        <v>57</v>
      </c>
      <c r="C3150" s="76">
        <v>1758195400594</v>
      </c>
      <c r="D3150" s="76" t="s">
        <v>6181</v>
      </c>
      <c r="E3150" s="76" t="s">
        <v>1438</v>
      </c>
      <c r="F3150" t="s">
        <v>6182</v>
      </c>
    </row>
    <row r="3151" spans="2:7" x14ac:dyDescent="0.3">
      <c r="B3151" s="76" t="s">
        <v>57</v>
      </c>
      <c r="C3151" s="76">
        <v>1758195411030</v>
      </c>
      <c r="D3151" s="76" t="s">
        <v>6183</v>
      </c>
      <c r="E3151" s="76" t="s">
        <v>525</v>
      </c>
      <c r="F3151" t="s">
        <v>2264</v>
      </c>
    </row>
    <row r="3152" spans="2:7" x14ac:dyDescent="0.3">
      <c r="B3152" s="76" t="s">
        <v>426</v>
      </c>
      <c r="C3152" s="76">
        <v>1758195412650</v>
      </c>
      <c r="D3152" s="76" t="s">
        <v>6184</v>
      </c>
      <c r="E3152" s="76" t="s">
        <v>428</v>
      </c>
      <c r="F3152" s="76" t="s">
        <v>431</v>
      </c>
      <c r="G3152" s="76"/>
    </row>
    <row r="3153" spans="2:7" x14ac:dyDescent="0.3">
      <c r="B3153" s="76" t="s">
        <v>57</v>
      </c>
      <c r="C3153" s="76">
        <v>1758195415582</v>
      </c>
      <c r="D3153" s="76" t="s">
        <v>6185</v>
      </c>
      <c r="E3153" s="76" t="s">
        <v>424</v>
      </c>
      <c r="F3153" s="76" t="s">
        <v>461</v>
      </c>
      <c r="G3153" s="76"/>
    </row>
    <row r="3154" spans="2:7" x14ac:dyDescent="0.3">
      <c r="B3154" s="76" t="s">
        <v>426</v>
      </c>
      <c r="C3154" s="76">
        <v>1758195428824</v>
      </c>
      <c r="D3154" s="76" t="s">
        <v>6186</v>
      </c>
      <c r="E3154" s="76" t="s">
        <v>428</v>
      </c>
      <c r="F3154" s="76" t="s">
        <v>538</v>
      </c>
      <c r="G3154" s="76"/>
    </row>
    <row r="3155" spans="2:7" x14ac:dyDescent="0.3">
      <c r="B3155" s="76" t="s">
        <v>57</v>
      </c>
      <c r="C3155" s="76">
        <v>1758195431146</v>
      </c>
      <c r="D3155" s="76" t="s">
        <v>6187</v>
      </c>
      <c r="E3155" s="76" t="s">
        <v>520</v>
      </c>
      <c r="F3155" s="76" t="s">
        <v>1947</v>
      </c>
      <c r="G3155" s="76"/>
    </row>
    <row r="3156" spans="2:7" x14ac:dyDescent="0.3">
      <c r="B3156" s="76" t="s">
        <v>426</v>
      </c>
      <c r="C3156" s="76">
        <v>1758195446573</v>
      </c>
      <c r="D3156" s="76" t="s">
        <v>6188</v>
      </c>
      <c r="E3156" s="76" t="s">
        <v>428</v>
      </c>
      <c r="F3156" s="76" t="s">
        <v>672</v>
      </c>
      <c r="G3156" s="76"/>
    </row>
    <row r="3157" spans="2:7" x14ac:dyDescent="0.3">
      <c r="B3157" s="76" t="s">
        <v>57</v>
      </c>
      <c r="C3157" s="76">
        <v>1758195450783</v>
      </c>
      <c r="D3157" s="76" t="s">
        <v>6189</v>
      </c>
      <c r="E3157" s="76" t="s">
        <v>525</v>
      </c>
      <c r="F3157" s="76" t="s">
        <v>1950</v>
      </c>
      <c r="G3157" s="76"/>
    </row>
    <row r="3158" spans="2:7" x14ac:dyDescent="0.3">
      <c r="B3158" s="76" t="s">
        <v>57</v>
      </c>
      <c r="C3158" s="76">
        <v>1758195455327</v>
      </c>
      <c r="D3158" s="76" t="s">
        <v>6190</v>
      </c>
      <c r="E3158" s="76" t="s">
        <v>424</v>
      </c>
      <c r="F3158" s="76" t="s">
        <v>441</v>
      </c>
      <c r="G3158" s="76"/>
    </row>
    <row r="3159" spans="2:7" x14ac:dyDescent="0.3">
      <c r="B3159" s="76" t="s">
        <v>426</v>
      </c>
      <c r="C3159" s="76">
        <v>1758195463495</v>
      </c>
      <c r="D3159" s="76" t="s">
        <v>6191</v>
      </c>
      <c r="E3159" s="76" t="s">
        <v>428</v>
      </c>
      <c r="F3159" s="76" t="s">
        <v>523</v>
      </c>
      <c r="G3159" s="76"/>
    </row>
    <row r="3160" spans="2:7" x14ac:dyDescent="0.3">
      <c r="B3160" s="76" t="s">
        <v>57</v>
      </c>
      <c r="C3160" s="76">
        <v>1758195464068</v>
      </c>
      <c r="D3160" s="76" t="s">
        <v>6192</v>
      </c>
      <c r="E3160" s="76" t="s">
        <v>424</v>
      </c>
      <c r="F3160" s="76" t="s">
        <v>433</v>
      </c>
      <c r="G3160" s="76"/>
    </row>
    <row r="3161" spans="2:7" x14ac:dyDescent="0.3">
      <c r="B3161" s="76" t="s">
        <v>57</v>
      </c>
      <c r="C3161" s="76">
        <v>1758195470882</v>
      </c>
      <c r="D3161" s="76" t="s">
        <v>6193</v>
      </c>
      <c r="E3161" s="76" t="s">
        <v>520</v>
      </c>
      <c r="F3161" s="76" t="s">
        <v>1281</v>
      </c>
      <c r="G3161" s="76"/>
    </row>
    <row r="3162" spans="2:7" x14ac:dyDescent="0.3">
      <c r="B3162" s="76" t="s">
        <v>57</v>
      </c>
      <c r="C3162" s="76">
        <v>1758195476801</v>
      </c>
      <c r="D3162" s="76" t="s">
        <v>6194</v>
      </c>
      <c r="E3162" s="76" t="s">
        <v>525</v>
      </c>
      <c r="F3162" s="76" t="s">
        <v>1283</v>
      </c>
      <c r="G3162" s="76"/>
    </row>
    <row r="3163" spans="2:7" x14ac:dyDescent="0.3">
      <c r="B3163" s="76" t="s">
        <v>426</v>
      </c>
      <c r="C3163" s="76">
        <v>1758195479059</v>
      </c>
      <c r="D3163" s="76" t="s">
        <v>6195</v>
      </c>
      <c r="E3163" s="76" t="s">
        <v>428</v>
      </c>
      <c r="F3163" s="76" t="s">
        <v>447</v>
      </c>
      <c r="G3163" s="76"/>
    </row>
    <row r="3164" spans="2:7" x14ac:dyDescent="0.3">
      <c r="B3164" s="76" t="s">
        <v>57</v>
      </c>
      <c r="C3164" s="76">
        <v>1758195481763</v>
      </c>
      <c r="D3164" s="76" t="s">
        <v>6196</v>
      </c>
      <c r="E3164" s="76" t="s">
        <v>424</v>
      </c>
      <c r="F3164" s="76" t="s">
        <v>449</v>
      </c>
      <c r="G3164" s="76"/>
    </row>
    <row r="3165" spans="2:7" x14ac:dyDescent="0.3">
      <c r="B3165" s="76" t="s">
        <v>57</v>
      </c>
      <c r="C3165" s="76">
        <v>1758195487882</v>
      </c>
      <c r="D3165" s="76" t="s">
        <v>6197</v>
      </c>
      <c r="E3165" s="76" t="s">
        <v>424</v>
      </c>
      <c r="F3165" s="76" t="s">
        <v>451</v>
      </c>
      <c r="G3165" s="76"/>
    </row>
    <row r="3166" spans="2:7" x14ac:dyDescent="0.3">
      <c r="B3166" s="76" t="s">
        <v>57</v>
      </c>
      <c r="C3166" s="76">
        <v>1758195496922</v>
      </c>
      <c r="D3166" s="76" t="s">
        <v>6198</v>
      </c>
      <c r="E3166" s="76" t="s">
        <v>520</v>
      </c>
      <c r="F3166" s="76" t="s">
        <v>2687</v>
      </c>
      <c r="G3166" s="76"/>
    </row>
    <row r="3167" spans="2:7" x14ac:dyDescent="0.3">
      <c r="B3167" s="76" t="s">
        <v>426</v>
      </c>
      <c r="C3167" s="76">
        <v>1758195500350</v>
      </c>
      <c r="D3167" s="76" t="s">
        <v>6199</v>
      </c>
      <c r="E3167" s="76" t="s">
        <v>428</v>
      </c>
      <c r="F3167" s="76" t="s">
        <v>455</v>
      </c>
      <c r="G3167" s="76"/>
    </row>
    <row r="3168" spans="2:7" x14ac:dyDescent="0.3">
      <c r="B3168" s="76" t="s">
        <v>57</v>
      </c>
      <c r="C3168" s="76">
        <v>1758195500883</v>
      </c>
      <c r="D3168" s="76" t="s">
        <v>6200</v>
      </c>
      <c r="E3168" s="76" t="s">
        <v>525</v>
      </c>
      <c r="F3168" s="76" t="s">
        <v>2690</v>
      </c>
      <c r="G3168" s="76"/>
    </row>
    <row r="3169" spans="2:7" x14ac:dyDescent="0.3">
      <c r="B3169" s="76" t="s">
        <v>57</v>
      </c>
      <c r="C3169" s="76">
        <v>1758195501884</v>
      </c>
      <c r="D3169" s="76" t="s">
        <v>6201</v>
      </c>
      <c r="E3169" s="76" t="s">
        <v>463</v>
      </c>
      <c r="F3169" s="76" t="s">
        <v>464</v>
      </c>
      <c r="G3169" s="76"/>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3CC07-F47A-4BC8-9E2D-E639D864ADBE}">
  <dimension ref="A1:I33"/>
  <sheetViews>
    <sheetView workbookViewId="0">
      <selection activeCell="D42" sqref="D42"/>
    </sheetView>
  </sheetViews>
  <sheetFormatPr defaultRowHeight="14.4" x14ac:dyDescent="0.3"/>
  <cols>
    <col min="2" max="4" width="13.109375" customWidth="1"/>
    <col min="5" max="5" width="23.109375" customWidth="1"/>
    <col min="6" max="6" width="25" customWidth="1"/>
    <col min="8" max="8" width="27.33203125" customWidth="1"/>
  </cols>
  <sheetData>
    <row r="1" spans="1:9" ht="28.2" thickBot="1" x14ac:dyDescent="0.35">
      <c r="A1" s="19" t="s">
        <v>1</v>
      </c>
      <c r="B1" t="s">
        <v>6627</v>
      </c>
      <c r="C1" t="s">
        <v>6628</v>
      </c>
      <c r="D1" t="s">
        <v>6631</v>
      </c>
      <c r="E1" t="s">
        <v>6629</v>
      </c>
      <c r="F1" t="s">
        <v>6630</v>
      </c>
      <c r="G1" t="s">
        <v>6632</v>
      </c>
      <c r="H1" t="s">
        <v>6633</v>
      </c>
      <c r="I1" t="s">
        <v>6664</v>
      </c>
    </row>
    <row r="2" spans="1:9" x14ac:dyDescent="0.3">
      <c r="A2" s="50">
        <v>1</v>
      </c>
      <c r="B2" s="77">
        <f>COUNTIF(Q!E2:'Q'!E50,"*Question Answered*")</f>
        <v>6</v>
      </c>
      <c r="C2" s="77">
        <f>COUNTIF(Q!E50:'Q'!E94,"*Question Answered*")</f>
        <v>8</v>
      </c>
      <c r="D2" s="77">
        <f>B2+C2</f>
        <v>14</v>
      </c>
    </row>
    <row r="3" spans="1:9" x14ac:dyDescent="0.3">
      <c r="A3" s="52">
        <v>2</v>
      </c>
      <c r="B3" s="77">
        <f>COUNTIF(Q!E95:'Q'!E147,"*Question Answered*")</f>
        <v>8</v>
      </c>
      <c r="C3" s="77">
        <f>COUNTIF(Q!E148:'Q'!E190,"*Question Answered*")</f>
        <v>9</v>
      </c>
      <c r="D3" s="77">
        <f t="shared" ref="D3:D7" si="0">B3+C3</f>
        <v>17</v>
      </c>
    </row>
    <row r="4" spans="1:9" x14ac:dyDescent="0.3">
      <c r="A4" s="52">
        <v>3</v>
      </c>
      <c r="B4" s="77">
        <f>COUNTIF(Q!E191:'Q'!E238,"*Question Answered*")</f>
        <v>5</v>
      </c>
      <c r="C4" s="77">
        <f>COUNTIF(Q!E239:'Q'!E271,"*Question Answered*")</f>
        <v>5</v>
      </c>
      <c r="D4" s="77">
        <f t="shared" si="0"/>
        <v>10</v>
      </c>
    </row>
    <row r="5" spans="1:9" x14ac:dyDescent="0.3">
      <c r="A5" s="52">
        <v>4</v>
      </c>
      <c r="B5" s="77">
        <f>COUNTIF(Q!E272:'Q'!E328,"*Question Answered*")</f>
        <v>5</v>
      </c>
      <c r="C5" s="77">
        <f>COUNTIF(Q!E329:'Q'!E359,"*Question Answered*")</f>
        <v>3</v>
      </c>
      <c r="D5" s="77">
        <f t="shared" si="0"/>
        <v>8</v>
      </c>
    </row>
    <row r="6" spans="1:9" x14ac:dyDescent="0.3">
      <c r="A6" s="52">
        <v>5</v>
      </c>
      <c r="B6" s="77">
        <f>COUNTIF(Q!E360:'Q'!E428,"*Question Answered*")</f>
        <v>8</v>
      </c>
      <c r="C6" s="77">
        <f>COUNTIF(Q!E429:'Q'!E469,"*Question Answered*")</f>
        <v>8</v>
      </c>
      <c r="D6" s="77">
        <f t="shared" si="0"/>
        <v>16</v>
      </c>
    </row>
    <row r="7" spans="1:9" x14ac:dyDescent="0.3">
      <c r="A7" s="23" t="s">
        <v>38</v>
      </c>
      <c r="B7" s="77">
        <f>COUNTIF(Q!E470:'Q'!E522,"*Question Answered*")</f>
        <v>8</v>
      </c>
      <c r="C7" s="77">
        <f>COUNTIF(Q!E523:'Q'!E609,"*Question Answered*")</f>
        <v>8</v>
      </c>
      <c r="D7" s="77">
        <f t="shared" si="0"/>
        <v>16</v>
      </c>
    </row>
    <row r="8" spans="1:9" x14ac:dyDescent="0.3">
      <c r="A8" s="23" t="s">
        <v>40</v>
      </c>
      <c r="B8" s="77">
        <f>COUNTIF(Q!E8:'Q'!E56,"*Question Answered*")</f>
        <v>6</v>
      </c>
      <c r="C8" s="77">
        <f>COUNTIF(Q!E56:'Q'!E100,"*Question Answered*")</f>
        <v>8</v>
      </c>
    </row>
    <row r="9" spans="1:9" x14ac:dyDescent="0.3">
      <c r="A9" s="23" t="s">
        <v>41</v>
      </c>
      <c r="B9" s="77">
        <f>COUNTIF(Q!E9:'Q'!E57,"*Question Answered*")</f>
        <v>6</v>
      </c>
      <c r="C9" s="77">
        <f>COUNTIF(Q!E57:'Q'!E101,"*Question Answered*")</f>
        <v>8</v>
      </c>
    </row>
    <row r="10" spans="1:9" x14ac:dyDescent="0.3">
      <c r="A10" s="23" t="s">
        <v>42</v>
      </c>
      <c r="B10" s="77">
        <f>COUNTIF(Q!E10:'Q'!E58,"*Question Answered*")</f>
        <v>6</v>
      </c>
      <c r="C10" s="77">
        <f>COUNTIF(Q!E58:'Q'!E102,"*Question Answered*")</f>
        <v>8</v>
      </c>
    </row>
    <row r="11" spans="1:9" x14ac:dyDescent="0.3">
      <c r="A11" s="23" t="s">
        <v>44</v>
      </c>
      <c r="B11" s="77">
        <f>COUNTIF(Q!E11:'Q'!E59,"*Question Answered*")</f>
        <v>6</v>
      </c>
      <c r="C11" s="77">
        <f>COUNTIF(Q!E59:'Q'!E103,"*Question Answered*")</f>
        <v>8</v>
      </c>
    </row>
    <row r="12" spans="1:9" x14ac:dyDescent="0.3">
      <c r="A12" s="23" t="s">
        <v>45</v>
      </c>
      <c r="B12" s="77">
        <f>COUNTIF(Q!E12:'Q'!E60,"*Question Answered*")</f>
        <v>6</v>
      </c>
      <c r="C12" s="77">
        <f>COUNTIF(Q!E60:'Q'!E104,"*Question Answered*")</f>
        <v>8</v>
      </c>
    </row>
    <row r="13" spans="1:9" x14ac:dyDescent="0.3">
      <c r="A13" s="23" t="s">
        <v>46</v>
      </c>
      <c r="B13" s="77">
        <f>COUNTIF(Q!E13:'Q'!E61,"*Question Answered*")</f>
        <v>6</v>
      </c>
      <c r="C13" s="77">
        <f>COUNTIF(Q!E61:'Q'!E105,"*Question Answered*")</f>
        <v>8</v>
      </c>
    </row>
    <row r="14" spans="1:9" x14ac:dyDescent="0.3">
      <c r="A14" s="23" t="s">
        <v>47</v>
      </c>
      <c r="B14" s="77">
        <f>COUNTIF(Q!E14:'Q'!E62,"*Question Answered*")</f>
        <v>7</v>
      </c>
      <c r="C14" s="77">
        <f>COUNTIF(Q!E62:'Q'!E106,"*Question Answered*")</f>
        <v>8</v>
      </c>
    </row>
    <row r="15" spans="1:9" x14ac:dyDescent="0.3">
      <c r="A15" s="23" t="s">
        <v>48</v>
      </c>
      <c r="B15" s="77">
        <f>COUNTIF(Q!E15:'Q'!E63,"*Question Answered*")</f>
        <v>7</v>
      </c>
      <c r="C15" s="77">
        <f>COUNTIF(Q!E63:'Q'!E107,"*Question Answered*")</f>
        <v>7</v>
      </c>
    </row>
    <row r="16" spans="1:9" x14ac:dyDescent="0.3">
      <c r="A16" s="23" t="s">
        <v>49</v>
      </c>
      <c r="B16" s="77">
        <f>COUNTIF(Q!E16:'Q'!E64,"*Question Answered*")</f>
        <v>7</v>
      </c>
      <c r="C16" s="77">
        <f>COUNTIF(Q!E64:'Q'!E108,"*Question Answered*")</f>
        <v>7</v>
      </c>
    </row>
    <row r="17" spans="1:3" x14ac:dyDescent="0.3">
      <c r="A17" s="23" t="s">
        <v>50</v>
      </c>
      <c r="B17" s="77">
        <f>COUNTIF(Q!E17:'Q'!E65,"*Question Answered*")</f>
        <v>7</v>
      </c>
      <c r="C17" s="77">
        <f>COUNTIF(Q!E65:'Q'!E109,"*Question Answered*")</f>
        <v>7</v>
      </c>
    </row>
    <row r="18" spans="1:3" x14ac:dyDescent="0.3">
      <c r="A18" s="23" t="s">
        <v>51</v>
      </c>
      <c r="B18" s="77">
        <f>COUNTIF(Q!E18:'Q'!E66,"*Question Answered*")</f>
        <v>8</v>
      </c>
      <c r="C18" s="77">
        <f>COUNTIF(Q!E66:'Q'!E110,"*Question Answered*")</f>
        <v>7</v>
      </c>
    </row>
    <row r="19" spans="1:3" x14ac:dyDescent="0.3">
      <c r="A19" s="23" t="s">
        <v>52</v>
      </c>
      <c r="B19" s="77">
        <f>COUNTIF(Q!E19:'Q'!E67,"*Question Answered*")</f>
        <v>8</v>
      </c>
      <c r="C19" s="77">
        <f>COUNTIF(Q!E67:'Q'!E111,"*Question Answered*")</f>
        <v>6</v>
      </c>
    </row>
    <row r="20" spans="1:3" x14ac:dyDescent="0.3">
      <c r="A20" s="23" t="s">
        <v>53</v>
      </c>
      <c r="B20" s="77">
        <f>COUNTIF(Q!E20:'Q'!E68,"*Question Answered*")</f>
        <v>8</v>
      </c>
      <c r="C20" s="77">
        <f>COUNTIF(Q!E68:'Q'!E112,"*Question Answered*")</f>
        <v>6</v>
      </c>
    </row>
    <row r="21" spans="1:3" x14ac:dyDescent="0.3">
      <c r="A21" s="23" t="s">
        <v>66</v>
      </c>
      <c r="B21" s="77">
        <f>COUNTIF(Q!E21:'Q'!E69,"*Question Answered*")</f>
        <v>8</v>
      </c>
      <c r="C21" s="77">
        <f>COUNTIF(Q!E69:'Q'!E113,"*Question Answered*")</f>
        <v>6</v>
      </c>
    </row>
    <row r="22" spans="1:3" x14ac:dyDescent="0.3">
      <c r="A22" s="23" t="s">
        <v>54</v>
      </c>
      <c r="B22" s="77">
        <f>COUNTIF(Q!E22:'Q'!E70,"*Question Answered*")</f>
        <v>8</v>
      </c>
      <c r="C22" s="77">
        <f>COUNTIF(Q!E70:'Q'!E114,"*Question Answered*")</f>
        <v>6</v>
      </c>
    </row>
    <row r="23" spans="1:3" x14ac:dyDescent="0.3">
      <c r="A23" s="23" t="s">
        <v>55</v>
      </c>
      <c r="B23" s="77">
        <f>COUNTIF(Q!E23:'Q'!E71,"*Question Answered*")</f>
        <v>8</v>
      </c>
      <c r="C23" s="77">
        <f>COUNTIF(Q!E71:'Q'!E115,"*Question Answered*")</f>
        <v>7</v>
      </c>
    </row>
    <row r="24" spans="1:3" x14ac:dyDescent="0.3">
      <c r="A24" s="23" t="s">
        <v>56</v>
      </c>
      <c r="B24" s="77">
        <f>COUNTIF(Q!E24:'Q'!E72,"*Question Answered*")</f>
        <v>8</v>
      </c>
      <c r="C24" s="77">
        <f>COUNTIF(Q!E72:'Q'!E116,"*Question Answered*")</f>
        <v>7</v>
      </c>
    </row>
    <row r="25" spans="1:3" x14ac:dyDescent="0.3">
      <c r="A25" s="23" t="s">
        <v>57</v>
      </c>
      <c r="B25" s="77">
        <f>COUNTIF(Q!E25:'Q'!E73,"*Question Answered*")</f>
        <v>8</v>
      </c>
      <c r="C25" s="77">
        <f>COUNTIF(Q!E73:'Q'!E117,"*Question Answered*")</f>
        <v>6</v>
      </c>
    </row>
    <row r="26" spans="1:3" x14ac:dyDescent="0.3">
      <c r="A26" s="23" t="s">
        <v>58</v>
      </c>
      <c r="B26" s="77">
        <f>COUNTIF(Q!E26:'Q'!E74,"*Question Answered*")</f>
        <v>8</v>
      </c>
      <c r="C26" s="77">
        <f>COUNTIF(Q!E74:'Q'!E118,"*Question Answered*")</f>
        <v>7</v>
      </c>
    </row>
    <row r="27" spans="1:3" x14ac:dyDescent="0.3">
      <c r="A27" s="23" t="s">
        <v>59</v>
      </c>
      <c r="B27" s="77">
        <f>COUNTIF(Q!E27:'Q'!E75,"*Question Answered*")</f>
        <v>7</v>
      </c>
      <c r="C27" s="77">
        <f>COUNTIF(Q!E75:'Q'!E119,"*Question Answered*")</f>
        <v>7</v>
      </c>
    </row>
    <row r="28" spans="1:3" x14ac:dyDescent="0.3">
      <c r="A28" s="23" t="s">
        <v>60</v>
      </c>
      <c r="B28" s="77">
        <f>COUNTIF(Q!E28:'Q'!E76,"*Question Answered*")</f>
        <v>8</v>
      </c>
      <c r="C28" s="77">
        <f>COUNTIF(Q!E76:'Q'!E120,"*Question Answered*")</f>
        <v>7</v>
      </c>
    </row>
    <row r="29" spans="1:3" x14ac:dyDescent="0.3">
      <c r="A29" s="23" t="s">
        <v>61</v>
      </c>
      <c r="B29" s="77">
        <f>COUNTIF(Q!E29:'Q'!E77,"*Question Answered*")</f>
        <v>8</v>
      </c>
      <c r="C29" s="77">
        <f>COUNTIF(Q!E77:'Q'!E121,"*Question Answered*")</f>
        <v>6</v>
      </c>
    </row>
    <row r="30" spans="1:3" x14ac:dyDescent="0.3">
      <c r="A30" s="23" t="s">
        <v>62</v>
      </c>
      <c r="B30" s="77">
        <f>COUNTIF(Q!E30:'Q'!E78,"*Question Answered*")</f>
        <v>8</v>
      </c>
      <c r="C30" s="77">
        <f>COUNTIF(Q!E78:'Q'!E122,"*Question Answered*")</f>
        <v>6</v>
      </c>
    </row>
    <row r="31" spans="1:3" x14ac:dyDescent="0.3">
      <c r="A31" s="23" t="s">
        <v>63</v>
      </c>
      <c r="B31" s="77">
        <f>COUNTIF(Q!E31:'Q'!E79,"*Question Answered*")</f>
        <v>9</v>
      </c>
      <c r="C31" s="77">
        <f>COUNTIF(Q!E79:'Q'!E123,"*Question Answered*")</f>
        <v>7</v>
      </c>
    </row>
    <row r="32" spans="1:3" x14ac:dyDescent="0.3">
      <c r="A32" s="23" t="s">
        <v>65</v>
      </c>
      <c r="B32" s="77">
        <f>COUNTIF(Q!E32:'Q'!E80,"*Question Answered*")</f>
        <v>9</v>
      </c>
      <c r="C32" s="77">
        <f>COUNTIF(Q!E80:'Q'!E124,"*Question Answered*")</f>
        <v>6</v>
      </c>
    </row>
    <row r="33" spans="1:3" x14ac:dyDescent="0.3">
      <c r="A33" s="23" t="s">
        <v>64</v>
      </c>
      <c r="B33" s="77">
        <f>COUNTIF(Q!E33:'Q'!E81,"*Question Answered*")</f>
        <v>8</v>
      </c>
      <c r="C33" s="77">
        <f>COUNTIF(Q!E81:'Q'!E125,"*Question Answered*")</f>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core_2</vt:lpstr>
      <vt:lpstr>pattern_abnormal</vt:lpstr>
      <vt:lpstr>pattern_normal</vt:lpstr>
      <vt:lpstr>pattern_main</vt:lpstr>
      <vt:lpstr>questionnair</vt:lpstr>
      <vt:lpstr>core</vt:lpstr>
      <vt:lpstr>info</vt:lpstr>
      <vt:lpstr>TA_NQY</vt:lpstr>
      <vt:lpstr>TA_NQO</vt:lpstr>
      <vt:lpstr>TA_QY</vt:lpstr>
      <vt:lpstr>TA_QO</vt:lpstr>
      <vt:lpstr>TA</vt:lpstr>
      <vt:lpstr>order</vt:lpstr>
      <vt:lpstr>No Q</vt:lpstr>
      <vt:lpstr>Q</vt:lpstr>
      <vt:lpstr>Data on 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Athena</dc:creator>
  <cp:lastModifiedBy>Safari Dehnavi, Zahra</cp:lastModifiedBy>
  <dcterms:created xsi:type="dcterms:W3CDTF">2015-06-05T18:19:34Z</dcterms:created>
  <dcterms:modified xsi:type="dcterms:W3CDTF">2025-09-26T15:17:35Z</dcterms:modified>
</cp:coreProperties>
</file>