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Experiment\results\"/>
    </mc:Choice>
  </mc:AlternateContent>
  <xr:revisionPtr revIDLastSave="0" documentId="13_ncr:1_{4700C9DD-078C-4641-AD16-B507F93474F5}" xr6:coauthVersionLast="47" xr6:coauthVersionMax="47" xr10:uidLastSave="{00000000-0000-0000-0000-000000000000}"/>
  <bookViews>
    <workbookView xWindow="57465" yWindow="-105" windowWidth="29070" windowHeight="17550" xr2:uid="{00000000-000D-0000-FFFF-FFFF00000000}"/>
  </bookViews>
  <sheets>
    <sheet name="Tabelle1" sheetId="1" r:id="rId1"/>
  </sheets>
  <definedNames>
    <definedName name="_xlchart.v1.0" hidden="1">Tabelle1!$N$1</definedName>
    <definedName name="_xlchart.v1.1" hidden="1">Tabelle1!$N$2:$N$28</definedName>
    <definedName name="_xlchart.v1.10" hidden="1">Tabelle1!$K$1</definedName>
    <definedName name="_xlchart.v1.11" hidden="1">Tabelle1!$K$2:$K$28</definedName>
    <definedName name="_xlchart.v1.12" hidden="1">Tabelle1!$L$1</definedName>
    <definedName name="_xlchart.v1.13" hidden="1">Tabelle1!$L$2:$L$28</definedName>
    <definedName name="_xlchart.v1.14" hidden="1">Tabelle1!$M$1</definedName>
    <definedName name="_xlchart.v1.15" hidden="1">Tabelle1!$M$2:$M$28</definedName>
    <definedName name="_xlchart.v1.2" hidden="1">Tabelle1!$O$1</definedName>
    <definedName name="_xlchart.v1.3" hidden="1">Tabelle1!$O$2:$O$28</definedName>
    <definedName name="_xlchart.v1.4" hidden="1">Tabelle1!$N$1</definedName>
    <definedName name="_xlchart.v1.5" hidden="1">Tabelle1!$N$2:$N$28</definedName>
    <definedName name="_xlchart.v1.6" hidden="1">Tabelle1!$O$1</definedName>
    <definedName name="_xlchart.v1.7" hidden="1">Tabelle1!$O$2:$O$28</definedName>
    <definedName name="_xlchart.v1.8" hidden="1">Tabelle1!$J$1</definedName>
    <definedName name="_xlchart.v1.9" hidden="1">Tabelle1!$J$2:$J$28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C31" i="1"/>
  <c r="C30" i="1"/>
</calcChain>
</file>

<file path=xl/sharedStrings.xml><?xml version="1.0" encoding="utf-8"?>
<sst xmlns="http://schemas.openxmlformats.org/spreadsheetml/2006/main" count="70" uniqueCount="70">
  <si>
    <t>Timestamp</t>
  </si>
  <si>
    <t>Participant ID:</t>
  </si>
  <si>
    <t>Self assesment_Mean</t>
  </si>
  <si>
    <t>Self Assesment_sum</t>
  </si>
  <si>
    <t>Sum( reversed negative values)</t>
  </si>
  <si>
    <t>Personal positive</t>
  </si>
  <si>
    <t>Personal negative</t>
  </si>
  <si>
    <t>Social Posiitve</t>
  </si>
  <si>
    <t>Social negative</t>
  </si>
  <si>
    <t>TA Time_NQ</t>
  </si>
  <si>
    <t>TA Time_q</t>
  </si>
  <si>
    <t>Assembly time_No question</t>
  </si>
  <si>
    <t>Assembly time_ question</t>
  </si>
  <si>
    <t>Robot N_task_No question</t>
  </si>
  <si>
    <t>Robot N_task_ question</t>
  </si>
  <si>
    <t>Mental_NQ</t>
  </si>
  <si>
    <t>Mental_Q</t>
  </si>
  <si>
    <t>Physical_NQ</t>
  </si>
  <si>
    <t>Physical_Q</t>
  </si>
  <si>
    <t>Temporal_NQ</t>
  </si>
  <si>
    <t>Temporal_Q</t>
  </si>
  <si>
    <t>Performance_NQ</t>
  </si>
  <si>
    <t>Performance_Q</t>
  </si>
  <si>
    <t>Effort_NQ</t>
  </si>
  <si>
    <t>Effort_Q</t>
  </si>
  <si>
    <t>Frustration_NQ</t>
  </si>
  <si>
    <t>Frustration_Q</t>
  </si>
  <si>
    <t>Satisfaction_NQ</t>
  </si>
  <si>
    <t>Satisfaction_Q</t>
  </si>
  <si>
    <t>Fairness_NQ</t>
  </si>
  <si>
    <t>Fairness_Q</t>
  </si>
  <si>
    <t>Efficency_NQ</t>
  </si>
  <si>
    <t>Efficency_Q</t>
  </si>
  <si>
    <t>TA_Satis_NQ</t>
  </si>
  <si>
    <t>TA_Satis_Q</t>
  </si>
  <si>
    <t>Willingness_NQ</t>
  </si>
  <si>
    <t>Willingness_Q</t>
  </si>
  <si>
    <t>TA_Difficulty_NQ</t>
  </si>
  <si>
    <t>TA_Difficulty_Q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</si>
  <si>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</si>
  <si>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</si>
  <si>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</si>
  <si>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</si>
  <si>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</si>
  <si>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</si>
  <si>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</si>
  <si>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</si>
  <si>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</si>
  <si>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</si>
  <si>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</si>
  <si>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</si>
  <si>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</si>
  <si>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</si>
  <si>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</si>
  <si>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</si>
  <si>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</si>
  <si>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</si>
  <si>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</si>
  <si>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</si>
  <si>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</si>
  <si>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</si>
  <si>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</si>
  <si>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</si>
  <si>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</si>
  <si>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</si>
  <si>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</si>
  <si>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average:</t>
  </si>
  <si>
    <t>SD:</t>
  </si>
  <si>
    <t>38 Task steps</t>
  </si>
  <si>
    <t>5-6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</si>
</sst>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D97F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9C5E1"/>
        <bgColor indexed="64"/>
      </patternFill>
    </fill>
    <fill>
      <patternFill patternType="solid">
        <fgColor rgb="FFE5DA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ACEE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medium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medium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164" fontId="1" fillId="18" borderId="4" xfId="0" applyNumberFormat="1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0" fontId="3" fillId="1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  <cx:data id="3">
      <cx:numDim type="val">
        <cx:f>_xlchart.v1.15</cx:f>
      </cx:numDim>
    </cx:data>
  </cx:chartData>
  <cx:chart>
    <cx:title pos="t" align="ctr" overlay="0">
      <cx:tx>
        <cx:txData>
          <cx:v>Time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Time</a:t>
          </a:r>
        </a:p>
      </cx:txPr>
    </cx:title>
    <cx:plotArea>
      <cx:plotAreaRegion>
        <cx:series layoutId="boxWhisker" uniqueId="{F1602593-2199-4F26-8D1D-7C477135E140}">
          <cx:tx>
            <cx:txData>
              <cx:f>_xlchart.v1.8</cx:f>
              <cx:v>TA Time_NQ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7A94A98-A7F2-4CEC-B4E8-69D363F1E431}">
          <cx:tx>
            <cx:txData>
              <cx:f>_xlchart.v1.10</cx:f>
              <cx:v>TA Time_q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01D213C-648F-40A1-BD11-6931D556377E}">
          <cx:tx>
            <cx:txData>
              <cx:f>_xlchart.v1.12</cx:f>
              <cx:v>Assembly time_No question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1E0B63D-F4E3-4866-A97E-647FCE8496A0}">
          <cx:tx>
            <cx:txData>
              <cx:f>_xlchart.v1.14</cx:f>
              <cx:v>Assembly time_ question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9C69772E-52CD-4DDA-9582-E4D568A33233}">
          <cx:tx>
            <cx:txData>
              <cx:f>_xlchart.v1.0</cx:f>
              <cx:v>Robot N_task_No question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D4B9EA1-719B-437B-92AD-357B3D2FDBA9}">
          <cx:tx>
            <cx:txData>
              <cx:f>_xlchart.v1.2</cx:f>
              <cx:v>Robot N_task_ question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34</xdr:row>
      <xdr:rowOff>16192</xdr:rowOff>
    </xdr:from>
    <xdr:to>
      <xdr:col>16</xdr:col>
      <xdr:colOff>552450</xdr:colOff>
      <xdr:row>49</xdr:row>
      <xdr:rowOff>40957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62FCD1A-A4FE-7709-7886-7FD3814ECC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4675" y="7026592"/>
              <a:ext cx="4572000" cy="2739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525780</xdr:colOff>
      <xdr:row>31</xdr:row>
      <xdr:rowOff>118110</xdr:rowOff>
    </xdr:from>
    <xdr:to>
      <xdr:col>24</xdr:col>
      <xdr:colOff>220980</xdr:colOff>
      <xdr:row>46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BCA99C3-C2F5-53BF-B2B2-83AAA0E70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68100" y="6633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3"/>
  <sheetViews>
    <sheetView tabSelected="1" topLeftCell="B1" workbookViewId="0">
      <selection activeCell="L30" sqref="L30"/>
    </sheetView>
  </sheetViews>
  <sheetFormatPr defaultRowHeight="14.4" x14ac:dyDescent="0.3"/>
  <cols>
    <col min="1" max="1" width="26.21875" customWidth="1"/>
  </cols>
  <sheetData>
    <row r="1" spans="1:39" ht="78.599999999999994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4" t="s">
        <v>18</v>
      </c>
      <c r="T1" s="15" t="s">
        <v>19</v>
      </c>
      <c r="U1" s="16" t="s">
        <v>20</v>
      </c>
      <c r="V1" s="11" t="s">
        <v>21</v>
      </c>
      <c r="W1" s="12" t="s">
        <v>22</v>
      </c>
      <c r="X1" s="13" t="s">
        <v>23</v>
      </c>
      <c r="Y1" s="14" t="s">
        <v>24</v>
      </c>
      <c r="Z1" s="15" t="s">
        <v>25</v>
      </c>
      <c r="AA1" s="16" t="s">
        <v>26</v>
      </c>
      <c r="AB1" s="11" t="s">
        <v>27</v>
      </c>
      <c r="AC1" s="12" t="s">
        <v>28</v>
      </c>
      <c r="AD1" s="13" t="s">
        <v>29</v>
      </c>
      <c r="AE1" s="14" t="s">
        <v>30</v>
      </c>
      <c r="AF1" s="15" t="s">
        <v>31</v>
      </c>
      <c r="AG1" s="16" t="s">
        <v>32</v>
      </c>
      <c r="AH1" s="11" t="s">
        <v>33</v>
      </c>
      <c r="AI1" s="12" t="s">
        <v>34</v>
      </c>
      <c r="AJ1" s="13" t="s">
        <v>35</v>
      </c>
      <c r="AK1" s="14" t="s">
        <v>36</v>
      </c>
      <c r="AL1" s="15" t="s">
        <v>37</v>
      </c>
      <c r="AM1" s="16" t="s">
        <v>38</v>
      </c>
    </row>
    <row r="2" spans="1:39" x14ac:dyDescent="0.3">
      <c r="A2" s="29">
        <v>45910.691854594908</v>
      </c>
      <c r="B2" s="30" t="s">
        <v>39</v>
      </c>
      <c r="C2" s="31">
        <v>3.2</v>
      </c>
      <c r="D2" s="31">
        <v>32</v>
      </c>
      <c r="E2" s="31">
        <v>63</v>
      </c>
      <c r="F2" s="31">
        <v>25</v>
      </c>
      <c r="G2" s="31">
        <v>5</v>
      </c>
      <c r="H2" s="31">
        <v>24</v>
      </c>
      <c r="I2" s="31">
        <v>21</v>
      </c>
      <c r="J2" s="17">
        <v>280.00000000000222</v>
      </c>
      <c r="K2" s="18">
        <v>470.00000000000955</v>
      </c>
      <c r="L2" s="19">
        <v>268.99999999998772</v>
      </c>
      <c r="M2" s="20">
        <v>375.99999999999801</v>
      </c>
      <c r="N2" s="21">
        <v>15</v>
      </c>
      <c r="O2" s="22">
        <v>22</v>
      </c>
      <c r="P2" s="23">
        <v>2</v>
      </c>
      <c r="Q2" s="24">
        <v>4</v>
      </c>
      <c r="R2" s="25">
        <v>5</v>
      </c>
      <c r="S2" s="26">
        <v>3</v>
      </c>
      <c r="T2" s="27">
        <v>5</v>
      </c>
      <c r="U2" s="28">
        <v>3</v>
      </c>
      <c r="V2" s="23">
        <v>10</v>
      </c>
      <c r="W2" s="24">
        <v>10</v>
      </c>
      <c r="X2" s="25">
        <v>6</v>
      </c>
      <c r="Y2" s="26">
        <v>2</v>
      </c>
      <c r="Z2" s="27">
        <v>1</v>
      </c>
      <c r="AA2" s="28">
        <v>1</v>
      </c>
      <c r="AB2" s="23">
        <v>10</v>
      </c>
      <c r="AC2" s="24">
        <v>10</v>
      </c>
      <c r="AD2" s="25">
        <v>10</v>
      </c>
      <c r="AE2" s="26">
        <v>10</v>
      </c>
      <c r="AF2" s="27">
        <v>10</v>
      </c>
      <c r="AG2" s="28">
        <v>7</v>
      </c>
      <c r="AH2" s="23">
        <v>7</v>
      </c>
      <c r="AI2" s="24">
        <v>10</v>
      </c>
      <c r="AJ2" s="25">
        <v>10</v>
      </c>
      <c r="AK2" s="26">
        <v>10</v>
      </c>
      <c r="AL2" s="27">
        <v>3</v>
      </c>
      <c r="AM2" s="28">
        <v>3</v>
      </c>
    </row>
    <row r="3" spans="1:39" x14ac:dyDescent="0.3">
      <c r="A3" s="29">
        <v>45909.444653206017</v>
      </c>
      <c r="B3" s="30" t="s">
        <v>40</v>
      </c>
      <c r="C3" s="31">
        <v>3.9</v>
      </c>
      <c r="D3" s="31">
        <v>39</v>
      </c>
      <c r="E3" s="31">
        <v>64</v>
      </c>
      <c r="F3" s="31">
        <v>20</v>
      </c>
      <c r="G3" s="31">
        <v>17</v>
      </c>
      <c r="H3" s="31">
        <v>21</v>
      </c>
      <c r="I3" s="31">
        <v>17</v>
      </c>
      <c r="J3" s="17">
        <v>108.99999999999946</v>
      </c>
      <c r="K3" s="18">
        <v>126.00000000000051</v>
      </c>
      <c r="L3" s="19">
        <v>346.99999999999511</v>
      </c>
      <c r="M3" s="20">
        <v>581.00000000000296</v>
      </c>
      <c r="N3" s="21">
        <v>19</v>
      </c>
      <c r="O3" s="22">
        <v>21</v>
      </c>
      <c r="P3" s="23">
        <v>4</v>
      </c>
      <c r="Q3" s="24">
        <v>10</v>
      </c>
      <c r="R3" s="25">
        <v>7</v>
      </c>
      <c r="S3" s="26">
        <v>9</v>
      </c>
      <c r="T3" s="27">
        <v>6</v>
      </c>
      <c r="U3" s="28">
        <v>8</v>
      </c>
      <c r="V3" s="23">
        <v>10</v>
      </c>
      <c r="W3" s="24">
        <v>10</v>
      </c>
      <c r="X3" s="25">
        <v>7</v>
      </c>
      <c r="Y3" s="26">
        <v>9</v>
      </c>
      <c r="Z3" s="27">
        <v>6</v>
      </c>
      <c r="AA3" s="28">
        <v>9</v>
      </c>
      <c r="AB3" s="23">
        <v>10</v>
      </c>
      <c r="AC3" s="24">
        <v>9</v>
      </c>
      <c r="AD3" s="25">
        <v>10</v>
      </c>
      <c r="AE3" s="26">
        <v>8</v>
      </c>
      <c r="AF3" s="27">
        <v>9</v>
      </c>
      <c r="AG3" s="28">
        <v>9</v>
      </c>
      <c r="AH3" s="23">
        <v>9</v>
      </c>
      <c r="AI3" s="24">
        <v>9</v>
      </c>
      <c r="AJ3" s="25">
        <v>10</v>
      </c>
      <c r="AK3" s="26">
        <v>10</v>
      </c>
      <c r="AL3" s="27">
        <v>4</v>
      </c>
      <c r="AM3" s="28">
        <v>10</v>
      </c>
    </row>
    <row r="4" spans="1:39" x14ac:dyDescent="0.3">
      <c r="A4" s="29">
        <v>45909.490350810185</v>
      </c>
      <c r="B4" s="30" t="s">
        <v>41</v>
      </c>
      <c r="C4" s="31">
        <v>3</v>
      </c>
      <c r="D4" s="31">
        <v>30</v>
      </c>
      <c r="E4" s="31">
        <v>62</v>
      </c>
      <c r="F4" s="31">
        <v>8</v>
      </c>
      <c r="G4" s="31">
        <v>7</v>
      </c>
      <c r="H4" s="31">
        <v>23</v>
      </c>
      <c r="I4" s="31">
        <v>21</v>
      </c>
      <c r="J4" s="17">
        <v>124.00000000000179</v>
      </c>
      <c r="K4" s="18">
        <v>209.99999999999446</v>
      </c>
      <c r="L4" s="19">
        <v>340.99999999999898</v>
      </c>
      <c r="M4" s="20">
        <v>301.00000000000546</v>
      </c>
      <c r="N4" s="21">
        <v>20</v>
      </c>
      <c r="O4" s="22">
        <v>19</v>
      </c>
      <c r="P4" s="23">
        <v>1</v>
      </c>
      <c r="Q4" s="24">
        <v>6</v>
      </c>
      <c r="R4" s="25">
        <v>2</v>
      </c>
      <c r="S4" s="26">
        <v>3</v>
      </c>
      <c r="T4" s="27">
        <v>3</v>
      </c>
      <c r="U4" s="28">
        <v>7</v>
      </c>
      <c r="V4" s="23">
        <v>10</v>
      </c>
      <c r="W4" s="24">
        <v>9</v>
      </c>
      <c r="X4" s="25">
        <v>2</v>
      </c>
      <c r="Y4" s="26">
        <v>8</v>
      </c>
      <c r="Z4" s="27">
        <v>1</v>
      </c>
      <c r="AA4" s="28">
        <v>6</v>
      </c>
      <c r="AB4" s="23">
        <v>10</v>
      </c>
      <c r="AC4" s="24">
        <v>9</v>
      </c>
      <c r="AD4" s="25">
        <v>10</v>
      </c>
      <c r="AE4" s="26">
        <v>9</v>
      </c>
      <c r="AF4" s="27">
        <v>10</v>
      </c>
      <c r="AG4" s="28">
        <v>8</v>
      </c>
      <c r="AH4" s="23">
        <v>10</v>
      </c>
      <c r="AI4" s="24">
        <v>9</v>
      </c>
      <c r="AJ4" s="25">
        <v>10</v>
      </c>
      <c r="AK4" s="26">
        <v>10</v>
      </c>
      <c r="AL4" s="27">
        <v>2</v>
      </c>
      <c r="AM4" s="28">
        <v>3</v>
      </c>
    </row>
    <row r="5" spans="1:39" x14ac:dyDescent="0.3">
      <c r="A5" s="29">
        <v>45909.571112488426</v>
      </c>
      <c r="B5" s="30" t="s">
        <v>42</v>
      </c>
      <c r="C5" s="31">
        <v>3.4</v>
      </c>
      <c r="D5" s="31">
        <v>34</v>
      </c>
      <c r="E5" s="31">
        <v>73</v>
      </c>
      <c r="F5" s="31">
        <v>15</v>
      </c>
      <c r="G5" s="31">
        <v>6</v>
      </c>
      <c r="H5" s="31">
        <v>24</v>
      </c>
      <c r="I5" s="31">
        <v>11</v>
      </c>
      <c r="J5" s="17">
        <v>570.99999999999977</v>
      </c>
      <c r="K5" s="18">
        <v>123.999999999997</v>
      </c>
      <c r="L5" s="19">
        <v>264.99999999999989</v>
      </c>
      <c r="M5" s="20">
        <v>300.00000000000853</v>
      </c>
      <c r="N5" s="21">
        <v>14</v>
      </c>
      <c r="O5" s="22">
        <v>14</v>
      </c>
      <c r="P5" s="23">
        <v>3</v>
      </c>
      <c r="Q5" s="24">
        <v>9</v>
      </c>
      <c r="R5" s="25">
        <v>6</v>
      </c>
      <c r="S5" s="26">
        <v>7</v>
      </c>
      <c r="T5" s="27">
        <v>8</v>
      </c>
      <c r="U5" s="28">
        <v>9</v>
      </c>
      <c r="V5" s="23">
        <v>4</v>
      </c>
      <c r="W5" s="24">
        <v>10</v>
      </c>
      <c r="X5" s="25">
        <v>4</v>
      </c>
      <c r="Y5" s="26">
        <v>7</v>
      </c>
      <c r="Z5" s="27">
        <v>7</v>
      </c>
      <c r="AA5" s="28">
        <v>5</v>
      </c>
      <c r="AB5" s="23">
        <v>8</v>
      </c>
      <c r="AC5" s="24">
        <v>10</v>
      </c>
      <c r="AD5" s="25">
        <v>8</v>
      </c>
      <c r="AE5" s="26">
        <v>10</v>
      </c>
      <c r="AF5" s="27">
        <v>6</v>
      </c>
      <c r="AG5" s="28">
        <v>10</v>
      </c>
      <c r="AH5" s="23">
        <v>3</v>
      </c>
      <c r="AI5" s="24">
        <v>10</v>
      </c>
      <c r="AJ5" s="25">
        <v>10</v>
      </c>
      <c r="AK5" s="26">
        <v>10</v>
      </c>
      <c r="AL5" s="27">
        <v>4</v>
      </c>
      <c r="AM5" s="28">
        <v>5</v>
      </c>
    </row>
    <row r="6" spans="1:39" x14ac:dyDescent="0.3">
      <c r="A6" s="29">
        <v>45909.613403391202</v>
      </c>
      <c r="B6" s="30" t="s">
        <v>43</v>
      </c>
      <c r="C6" s="31">
        <v>3.2</v>
      </c>
      <c r="D6" s="31">
        <v>32</v>
      </c>
      <c r="E6" s="31">
        <v>73</v>
      </c>
      <c r="F6" s="31">
        <v>21</v>
      </c>
      <c r="G6" s="31">
        <v>8</v>
      </c>
      <c r="H6" s="31">
        <v>24</v>
      </c>
      <c r="I6" s="31">
        <v>11</v>
      </c>
      <c r="J6" s="17">
        <v>249.00000000001015</v>
      </c>
      <c r="K6" s="18">
        <v>138.99999999998977</v>
      </c>
      <c r="L6" s="19">
        <v>310.99999999999426</v>
      </c>
      <c r="M6" s="20">
        <v>374.00000000000409</v>
      </c>
      <c r="N6" s="21">
        <v>19</v>
      </c>
      <c r="O6" s="22">
        <v>22</v>
      </c>
      <c r="P6" s="23">
        <v>2</v>
      </c>
      <c r="Q6" s="24">
        <v>5</v>
      </c>
      <c r="R6" s="25">
        <v>2</v>
      </c>
      <c r="S6" s="26">
        <v>3</v>
      </c>
      <c r="T6" s="27">
        <v>2</v>
      </c>
      <c r="U6" s="28">
        <v>4</v>
      </c>
      <c r="V6" s="23">
        <v>8</v>
      </c>
      <c r="W6" s="24">
        <v>7</v>
      </c>
      <c r="X6" s="25">
        <v>3</v>
      </c>
      <c r="Y6" s="26">
        <v>4</v>
      </c>
      <c r="Z6" s="27">
        <v>1</v>
      </c>
      <c r="AA6" s="28">
        <v>1</v>
      </c>
      <c r="AB6" s="23">
        <v>9</v>
      </c>
      <c r="AC6" s="24">
        <v>9</v>
      </c>
      <c r="AD6" s="25">
        <v>6</v>
      </c>
      <c r="AE6" s="26">
        <v>8</v>
      </c>
      <c r="AF6" s="27">
        <v>4</v>
      </c>
      <c r="AG6" s="28">
        <v>8</v>
      </c>
      <c r="AH6" s="23">
        <v>7</v>
      </c>
      <c r="AI6" s="24">
        <v>8</v>
      </c>
      <c r="AJ6" s="25">
        <v>10</v>
      </c>
      <c r="AK6" s="26">
        <v>8</v>
      </c>
      <c r="AL6" s="27">
        <v>4</v>
      </c>
      <c r="AM6" s="28">
        <v>3</v>
      </c>
    </row>
    <row r="7" spans="1:39" x14ac:dyDescent="0.3">
      <c r="A7" s="29">
        <v>45909.662530416666</v>
      </c>
      <c r="B7" s="30" t="s">
        <v>44</v>
      </c>
      <c r="C7" s="31">
        <v>2.9</v>
      </c>
      <c r="D7" s="31">
        <v>29</v>
      </c>
      <c r="E7" s="31">
        <v>70</v>
      </c>
      <c r="F7" s="31">
        <v>22</v>
      </c>
      <c r="G7" s="31">
        <v>8</v>
      </c>
      <c r="H7" s="31">
        <v>24</v>
      </c>
      <c r="I7" s="31">
        <v>14</v>
      </c>
      <c r="J7" s="17">
        <v>127.00000000000706</v>
      </c>
      <c r="K7" s="18">
        <v>170.99999999999795</v>
      </c>
      <c r="L7" s="19">
        <v>243.99999999999656</v>
      </c>
      <c r="M7" s="20">
        <v>668.00000000000205</v>
      </c>
      <c r="N7" s="21">
        <v>10</v>
      </c>
      <c r="O7" s="22">
        <v>17</v>
      </c>
      <c r="P7" s="23">
        <v>3</v>
      </c>
      <c r="Q7" s="24">
        <v>7</v>
      </c>
      <c r="R7" s="25">
        <v>6</v>
      </c>
      <c r="S7" s="26">
        <v>4</v>
      </c>
      <c r="T7" s="27">
        <v>6</v>
      </c>
      <c r="U7" s="28">
        <v>5</v>
      </c>
      <c r="V7" s="23">
        <v>10</v>
      </c>
      <c r="W7" s="24">
        <v>6</v>
      </c>
      <c r="X7" s="25">
        <v>6</v>
      </c>
      <c r="Y7" s="26">
        <v>6</v>
      </c>
      <c r="Z7" s="27">
        <v>3</v>
      </c>
      <c r="AA7" s="28">
        <v>5</v>
      </c>
      <c r="AB7" s="23">
        <v>9</v>
      </c>
      <c r="AC7" s="24">
        <v>7</v>
      </c>
      <c r="AD7" s="25">
        <v>10</v>
      </c>
      <c r="AE7" s="26">
        <v>10</v>
      </c>
      <c r="AF7" s="27">
        <v>8</v>
      </c>
      <c r="AG7" s="28">
        <v>7</v>
      </c>
      <c r="AH7" s="23">
        <v>8</v>
      </c>
      <c r="AI7" s="24">
        <v>6</v>
      </c>
      <c r="AJ7" s="25">
        <v>10</v>
      </c>
      <c r="AK7" s="26">
        <v>10</v>
      </c>
      <c r="AL7" s="27">
        <v>6</v>
      </c>
      <c r="AM7" s="28">
        <v>7</v>
      </c>
    </row>
    <row r="8" spans="1:39" x14ac:dyDescent="0.3">
      <c r="A8" s="29">
        <v>45909.707308969912</v>
      </c>
      <c r="B8" s="30" t="s">
        <v>45</v>
      </c>
      <c r="C8" s="31">
        <v>3</v>
      </c>
      <c r="D8" s="31">
        <v>30</v>
      </c>
      <c r="E8" s="31">
        <v>69</v>
      </c>
      <c r="F8" s="31">
        <v>19</v>
      </c>
      <c r="G8" s="31">
        <v>7</v>
      </c>
      <c r="H8" s="31">
        <v>24</v>
      </c>
      <c r="I8" s="31">
        <v>15</v>
      </c>
      <c r="J8" s="17">
        <v>137.00000000000543</v>
      </c>
      <c r="K8" s="18">
        <v>509.99999999999341</v>
      </c>
      <c r="L8" s="19">
        <v>304.99999999999329</v>
      </c>
      <c r="M8" s="20">
        <v>433.00000000000693</v>
      </c>
      <c r="N8" s="21">
        <v>15</v>
      </c>
      <c r="O8" s="22">
        <v>19</v>
      </c>
      <c r="P8" s="23">
        <v>1</v>
      </c>
      <c r="Q8" s="24">
        <v>6</v>
      </c>
      <c r="R8" s="25">
        <v>5</v>
      </c>
      <c r="S8" s="26">
        <v>6</v>
      </c>
      <c r="T8" s="27">
        <v>2</v>
      </c>
      <c r="U8" s="28">
        <v>8</v>
      </c>
      <c r="V8" s="23">
        <v>10</v>
      </c>
      <c r="W8" s="24">
        <v>9</v>
      </c>
      <c r="X8" s="25">
        <v>6</v>
      </c>
      <c r="Y8" s="26">
        <v>7</v>
      </c>
      <c r="Z8" s="27">
        <v>2</v>
      </c>
      <c r="AA8" s="28">
        <v>5</v>
      </c>
      <c r="AB8" s="23">
        <v>9</v>
      </c>
      <c r="AC8" s="24">
        <v>8</v>
      </c>
      <c r="AD8" s="25">
        <v>8</v>
      </c>
      <c r="AE8" s="26">
        <v>7</v>
      </c>
      <c r="AF8" s="27">
        <v>8</v>
      </c>
      <c r="AG8" s="28">
        <v>4</v>
      </c>
      <c r="AH8" s="23">
        <v>8</v>
      </c>
      <c r="AI8" s="24">
        <v>6</v>
      </c>
      <c r="AJ8" s="25">
        <v>10</v>
      </c>
      <c r="AK8" s="26">
        <v>10</v>
      </c>
      <c r="AL8" s="27">
        <v>8</v>
      </c>
      <c r="AM8" s="28">
        <v>8</v>
      </c>
    </row>
    <row r="9" spans="1:39" x14ac:dyDescent="0.3">
      <c r="A9" s="29">
        <v>45909.751557291667</v>
      </c>
      <c r="B9" s="30" t="s">
        <v>46</v>
      </c>
      <c r="C9" s="31">
        <v>2.8</v>
      </c>
      <c r="D9" s="31">
        <v>28</v>
      </c>
      <c r="E9" s="31">
        <v>65</v>
      </c>
      <c r="F9" s="31">
        <v>21</v>
      </c>
      <c r="G9" s="31">
        <v>8</v>
      </c>
      <c r="H9" s="31">
        <v>22</v>
      </c>
      <c r="I9" s="31">
        <v>17</v>
      </c>
      <c r="J9" s="17">
        <v>724.99999999999181</v>
      </c>
      <c r="K9" s="18">
        <v>262.99999999999636</v>
      </c>
      <c r="L9" s="19">
        <v>343.00000000000244</v>
      </c>
      <c r="M9" s="20">
        <v>387.00000000000296</v>
      </c>
      <c r="N9" s="21">
        <v>20</v>
      </c>
      <c r="O9" s="22">
        <v>20</v>
      </c>
      <c r="P9" s="23">
        <v>2</v>
      </c>
      <c r="Q9" s="24">
        <v>5</v>
      </c>
      <c r="R9" s="25">
        <v>3</v>
      </c>
      <c r="S9" s="26">
        <v>3</v>
      </c>
      <c r="T9" s="27">
        <v>3</v>
      </c>
      <c r="U9" s="28">
        <v>5</v>
      </c>
      <c r="V9" s="23">
        <v>9</v>
      </c>
      <c r="W9" s="24">
        <v>10</v>
      </c>
      <c r="X9" s="25">
        <v>3</v>
      </c>
      <c r="Y9" s="26">
        <v>6</v>
      </c>
      <c r="Z9" s="27">
        <v>1</v>
      </c>
      <c r="AA9" s="28">
        <v>1</v>
      </c>
      <c r="AB9" s="23">
        <v>10</v>
      </c>
      <c r="AC9" s="24">
        <v>10</v>
      </c>
      <c r="AD9" s="25">
        <v>10</v>
      </c>
      <c r="AE9" s="26">
        <v>10</v>
      </c>
      <c r="AF9" s="27">
        <v>10</v>
      </c>
      <c r="AG9" s="28">
        <v>9</v>
      </c>
      <c r="AH9" s="23">
        <v>10</v>
      </c>
      <c r="AI9" s="24">
        <v>10</v>
      </c>
      <c r="AJ9" s="25">
        <v>10</v>
      </c>
      <c r="AK9" s="26">
        <v>10</v>
      </c>
      <c r="AL9" s="27">
        <v>4</v>
      </c>
      <c r="AM9" s="28">
        <v>7</v>
      </c>
    </row>
    <row r="10" spans="1:39" x14ac:dyDescent="0.3">
      <c r="A10" s="29">
        <v>45910.584917060187</v>
      </c>
      <c r="B10" s="30" t="s">
        <v>47</v>
      </c>
      <c r="C10" s="31">
        <v>3.6</v>
      </c>
      <c r="D10" s="31">
        <v>36</v>
      </c>
      <c r="E10" s="31">
        <v>78</v>
      </c>
      <c r="F10" s="31">
        <v>21</v>
      </c>
      <c r="G10" s="31">
        <v>9</v>
      </c>
      <c r="H10" s="31">
        <v>25</v>
      </c>
      <c r="I10" s="31">
        <v>7</v>
      </c>
      <c r="J10" s="17">
        <v>407.00000000000927</v>
      </c>
      <c r="K10" s="18">
        <v>624.00000000000159</v>
      </c>
      <c r="L10" s="19">
        <v>249.99999999999753</v>
      </c>
      <c r="M10" s="20">
        <v>356.00000000000131</v>
      </c>
      <c r="N10" s="21">
        <v>13</v>
      </c>
      <c r="O10" s="22">
        <v>19</v>
      </c>
      <c r="P10" s="23">
        <v>5</v>
      </c>
      <c r="Q10" s="24">
        <v>8</v>
      </c>
      <c r="R10" s="25">
        <v>5</v>
      </c>
      <c r="S10" s="26">
        <v>4</v>
      </c>
      <c r="T10" s="27">
        <v>6</v>
      </c>
      <c r="U10" s="28">
        <v>8</v>
      </c>
      <c r="V10" s="23">
        <v>9</v>
      </c>
      <c r="W10" s="24">
        <v>9</v>
      </c>
      <c r="X10" s="25">
        <v>5</v>
      </c>
      <c r="Y10" s="26">
        <v>7</v>
      </c>
      <c r="Z10" s="27">
        <v>2</v>
      </c>
      <c r="AA10" s="28">
        <v>2</v>
      </c>
      <c r="AB10" s="23">
        <v>9</v>
      </c>
      <c r="AC10" s="24">
        <v>9</v>
      </c>
      <c r="AD10" s="25">
        <v>8</v>
      </c>
      <c r="AE10" s="26">
        <v>7</v>
      </c>
      <c r="AF10" s="27">
        <v>7</v>
      </c>
      <c r="AG10" s="28">
        <v>8</v>
      </c>
      <c r="AH10" s="23">
        <v>9</v>
      </c>
      <c r="AI10" s="24">
        <v>8</v>
      </c>
      <c r="AJ10" s="25">
        <v>9</v>
      </c>
      <c r="AK10" s="26">
        <v>9</v>
      </c>
      <c r="AL10" s="27">
        <v>8</v>
      </c>
      <c r="AM10" s="28">
        <v>8</v>
      </c>
    </row>
    <row r="11" spans="1:39" x14ac:dyDescent="0.3">
      <c r="A11" s="29">
        <v>45910.737771979169</v>
      </c>
      <c r="B11" s="30" t="s">
        <v>48</v>
      </c>
      <c r="C11" s="31">
        <v>3.3</v>
      </c>
      <c r="D11" s="31">
        <v>33</v>
      </c>
      <c r="E11" s="31">
        <v>57</v>
      </c>
      <c r="F11" s="31">
        <v>18</v>
      </c>
      <c r="G11" s="31">
        <v>12</v>
      </c>
      <c r="H11" s="31">
        <v>18</v>
      </c>
      <c r="I11" s="31">
        <v>21</v>
      </c>
      <c r="J11" s="17">
        <v>558.00000000001046</v>
      </c>
      <c r="K11" s="18">
        <v>361.00000000000529</v>
      </c>
      <c r="L11" s="19">
        <v>287.00000000000011</v>
      </c>
      <c r="M11" s="20">
        <v>359.00000000000176</v>
      </c>
      <c r="N11" s="21">
        <v>17</v>
      </c>
      <c r="O11" s="22">
        <v>16</v>
      </c>
      <c r="P11" s="23">
        <v>4</v>
      </c>
      <c r="Q11" s="24">
        <v>8</v>
      </c>
      <c r="R11" s="25">
        <v>6</v>
      </c>
      <c r="S11" s="26">
        <v>5</v>
      </c>
      <c r="T11" s="27">
        <v>6</v>
      </c>
      <c r="U11" s="28">
        <v>7</v>
      </c>
      <c r="V11" s="23">
        <v>9</v>
      </c>
      <c r="W11" s="24">
        <v>9</v>
      </c>
      <c r="X11" s="25">
        <v>5</v>
      </c>
      <c r="Y11" s="26">
        <v>7</v>
      </c>
      <c r="Z11" s="27">
        <v>1</v>
      </c>
      <c r="AA11" s="28">
        <v>2</v>
      </c>
      <c r="AB11" s="23">
        <v>8</v>
      </c>
      <c r="AC11" s="24">
        <v>9</v>
      </c>
      <c r="AD11" s="25">
        <v>9</v>
      </c>
      <c r="AE11" s="26">
        <v>6</v>
      </c>
      <c r="AF11" s="27">
        <v>8</v>
      </c>
      <c r="AG11" s="28">
        <v>9</v>
      </c>
      <c r="AH11" s="23">
        <v>8</v>
      </c>
      <c r="AI11" s="24">
        <v>9</v>
      </c>
      <c r="AJ11" s="25">
        <v>8</v>
      </c>
      <c r="AK11" s="26">
        <v>8</v>
      </c>
      <c r="AL11" s="27">
        <v>6</v>
      </c>
      <c r="AM11" s="28">
        <v>7</v>
      </c>
    </row>
    <row r="12" spans="1:39" x14ac:dyDescent="0.3">
      <c r="A12" s="29">
        <v>45912.400994479161</v>
      </c>
      <c r="B12" s="30" t="s">
        <v>49</v>
      </c>
      <c r="C12" s="31">
        <v>3</v>
      </c>
      <c r="D12" s="31">
        <v>30</v>
      </c>
      <c r="E12" s="31">
        <v>69</v>
      </c>
      <c r="F12" s="31">
        <v>15</v>
      </c>
      <c r="G12" s="31">
        <v>7</v>
      </c>
      <c r="H12" s="31">
        <v>25</v>
      </c>
      <c r="I12" s="31">
        <v>16</v>
      </c>
      <c r="J12" s="17">
        <v>125.00000000000355</v>
      </c>
      <c r="K12" s="18">
        <v>412.99999999999579</v>
      </c>
      <c r="L12" s="19">
        <v>271.99999999999295</v>
      </c>
      <c r="M12" s="20">
        <v>413.00000000000063</v>
      </c>
      <c r="N12" s="21">
        <v>15</v>
      </c>
      <c r="O12" s="22">
        <v>18</v>
      </c>
      <c r="P12" s="23">
        <v>1</v>
      </c>
      <c r="Q12" s="24">
        <v>4</v>
      </c>
      <c r="R12" s="25">
        <v>1</v>
      </c>
      <c r="S12" s="26">
        <v>2</v>
      </c>
      <c r="T12" s="27">
        <v>3</v>
      </c>
      <c r="U12" s="28">
        <v>5</v>
      </c>
      <c r="V12" s="23">
        <v>10</v>
      </c>
      <c r="W12" s="24">
        <v>8</v>
      </c>
      <c r="X12" s="25">
        <v>3</v>
      </c>
      <c r="Y12" s="26">
        <v>7</v>
      </c>
      <c r="Z12" s="27">
        <v>3</v>
      </c>
      <c r="AA12" s="28">
        <v>4</v>
      </c>
      <c r="AB12" s="23">
        <v>10</v>
      </c>
      <c r="AC12" s="24">
        <v>8</v>
      </c>
      <c r="AD12" s="25">
        <v>10</v>
      </c>
      <c r="AE12" s="26">
        <v>6</v>
      </c>
      <c r="AF12" s="27">
        <v>10</v>
      </c>
      <c r="AG12" s="28">
        <v>3</v>
      </c>
      <c r="AH12" s="23">
        <v>10</v>
      </c>
      <c r="AI12" s="24">
        <v>4</v>
      </c>
      <c r="AJ12" s="25">
        <v>10</v>
      </c>
      <c r="AK12" s="26">
        <v>10</v>
      </c>
      <c r="AL12" s="27">
        <v>7</v>
      </c>
      <c r="AM12" s="28">
        <v>7</v>
      </c>
    </row>
    <row r="13" spans="1:39" x14ac:dyDescent="0.3">
      <c r="A13" s="29">
        <v>45912.446164340276</v>
      </c>
      <c r="B13" s="30" t="s">
        <v>50</v>
      </c>
      <c r="C13" s="31">
        <v>2.9</v>
      </c>
      <c r="D13" s="31">
        <v>29</v>
      </c>
      <c r="E13" s="31">
        <v>66</v>
      </c>
      <c r="F13" s="31">
        <v>14</v>
      </c>
      <c r="G13" s="31">
        <v>11</v>
      </c>
      <c r="H13" s="31">
        <v>25</v>
      </c>
      <c r="I13" s="31">
        <v>19</v>
      </c>
      <c r="J13" s="17">
        <v>523.00000000000182</v>
      </c>
      <c r="K13" s="18">
        <v>166.00000000000355</v>
      </c>
      <c r="L13" s="19">
        <v>400.99999999999875</v>
      </c>
      <c r="M13" s="20">
        <v>471.99999999999864</v>
      </c>
      <c r="N13" s="21">
        <v>22</v>
      </c>
      <c r="O13" s="22">
        <v>19</v>
      </c>
      <c r="P13" s="23">
        <v>2</v>
      </c>
      <c r="Q13" s="24">
        <v>6</v>
      </c>
      <c r="R13" s="25">
        <v>2</v>
      </c>
      <c r="S13" s="26">
        <v>4</v>
      </c>
      <c r="T13" s="27">
        <v>2</v>
      </c>
      <c r="U13" s="28">
        <v>7</v>
      </c>
      <c r="V13" s="23">
        <v>9</v>
      </c>
      <c r="W13" s="24">
        <v>7</v>
      </c>
      <c r="X13" s="25">
        <v>4</v>
      </c>
      <c r="Y13" s="26">
        <v>7</v>
      </c>
      <c r="Z13" s="27">
        <v>1</v>
      </c>
      <c r="AA13" s="28">
        <v>3</v>
      </c>
      <c r="AB13" s="23">
        <v>8</v>
      </c>
      <c r="AC13" s="24">
        <v>7</v>
      </c>
      <c r="AD13" s="25">
        <v>3</v>
      </c>
      <c r="AE13" s="26">
        <v>2</v>
      </c>
      <c r="AF13" s="27">
        <v>8</v>
      </c>
      <c r="AG13" s="28">
        <v>6</v>
      </c>
      <c r="AH13" s="23">
        <v>8</v>
      </c>
      <c r="AI13" s="24">
        <v>6</v>
      </c>
      <c r="AJ13" s="25">
        <v>8</v>
      </c>
      <c r="AK13" s="26">
        <v>9</v>
      </c>
      <c r="AL13" s="27">
        <v>2</v>
      </c>
      <c r="AM13" s="28">
        <v>2</v>
      </c>
    </row>
    <row r="14" spans="1:39" x14ac:dyDescent="0.3">
      <c r="A14" s="29">
        <v>45912.493647233801</v>
      </c>
      <c r="B14" s="30" t="s">
        <v>51</v>
      </c>
      <c r="C14" s="31">
        <v>3.8</v>
      </c>
      <c r="D14" s="31">
        <v>38</v>
      </c>
      <c r="E14" s="31">
        <v>61</v>
      </c>
      <c r="F14" s="31">
        <v>17</v>
      </c>
      <c r="G14" s="31">
        <v>8</v>
      </c>
      <c r="H14" s="31">
        <v>17</v>
      </c>
      <c r="I14" s="31">
        <v>16</v>
      </c>
      <c r="J14" s="17">
        <v>253.99999999999494</v>
      </c>
      <c r="K14" s="18">
        <v>406.0000000000075</v>
      </c>
      <c r="L14" s="19">
        <v>346.00000000001251</v>
      </c>
      <c r="M14" s="20">
        <v>395.99999999999955</v>
      </c>
      <c r="N14" s="21">
        <v>20</v>
      </c>
      <c r="O14" s="22">
        <v>22</v>
      </c>
      <c r="P14" s="23">
        <v>2</v>
      </c>
      <c r="Q14" s="24">
        <v>3</v>
      </c>
      <c r="R14" s="25">
        <v>2</v>
      </c>
      <c r="S14" s="26">
        <v>3</v>
      </c>
      <c r="T14" s="27">
        <v>2</v>
      </c>
      <c r="U14" s="28">
        <v>5</v>
      </c>
      <c r="V14" s="23">
        <v>9</v>
      </c>
      <c r="W14" s="24">
        <v>9</v>
      </c>
      <c r="X14" s="25">
        <v>3</v>
      </c>
      <c r="Y14" s="26">
        <v>6</v>
      </c>
      <c r="Z14" s="27">
        <v>1</v>
      </c>
      <c r="AA14" s="28">
        <v>1</v>
      </c>
      <c r="AB14" s="23">
        <v>9</v>
      </c>
      <c r="AC14" s="24">
        <v>9</v>
      </c>
      <c r="AD14" s="25">
        <v>8</v>
      </c>
      <c r="AE14" s="26">
        <v>7</v>
      </c>
      <c r="AF14" s="27">
        <v>8</v>
      </c>
      <c r="AG14" s="28">
        <v>7</v>
      </c>
      <c r="AH14" s="23">
        <v>8</v>
      </c>
      <c r="AI14" s="24">
        <v>7</v>
      </c>
      <c r="AJ14" s="25">
        <v>10</v>
      </c>
      <c r="AK14" s="26">
        <v>10</v>
      </c>
      <c r="AL14" s="27">
        <v>2</v>
      </c>
      <c r="AM14" s="28">
        <v>2</v>
      </c>
    </row>
    <row r="15" spans="1:39" x14ac:dyDescent="0.3">
      <c r="A15" s="29">
        <v>45912.578483981481</v>
      </c>
      <c r="B15" s="30" t="s">
        <v>52</v>
      </c>
      <c r="C15" s="31">
        <v>3.4</v>
      </c>
      <c r="D15" s="31">
        <v>34</v>
      </c>
      <c r="E15" s="31">
        <v>65</v>
      </c>
      <c r="F15" s="31">
        <v>22</v>
      </c>
      <c r="G15" s="31">
        <v>13</v>
      </c>
      <c r="H15" s="31">
        <v>22</v>
      </c>
      <c r="I15" s="31">
        <v>17</v>
      </c>
      <c r="J15" s="17">
        <v>1012.9999999999985</v>
      </c>
      <c r="K15" s="18">
        <v>89.999999999994884</v>
      </c>
      <c r="L15" s="19">
        <v>409.00000000000318</v>
      </c>
      <c r="M15" s="20">
        <v>402.00000000000529</v>
      </c>
      <c r="N15" s="21">
        <v>22</v>
      </c>
      <c r="O15" s="22">
        <v>22</v>
      </c>
      <c r="P15" s="23">
        <v>8</v>
      </c>
      <c r="Q15" s="24">
        <v>4</v>
      </c>
      <c r="R15" s="25">
        <v>3</v>
      </c>
      <c r="S15" s="26">
        <v>3</v>
      </c>
      <c r="T15" s="27">
        <v>8</v>
      </c>
      <c r="U15" s="28">
        <v>4</v>
      </c>
      <c r="V15" s="23">
        <v>10</v>
      </c>
      <c r="W15" s="24">
        <v>10</v>
      </c>
      <c r="X15" s="25">
        <v>3</v>
      </c>
      <c r="Y15" s="26">
        <v>10</v>
      </c>
      <c r="Z15" s="27">
        <v>8</v>
      </c>
      <c r="AA15" s="28">
        <v>3</v>
      </c>
      <c r="AB15" s="23">
        <v>10</v>
      </c>
      <c r="AC15" s="24">
        <v>10</v>
      </c>
      <c r="AD15" s="25">
        <v>10</v>
      </c>
      <c r="AE15" s="26">
        <v>10</v>
      </c>
      <c r="AF15" s="27">
        <v>10</v>
      </c>
      <c r="AG15" s="28">
        <v>9</v>
      </c>
      <c r="AH15" s="23">
        <v>10</v>
      </c>
      <c r="AI15" s="24">
        <v>10</v>
      </c>
      <c r="AJ15" s="25">
        <v>9</v>
      </c>
      <c r="AK15" s="26">
        <v>10</v>
      </c>
      <c r="AL15" s="27">
        <v>1</v>
      </c>
      <c r="AM15" s="28">
        <v>1</v>
      </c>
    </row>
    <row r="16" spans="1:39" x14ac:dyDescent="0.3">
      <c r="A16" s="29">
        <v>45912.630338414354</v>
      </c>
      <c r="B16" s="30" t="s">
        <v>53</v>
      </c>
      <c r="C16" s="31">
        <v>3.4</v>
      </c>
      <c r="D16" s="31">
        <v>34</v>
      </c>
      <c r="E16" s="31">
        <v>62</v>
      </c>
      <c r="F16" s="31">
        <v>16</v>
      </c>
      <c r="G16" s="31">
        <v>11</v>
      </c>
      <c r="H16" s="31">
        <v>21</v>
      </c>
      <c r="I16" s="31">
        <v>19</v>
      </c>
      <c r="J16" s="17">
        <v>198.00000000000216</v>
      </c>
      <c r="K16" s="18">
        <v>369.00000000000011</v>
      </c>
      <c r="L16" s="19">
        <v>369.9999999999971</v>
      </c>
      <c r="M16" s="20">
        <v>561.00000000000136</v>
      </c>
      <c r="N16" s="21">
        <v>22</v>
      </c>
      <c r="O16" s="22">
        <v>22</v>
      </c>
      <c r="P16" s="23">
        <v>1</v>
      </c>
      <c r="Q16" s="24">
        <v>3</v>
      </c>
      <c r="R16" s="25">
        <v>4</v>
      </c>
      <c r="S16" s="26">
        <v>3</v>
      </c>
      <c r="T16" s="27">
        <v>3</v>
      </c>
      <c r="U16" s="28">
        <v>4</v>
      </c>
      <c r="V16" s="23">
        <v>3</v>
      </c>
      <c r="W16" s="24">
        <v>8</v>
      </c>
      <c r="X16" s="25">
        <v>1</v>
      </c>
      <c r="Y16" s="26">
        <v>5</v>
      </c>
      <c r="Z16" s="27">
        <v>1</v>
      </c>
      <c r="AA16" s="28">
        <v>7</v>
      </c>
      <c r="AB16" s="23">
        <v>3</v>
      </c>
      <c r="AC16" s="24">
        <v>6</v>
      </c>
      <c r="AD16" s="25">
        <v>2</v>
      </c>
      <c r="AE16" s="26">
        <v>7</v>
      </c>
      <c r="AF16" s="27">
        <v>4</v>
      </c>
      <c r="AG16" s="28">
        <v>5</v>
      </c>
      <c r="AH16" s="23">
        <v>4</v>
      </c>
      <c r="AI16" s="24">
        <v>3</v>
      </c>
      <c r="AJ16" s="25">
        <v>1</v>
      </c>
      <c r="AK16" s="26">
        <v>1</v>
      </c>
      <c r="AL16" s="27">
        <v>1</v>
      </c>
      <c r="AM16" s="28">
        <v>1</v>
      </c>
    </row>
    <row r="17" spans="1:39" x14ac:dyDescent="0.3">
      <c r="A17" s="29">
        <v>45912.669901064815</v>
      </c>
      <c r="B17" s="30" t="s">
        <v>54</v>
      </c>
      <c r="C17" s="31">
        <v>3.2</v>
      </c>
      <c r="D17" s="31">
        <v>32</v>
      </c>
      <c r="E17" s="31">
        <v>72</v>
      </c>
      <c r="F17" s="31">
        <v>16</v>
      </c>
      <c r="G17" s="31">
        <v>6</v>
      </c>
      <c r="H17" s="31">
        <v>24</v>
      </c>
      <c r="I17" s="31">
        <v>12</v>
      </c>
      <c r="J17" s="17">
        <v>463.99999999999898</v>
      </c>
      <c r="K17" s="18">
        <v>186.99999999998766</v>
      </c>
      <c r="L17" s="19">
        <v>334.99999999999801</v>
      </c>
      <c r="M17" s="20">
        <v>300.00000000000853</v>
      </c>
      <c r="N17" s="21">
        <v>20</v>
      </c>
      <c r="O17" s="22">
        <v>18</v>
      </c>
      <c r="P17" s="23">
        <v>2</v>
      </c>
      <c r="Q17" s="24">
        <v>4</v>
      </c>
      <c r="R17" s="25">
        <v>2</v>
      </c>
      <c r="S17" s="26">
        <v>2</v>
      </c>
      <c r="T17" s="27">
        <v>2</v>
      </c>
      <c r="U17" s="28">
        <v>5</v>
      </c>
      <c r="V17" s="23">
        <v>10</v>
      </c>
      <c r="W17" s="24">
        <v>8</v>
      </c>
      <c r="X17" s="25">
        <v>2</v>
      </c>
      <c r="Y17" s="26">
        <v>5</v>
      </c>
      <c r="Z17" s="27">
        <v>1</v>
      </c>
      <c r="AA17" s="28">
        <v>3</v>
      </c>
      <c r="AB17" s="23">
        <v>10</v>
      </c>
      <c r="AC17" s="24">
        <v>10</v>
      </c>
      <c r="AD17" s="25">
        <v>8</v>
      </c>
      <c r="AE17" s="26">
        <v>9</v>
      </c>
      <c r="AF17" s="27">
        <v>8</v>
      </c>
      <c r="AG17" s="28">
        <v>9</v>
      </c>
      <c r="AH17" s="23">
        <v>7</v>
      </c>
      <c r="AI17" s="24">
        <v>8</v>
      </c>
      <c r="AJ17" s="25">
        <v>10</v>
      </c>
      <c r="AK17" s="26">
        <v>10</v>
      </c>
      <c r="AL17" s="27">
        <v>7</v>
      </c>
      <c r="AM17" s="28">
        <v>8</v>
      </c>
    </row>
    <row r="18" spans="1:39" x14ac:dyDescent="0.3">
      <c r="A18" s="29">
        <v>45912.719724236114</v>
      </c>
      <c r="B18" s="30" t="s">
        <v>55</v>
      </c>
      <c r="C18" s="31">
        <v>2.4</v>
      </c>
      <c r="D18" s="31">
        <v>24</v>
      </c>
      <c r="E18" s="31">
        <v>66</v>
      </c>
      <c r="F18" s="31">
        <v>22</v>
      </c>
      <c r="G18" s="31">
        <v>12</v>
      </c>
      <c r="H18" s="31">
        <v>24</v>
      </c>
      <c r="I18" s="31">
        <v>18</v>
      </c>
      <c r="J18" s="17">
        <v>64.000000000006807</v>
      </c>
      <c r="K18" s="18">
        <v>158.0000000000087</v>
      </c>
      <c r="L18" s="19">
        <v>305.0000000000029</v>
      </c>
      <c r="M18" s="20">
        <v>409.99999999999056</v>
      </c>
      <c r="N18" s="21">
        <v>16</v>
      </c>
      <c r="O18" s="22">
        <v>16</v>
      </c>
      <c r="P18" s="23">
        <v>8</v>
      </c>
      <c r="Q18" s="24">
        <v>7</v>
      </c>
      <c r="R18" s="25">
        <v>8</v>
      </c>
      <c r="S18" s="26">
        <v>9</v>
      </c>
      <c r="T18" s="27">
        <v>9</v>
      </c>
      <c r="U18" s="28">
        <v>8</v>
      </c>
      <c r="V18" s="23">
        <v>9</v>
      </c>
      <c r="W18" s="24">
        <v>10</v>
      </c>
      <c r="X18" s="25">
        <v>8</v>
      </c>
      <c r="Y18" s="26">
        <v>7</v>
      </c>
      <c r="Z18" s="27">
        <v>1</v>
      </c>
      <c r="AA18" s="28">
        <v>2</v>
      </c>
      <c r="AB18" s="23">
        <v>9</v>
      </c>
      <c r="AC18" s="24">
        <v>9</v>
      </c>
      <c r="AD18" s="25">
        <v>10</v>
      </c>
      <c r="AE18" s="26">
        <v>10</v>
      </c>
      <c r="AF18" s="27">
        <v>10</v>
      </c>
      <c r="AG18" s="28">
        <v>9</v>
      </c>
      <c r="AH18" s="23">
        <v>10</v>
      </c>
      <c r="AI18" s="24">
        <v>9</v>
      </c>
      <c r="AJ18" s="25">
        <v>9</v>
      </c>
      <c r="AK18" s="26">
        <v>9</v>
      </c>
      <c r="AL18" s="27">
        <v>3</v>
      </c>
      <c r="AM18" s="28">
        <v>4</v>
      </c>
    </row>
    <row r="19" spans="1:39" x14ac:dyDescent="0.3">
      <c r="A19" s="29">
        <v>45915.492289108792</v>
      </c>
      <c r="B19" s="30" t="s">
        <v>56</v>
      </c>
      <c r="C19" s="31">
        <v>3.5</v>
      </c>
      <c r="D19" s="31">
        <v>35</v>
      </c>
      <c r="E19" s="31">
        <v>69</v>
      </c>
      <c r="F19" s="31">
        <v>15</v>
      </c>
      <c r="G19" s="31">
        <v>6</v>
      </c>
      <c r="H19" s="31">
        <v>21</v>
      </c>
      <c r="I19" s="31">
        <v>12</v>
      </c>
      <c r="J19" s="17">
        <v>529.99999999999977</v>
      </c>
      <c r="K19" s="18">
        <v>138.99999999999935</v>
      </c>
      <c r="L19" s="19">
        <v>294.99999999999977</v>
      </c>
      <c r="M19" s="20">
        <v>412.00000000000364</v>
      </c>
      <c r="N19" s="21">
        <v>17</v>
      </c>
      <c r="O19" s="22">
        <v>22</v>
      </c>
      <c r="P19" s="23">
        <v>2</v>
      </c>
      <c r="Q19" s="24">
        <v>6</v>
      </c>
      <c r="R19" s="25">
        <v>4</v>
      </c>
      <c r="S19" s="26">
        <v>2</v>
      </c>
      <c r="T19" s="27">
        <v>2</v>
      </c>
      <c r="U19" s="28">
        <v>5</v>
      </c>
      <c r="V19" s="23">
        <v>10</v>
      </c>
      <c r="W19" s="24">
        <v>10</v>
      </c>
      <c r="X19" s="25">
        <v>3</v>
      </c>
      <c r="Y19" s="26">
        <v>4</v>
      </c>
      <c r="Z19" s="27">
        <v>1</v>
      </c>
      <c r="AA19" s="28">
        <v>2</v>
      </c>
      <c r="AB19" s="23">
        <v>9</v>
      </c>
      <c r="AC19" s="24">
        <v>10</v>
      </c>
      <c r="AD19" s="25">
        <v>10</v>
      </c>
      <c r="AE19" s="26">
        <v>10</v>
      </c>
      <c r="AF19" s="27">
        <v>8</v>
      </c>
      <c r="AG19" s="28">
        <v>9</v>
      </c>
      <c r="AH19" s="23">
        <v>8</v>
      </c>
      <c r="AI19" s="24">
        <v>9</v>
      </c>
      <c r="AJ19" s="25">
        <v>9</v>
      </c>
      <c r="AK19" s="26">
        <v>10</v>
      </c>
      <c r="AL19" s="27">
        <v>6</v>
      </c>
      <c r="AM19" s="28">
        <v>2</v>
      </c>
    </row>
    <row r="20" spans="1:39" x14ac:dyDescent="0.3">
      <c r="A20" s="29">
        <v>45915.572406168983</v>
      </c>
      <c r="B20" s="30" t="s">
        <v>57</v>
      </c>
      <c r="C20" s="31">
        <v>3.1</v>
      </c>
      <c r="D20" s="31">
        <v>31</v>
      </c>
      <c r="E20" s="31">
        <v>72</v>
      </c>
      <c r="F20" s="31">
        <v>17</v>
      </c>
      <c r="G20" s="31">
        <v>5</v>
      </c>
      <c r="H20" s="31">
        <v>23</v>
      </c>
      <c r="I20" s="31">
        <v>11</v>
      </c>
      <c r="J20" s="17">
        <v>253.99999999999494</v>
      </c>
      <c r="K20" s="18">
        <v>497.00000000000415</v>
      </c>
      <c r="L20" s="19">
        <v>220.00000000000242</v>
      </c>
      <c r="M20" s="20">
        <v>325.99999999998704</v>
      </c>
      <c r="N20" s="21">
        <v>12</v>
      </c>
      <c r="O20" s="22">
        <v>18</v>
      </c>
      <c r="P20" s="23">
        <v>3</v>
      </c>
      <c r="Q20" s="24">
        <v>6</v>
      </c>
      <c r="R20" s="25">
        <v>4</v>
      </c>
      <c r="S20" s="26">
        <v>4</v>
      </c>
      <c r="T20" s="27">
        <v>3</v>
      </c>
      <c r="U20" s="28">
        <v>7</v>
      </c>
      <c r="V20" s="23">
        <v>10</v>
      </c>
      <c r="W20" s="24">
        <v>9</v>
      </c>
      <c r="X20" s="25">
        <v>3</v>
      </c>
      <c r="Y20" s="26">
        <v>6</v>
      </c>
      <c r="Z20" s="27">
        <v>2</v>
      </c>
      <c r="AA20" s="28">
        <v>1</v>
      </c>
      <c r="AB20" s="23">
        <v>6</v>
      </c>
      <c r="AC20" s="24">
        <v>8</v>
      </c>
      <c r="AD20" s="25">
        <v>7</v>
      </c>
      <c r="AE20" s="26">
        <v>8</v>
      </c>
      <c r="AF20" s="27">
        <v>8</v>
      </c>
      <c r="AG20" s="28">
        <v>7</v>
      </c>
      <c r="AH20" s="23">
        <v>7</v>
      </c>
      <c r="AI20" s="24">
        <v>7</v>
      </c>
      <c r="AJ20" s="25">
        <v>9</v>
      </c>
      <c r="AK20" s="26">
        <v>9</v>
      </c>
      <c r="AL20" s="27">
        <v>3</v>
      </c>
      <c r="AM20" s="28">
        <v>6</v>
      </c>
    </row>
    <row r="21" spans="1:39" x14ac:dyDescent="0.3">
      <c r="A21" s="29">
        <v>45916.480977569445</v>
      </c>
      <c r="B21" s="30" t="s">
        <v>58</v>
      </c>
      <c r="C21" s="31">
        <v>3.7</v>
      </c>
      <c r="D21" s="31">
        <v>37</v>
      </c>
      <c r="E21" s="31">
        <v>56</v>
      </c>
      <c r="F21" s="31">
        <v>11</v>
      </c>
      <c r="G21" s="31">
        <v>10</v>
      </c>
      <c r="H21" s="31">
        <v>21</v>
      </c>
      <c r="I21" s="31">
        <v>25</v>
      </c>
      <c r="J21" s="17">
        <v>454.00000000000063</v>
      </c>
      <c r="K21" s="18">
        <v>159.00000000000568</v>
      </c>
      <c r="L21" s="19">
        <v>239.99999999999915</v>
      </c>
      <c r="M21" s="20">
        <v>259.99999999999591</v>
      </c>
      <c r="N21" s="21">
        <v>11</v>
      </c>
      <c r="O21" s="22">
        <v>12</v>
      </c>
      <c r="P21" s="23">
        <v>2</v>
      </c>
      <c r="Q21" s="24">
        <v>4</v>
      </c>
      <c r="R21" s="25">
        <v>2</v>
      </c>
      <c r="S21" s="26">
        <v>2</v>
      </c>
      <c r="T21" s="27">
        <v>3</v>
      </c>
      <c r="U21" s="28">
        <v>5</v>
      </c>
      <c r="V21" s="23">
        <v>10</v>
      </c>
      <c r="W21" s="24">
        <v>10</v>
      </c>
      <c r="X21" s="25">
        <v>3</v>
      </c>
      <c r="Y21" s="26">
        <v>5</v>
      </c>
      <c r="Z21" s="27">
        <v>1</v>
      </c>
      <c r="AA21" s="28">
        <v>1</v>
      </c>
      <c r="AB21" s="23">
        <v>10</v>
      </c>
      <c r="AC21" s="24">
        <v>10</v>
      </c>
      <c r="AD21" s="25">
        <v>10</v>
      </c>
      <c r="AE21" s="26">
        <v>10</v>
      </c>
      <c r="AF21" s="27">
        <v>10</v>
      </c>
      <c r="AG21" s="28">
        <v>10</v>
      </c>
      <c r="AH21" s="23">
        <v>10</v>
      </c>
      <c r="AI21" s="24">
        <v>10</v>
      </c>
      <c r="AJ21" s="25">
        <v>10</v>
      </c>
      <c r="AK21" s="26">
        <v>10</v>
      </c>
      <c r="AL21" s="27">
        <v>4</v>
      </c>
      <c r="AM21" s="28">
        <v>4</v>
      </c>
    </row>
    <row r="22" spans="1:39" x14ac:dyDescent="0.3">
      <c r="A22" s="29">
        <v>45916.565919652778</v>
      </c>
      <c r="B22" s="30" t="s">
        <v>59</v>
      </c>
      <c r="C22" s="31">
        <v>3</v>
      </c>
      <c r="D22" s="31">
        <v>30</v>
      </c>
      <c r="E22" s="31">
        <v>60</v>
      </c>
      <c r="F22" s="31">
        <v>12</v>
      </c>
      <c r="G22" s="31">
        <v>12</v>
      </c>
      <c r="H22" s="31">
        <v>23</v>
      </c>
      <c r="I22" s="31">
        <v>23</v>
      </c>
      <c r="J22" s="17">
        <v>275.99999999998556</v>
      </c>
      <c r="K22" s="18">
        <v>378.00000000000153</v>
      </c>
      <c r="L22" s="19">
        <v>336.00000000001415</v>
      </c>
      <c r="M22" s="20">
        <v>420.00000000000813</v>
      </c>
      <c r="N22" s="21">
        <v>16</v>
      </c>
      <c r="O22" s="22">
        <v>20</v>
      </c>
      <c r="P22" s="23">
        <v>4</v>
      </c>
      <c r="Q22" s="24">
        <v>7</v>
      </c>
      <c r="R22" s="25">
        <v>3</v>
      </c>
      <c r="S22" s="26">
        <v>3</v>
      </c>
      <c r="T22" s="27">
        <v>6</v>
      </c>
      <c r="U22" s="28">
        <v>5</v>
      </c>
      <c r="V22" s="23">
        <v>10</v>
      </c>
      <c r="W22" s="24">
        <v>10</v>
      </c>
      <c r="X22" s="25">
        <v>6</v>
      </c>
      <c r="Y22" s="26">
        <v>6</v>
      </c>
      <c r="Z22" s="27">
        <v>2</v>
      </c>
      <c r="AA22" s="28">
        <v>7</v>
      </c>
      <c r="AB22" s="23">
        <v>9</v>
      </c>
      <c r="AC22" s="24">
        <v>8</v>
      </c>
      <c r="AD22" s="25">
        <v>7</v>
      </c>
      <c r="AE22" s="26">
        <v>9</v>
      </c>
      <c r="AF22" s="27">
        <v>8</v>
      </c>
      <c r="AG22" s="28">
        <v>9</v>
      </c>
      <c r="AH22" s="23">
        <v>8</v>
      </c>
      <c r="AI22" s="24">
        <v>9</v>
      </c>
      <c r="AJ22" s="25">
        <v>10</v>
      </c>
      <c r="AK22" s="26">
        <v>9</v>
      </c>
      <c r="AL22" s="27">
        <v>5</v>
      </c>
      <c r="AM22" s="28">
        <v>3</v>
      </c>
    </row>
    <row r="23" spans="1:39" x14ac:dyDescent="0.3">
      <c r="A23" s="29">
        <v>45916.622170173607</v>
      </c>
      <c r="B23" s="30" t="s">
        <v>60</v>
      </c>
      <c r="C23" s="31">
        <v>2.6</v>
      </c>
      <c r="D23" s="31">
        <v>26</v>
      </c>
      <c r="E23" s="31">
        <v>72</v>
      </c>
      <c r="F23" s="31">
        <v>13</v>
      </c>
      <c r="G23" s="31">
        <v>11</v>
      </c>
      <c r="H23" s="31">
        <v>25</v>
      </c>
      <c r="I23" s="31">
        <v>13</v>
      </c>
      <c r="J23" s="17">
        <v>223.0000000000029</v>
      </c>
      <c r="K23" s="18">
        <v>121.00000000000612</v>
      </c>
      <c r="L23" s="19">
        <v>387.00000000000296</v>
      </c>
      <c r="M23" s="20">
        <v>370.99999999999403</v>
      </c>
      <c r="N23" s="21">
        <v>17</v>
      </c>
      <c r="O23" s="22">
        <v>17</v>
      </c>
      <c r="P23" s="23">
        <v>3</v>
      </c>
      <c r="Q23" s="24">
        <v>6</v>
      </c>
      <c r="R23" s="25">
        <v>2</v>
      </c>
      <c r="S23" s="26">
        <v>2</v>
      </c>
      <c r="T23" s="27">
        <v>5</v>
      </c>
      <c r="U23" s="28">
        <v>5</v>
      </c>
      <c r="V23" s="23">
        <v>10</v>
      </c>
      <c r="W23" s="24">
        <v>9</v>
      </c>
      <c r="X23" s="25">
        <v>6</v>
      </c>
      <c r="Y23" s="26">
        <v>4</v>
      </c>
      <c r="Z23" s="27">
        <v>4</v>
      </c>
      <c r="AA23" s="28">
        <v>7</v>
      </c>
      <c r="AB23" s="23">
        <v>10</v>
      </c>
      <c r="AC23" s="24">
        <v>8</v>
      </c>
      <c r="AD23" s="25">
        <v>6</v>
      </c>
      <c r="AE23" s="26">
        <v>8</v>
      </c>
      <c r="AF23" s="27">
        <v>9</v>
      </c>
      <c r="AG23" s="28">
        <v>8</v>
      </c>
      <c r="AH23" s="23">
        <v>9</v>
      </c>
      <c r="AI23" s="24">
        <v>7</v>
      </c>
      <c r="AJ23" s="25">
        <v>9</v>
      </c>
      <c r="AK23" s="26">
        <v>10</v>
      </c>
      <c r="AL23" s="27">
        <v>8</v>
      </c>
      <c r="AM23" s="28">
        <v>9</v>
      </c>
    </row>
    <row r="24" spans="1:39" x14ac:dyDescent="0.3">
      <c r="A24" s="29">
        <v>45916.736991331018</v>
      </c>
      <c r="B24" s="30" t="s">
        <v>61</v>
      </c>
      <c r="C24" s="31">
        <v>3.9</v>
      </c>
      <c r="D24" s="31">
        <v>39</v>
      </c>
      <c r="E24" s="31">
        <v>68</v>
      </c>
      <c r="F24" s="31">
        <v>13</v>
      </c>
      <c r="G24" s="31">
        <v>6</v>
      </c>
      <c r="H24" s="31">
        <v>20</v>
      </c>
      <c r="I24" s="31">
        <v>12</v>
      </c>
      <c r="J24" s="17">
        <v>127.00000000000706</v>
      </c>
      <c r="K24" s="18">
        <v>471.99999999999386</v>
      </c>
      <c r="L24" s="19">
        <v>310.99999999999426</v>
      </c>
      <c r="M24" s="20">
        <v>416.99999999999801</v>
      </c>
      <c r="N24" s="21">
        <v>18</v>
      </c>
      <c r="O24" s="22">
        <v>20</v>
      </c>
      <c r="P24" s="23">
        <v>2</v>
      </c>
      <c r="Q24" s="24">
        <v>4</v>
      </c>
      <c r="R24" s="25">
        <v>2</v>
      </c>
      <c r="S24" s="26">
        <v>2</v>
      </c>
      <c r="T24" s="27">
        <v>3</v>
      </c>
      <c r="U24" s="28">
        <v>6</v>
      </c>
      <c r="V24" s="23">
        <v>10</v>
      </c>
      <c r="W24" s="24">
        <v>10</v>
      </c>
      <c r="X24" s="25">
        <v>5</v>
      </c>
      <c r="Y24" s="26">
        <v>7</v>
      </c>
      <c r="Z24" s="27">
        <v>3</v>
      </c>
      <c r="AA24" s="28">
        <v>5</v>
      </c>
      <c r="AB24" s="23">
        <v>10</v>
      </c>
      <c r="AC24" s="24">
        <v>9</v>
      </c>
      <c r="AD24" s="25">
        <v>10</v>
      </c>
      <c r="AE24" s="26">
        <v>9</v>
      </c>
      <c r="AF24" s="27">
        <v>10</v>
      </c>
      <c r="AG24" s="28">
        <v>8</v>
      </c>
      <c r="AH24" s="23">
        <v>10</v>
      </c>
      <c r="AI24" s="24">
        <v>9</v>
      </c>
      <c r="AJ24" s="25">
        <v>9</v>
      </c>
      <c r="AK24" s="26">
        <v>9</v>
      </c>
      <c r="AL24" s="27">
        <v>6</v>
      </c>
      <c r="AM24" s="28">
        <v>7</v>
      </c>
    </row>
    <row r="25" spans="1:39" x14ac:dyDescent="0.3">
      <c r="A25" s="29">
        <v>45916.796940046297</v>
      </c>
      <c r="B25" s="30" t="s">
        <v>62</v>
      </c>
      <c r="C25" s="31">
        <v>3.1</v>
      </c>
      <c r="D25" s="31">
        <v>31</v>
      </c>
      <c r="E25" s="31">
        <v>64</v>
      </c>
      <c r="F25" s="31">
        <v>13</v>
      </c>
      <c r="G25" s="31">
        <v>13</v>
      </c>
      <c r="H25" s="31">
        <v>25</v>
      </c>
      <c r="I25" s="31">
        <v>21</v>
      </c>
      <c r="J25" s="17">
        <v>493.00000000000676</v>
      </c>
      <c r="K25" s="18">
        <v>217.00000000000193</v>
      </c>
      <c r="L25" s="19">
        <v>297.99999999999545</v>
      </c>
      <c r="M25" s="20">
        <v>280.9999999999992</v>
      </c>
      <c r="N25" s="21">
        <v>17</v>
      </c>
      <c r="O25" s="22">
        <v>16</v>
      </c>
      <c r="P25" s="23">
        <v>6</v>
      </c>
      <c r="Q25" s="24">
        <v>9</v>
      </c>
      <c r="R25" s="25">
        <v>3</v>
      </c>
      <c r="S25" s="26">
        <v>4</v>
      </c>
      <c r="T25" s="27">
        <v>3</v>
      </c>
      <c r="U25" s="28">
        <v>7</v>
      </c>
      <c r="V25" s="23">
        <v>10</v>
      </c>
      <c r="W25" s="24">
        <v>9</v>
      </c>
      <c r="X25" s="25">
        <v>8</v>
      </c>
      <c r="Y25" s="26">
        <v>9</v>
      </c>
      <c r="Z25" s="27">
        <v>8</v>
      </c>
      <c r="AA25" s="28">
        <v>4</v>
      </c>
      <c r="AB25" s="23">
        <v>7</v>
      </c>
      <c r="AC25" s="24">
        <v>8</v>
      </c>
      <c r="AD25" s="25">
        <v>8</v>
      </c>
      <c r="AE25" s="26">
        <v>9</v>
      </c>
      <c r="AF25" s="27">
        <v>6</v>
      </c>
      <c r="AG25" s="28">
        <v>10</v>
      </c>
      <c r="AH25" s="23">
        <v>6</v>
      </c>
      <c r="AI25" s="24">
        <v>9</v>
      </c>
      <c r="AJ25" s="25">
        <v>8</v>
      </c>
      <c r="AK25" s="26">
        <v>10</v>
      </c>
      <c r="AL25" s="27">
        <v>8</v>
      </c>
      <c r="AM25" s="28">
        <v>10</v>
      </c>
    </row>
    <row r="26" spans="1:39" x14ac:dyDescent="0.3">
      <c r="A26" s="29">
        <v>45917.607987812502</v>
      </c>
      <c r="B26" s="30" t="s">
        <v>63</v>
      </c>
      <c r="C26" s="31">
        <v>3</v>
      </c>
      <c r="D26" s="31">
        <v>30</v>
      </c>
      <c r="E26" s="31">
        <v>68</v>
      </c>
      <c r="F26" s="31">
        <v>18</v>
      </c>
      <c r="G26" s="31">
        <v>9</v>
      </c>
      <c r="H26" s="31">
        <v>22</v>
      </c>
      <c r="I26" s="31">
        <v>14</v>
      </c>
      <c r="J26" s="17">
        <v>201.9999999999996</v>
      </c>
      <c r="K26" s="18">
        <v>564.00000000000182</v>
      </c>
      <c r="L26" s="19">
        <v>236.00000000001131</v>
      </c>
      <c r="M26" s="20">
        <v>373.00000000000716</v>
      </c>
      <c r="N26" s="21">
        <v>13</v>
      </c>
      <c r="O26" s="22">
        <v>17</v>
      </c>
      <c r="P26" s="23">
        <v>2</v>
      </c>
      <c r="Q26" s="24">
        <v>7</v>
      </c>
      <c r="R26" s="25">
        <v>3</v>
      </c>
      <c r="S26" s="26">
        <v>3</v>
      </c>
      <c r="T26" s="27">
        <v>5</v>
      </c>
      <c r="U26" s="28">
        <v>7</v>
      </c>
      <c r="V26" s="23">
        <v>8</v>
      </c>
      <c r="W26" s="24">
        <v>8</v>
      </c>
      <c r="X26" s="25">
        <v>5</v>
      </c>
      <c r="Y26" s="26">
        <v>3</v>
      </c>
      <c r="Z26" s="27">
        <v>2</v>
      </c>
      <c r="AA26" s="28">
        <v>2</v>
      </c>
      <c r="AB26" s="23">
        <v>7</v>
      </c>
      <c r="AC26" s="24">
        <v>8</v>
      </c>
      <c r="AD26" s="25">
        <v>8</v>
      </c>
      <c r="AE26" s="26">
        <v>9</v>
      </c>
      <c r="AF26" s="27">
        <v>6</v>
      </c>
      <c r="AG26" s="28">
        <v>7</v>
      </c>
      <c r="AH26" s="23">
        <v>5</v>
      </c>
      <c r="AI26" s="24">
        <v>6</v>
      </c>
      <c r="AJ26" s="25">
        <v>9</v>
      </c>
      <c r="AK26" s="26">
        <v>9</v>
      </c>
      <c r="AL26" s="27">
        <v>7</v>
      </c>
      <c r="AM26" s="28">
        <v>7</v>
      </c>
    </row>
    <row r="27" spans="1:39" x14ac:dyDescent="0.3">
      <c r="A27" s="29">
        <v>45917.730855567133</v>
      </c>
      <c r="B27" s="30" t="s">
        <v>64</v>
      </c>
      <c r="C27" s="31">
        <v>3.4</v>
      </c>
      <c r="D27" s="31">
        <v>34</v>
      </c>
      <c r="E27" s="31">
        <v>71</v>
      </c>
      <c r="F27" s="31">
        <v>18</v>
      </c>
      <c r="G27" s="31">
        <v>5</v>
      </c>
      <c r="H27" s="31">
        <v>23</v>
      </c>
      <c r="I27" s="31">
        <v>12</v>
      </c>
      <c r="J27" s="17">
        <v>409.00000000000318</v>
      </c>
      <c r="K27" s="18">
        <v>88.000000000000966</v>
      </c>
      <c r="L27" s="19">
        <v>382.99999999998636</v>
      </c>
      <c r="M27" s="20">
        <v>391.99999999999733</v>
      </c>
      <c r="N27" s="21">
        <v>22</v>
      </c>
      <c r="O27" s="22">
        <v>22</v>
      </c>
      <c r="P27" s="23">
        <v>3</v>
      </c>
      <c r="Q27" s="24">
        <v>4</v>
      </c>
      <c r="R27" s="25">
        <v>3</v>
      </c>
      <c r="S27" s="26">
        <v>3</v>
      </c>
      <c r="T27" s="27">
        <v>4</v>
      </c>
      <c r="U27" s="28">
        <v>4</v>
      </c>
      <c r="V27" s="23">
        <v>10</v>
      </c>
      <c r="W27" s="24">
        <v>9</v>
      </c>
      <c r="X27" s="25">
        <v>3</v>
      </c>
      <c r="Y27" s="26">
        <v>4</v>
      </c>
      <c r="Z27" s="27">
        <v>1</v>
      </c>
      <c r="AA27" s="28">
        <v>2</v>
      </c>
      <c r="AB27" s="23">
        <v>9</v>
      </c>
      <c r="AC27" s="24">
        <v>9</v>
      </c>
      <c r="AD27" s="25">
        <v>10</v>
      </c>
      <c r="AE27" s="26">
        <v>10</v>
      </c>
      <c r="AF27" s="27">
        <v>10</v>
      </c>
      <c r="AG27" s="28">
        <v>10</v>
      </c>
      <c r="AH27" s="23">
        <v>10</v>
      </c>
      <c r="AI27" s="24">
        <v>10</v>
      </c>
      <c r="AJ27" s="25">
        <v>10</v>
      </c>
      <c r="AK27" s="26">
        <v>9</v>
      </c>
      <c r="AL27" s="27">
        <v>2</v>
      </c>
      <c r="AM27" s="28">
        <v>2</v>
      </c>
    </row>
    <row r="28" spans="1:39" x14ac:dyDescent="0.3">
      <c r="A28" s="29">
        <v>45918.561457800926</v>
      </c>
      <c r="B28" s="30" t="s">
        <v>65</v>
      </c>
      <c r="C28" s="31">
        <v>3.2</v>
      </c>
      <c r="D28" s="31">
        <v>32</v>
      </c>
      <c r="E28" s="32">
        <v>70</v>
      </c>
      <c r="F28" s="32">
        <v>16</v>
      </c>
      <c r="G28" s="32">
        <v>9</v>
      </c>
      <c r="H28" s="32">
        <v>18</v>
      </c>
      <c r="I28" s="32">
        <v>8</v>
      </c>
      <c r="J28" s="17">
        <v>176.99999999999889</v>
      </c>
      <c r="K28" s="18">
        <v>446.99999999999318</v>
      </c>
      <c r="L28" s="19">
        <v>345.00000000000597</v>
      </c>
      <c r="M28" s="20">
        <v>386.00000000000597</v>
      </c>
      <c r="N28" s="21">
        <v>20</v>
      </c>
      <c r="O28" s="22">
        <v>22</v>
      </c>
      <c r="P28" s="23">
        <v>1</v>
      </c>
      <c r="Q28" s="24">
        <v>6</v>
      </c>
      <c r="R28" s="25">
        <v>5</v>
      </c>
      <c r="S28" s="26">
        <v>6</v>
      </c>
      <c r="T28" s="27">
        <v>2</v>
      </c>
      <c r="U28" s="28">
        <v>7</v>
      </c>
      <c r="V28" s="23">
        <v>7</v>
      </c>
      <c r="W28" s="24">
        <v>5</v>
      </c>
      <c r="X28" s="25">
        <v>3</v>
      </c>
      <c r="Y28" s="26">
        <v>4</v>
      </c>
      <c r="Z28" s="27">
        <v>2</v>
      </c>
      <c r="AA28" s="28">
        <v>1</v>
      </c>
      <c r="AB28" s="23">
        <v>7</v>
      </c>
      <c r="AC28" s="24">
        <v>6</v>
      </c>
      <c r="AD28" s="25">
        <v>7</v>
      </c>
      <c r="AE28" s="26">
        <v>6</v>
      </c>
      <c r="AF28" s="27">
        <v>8</v>
      </c>
      <c r="AG28" s="28">
        <v>7</v>
      </c>
      <c r="AH28" s="23">
        <v>7</v>
      </c>
      <c r="AI28" s="24">
        <v>7</v>
      </c>
      <c r="AJ28" s="25">
        <v>10</v>
      </c>
      <c r="AK28" s="26">
        <v>9</v>
      </c>
      <c r="AL28" s="27">
        <v>8</v>
      </c>
      <c r="AM28" s="28">
        <v>9</v>
      </c>
    </row>
    <row r="30" spans="1:39" ht="15.6" x14ac:dyDescent="0.3">
      <c r="B30" s="33" t="s">
        <v>66</v>
      </c>
      <c r="C30" s="33">
        <f>AVERAGE(C2:C28)</f>
        <v>3.2185185185185183</v>
      </c>
      <c r="D30" s="33">
        <f t="shared" ref="D30:AM30" si="0">AVERAGE(D2:D28)</f>
        <v>32.185185185185183</v>
      </c>
      <c r="E30" s="33">
        <f t="shared" si="0"/>
        <v>66.851851851851848</v>
      </c>
      <c r="F30" s="33">
        <f t="shared" si="0"/>
        <v>16.962962962962962</v>
      </c>
      <c r="G30" s="33">
        <f t="shared" si="0"/>
        <v>8.9259259259259256</v>
      </c>
      <c r="H30" s="33">
        <f t="shared" si="0"/>
        <v>22.518518518518519</v>
      </c>
      <c r="I30" s="33">
        <f t="shared" si="0"/>
        <v>15.666666666666666</v>
      </c>
      <c r="J30" s="33">
        <f t="shared" si="0"/>
        <v>336.0370370370386</v>
      </c>
      <c r="K30" s="33">
        <f t="shared" si="0"/>
        <v>291.44444444444423</v>
      </c>
      <c r="L30" s="33">
        <f t="shared" si="0"/>
        <v>312.99999999999937</v>
      </c>
      <c r="M30" s="33">
        <f t="shared" si="0"/>
        <v>397.29629629629767</v>
      </c>
      <c r="N30" s="33">
        <f t="shared" si="0"/>
        <v>17.111111111111111</v>
      </c>
      <c r="O30" s="33">
        <f t="shared" si="0"/>
        <v>18.962962962962962</v>
      </c>
      <c r="P30" s="33">
        <f t="shared" si="0"/>
        <v>2.925925925925926</v>
      </c>
      <c r="Q30" s="33">
        <f t="shared" si="0"/>
        <v>5.8518518518518521</v>
      </c>
      <c r="R30" s="33">
        <f t="shared" si="0"/>
        <v>3.7037037037037037</v>
      </c>
      <c r="S30" s="33">
        <f t="shared" si="0"/>
        <v>3.8518518518518516</v>
      </c>
      <c r="T30" s="33">
        <f t="shared" si="0"/>
        <v>4.1481481481481479</v>
      </c>
      <c r="U30" s="33">
        <f t="shared" si="0"/>
        <v>5.9259259259259256</v>
      </c>
      <c r="V30" s="33">
        <f t="shared" si="0"/>
        <v>9.0370370370370363</v>
      </c>
      <c r="W30" s="33">
        <f t="shared" si="0"/>
        <v>8.8148148148148149</v>
      </c>
      <c r="X30" s="33">
        <f t="shared" si="0"/>
        <v>4.2962962962962967</v>
      </c>
      <c r="Y30" s="33">
        <f t="shared" si="0"/>
        <v>6</v>
      </c>
      <c r="Z30" s="33">
        <f t="shared" si="0"/>
        <v>2.4814814814814814</v>
      </c>
      <c r="AA30" s="33">
        <f t="shared" si="0"/>
        <v>3.4074074074074074</v>
      </c>
      <c r="AB30" s="33">
        <f t="shared" si="0"/>
        <v>8.7037037037037042</v>
      </c>
      <c r="AC30" s="33">
        <f t="shared" si="0"/>
        <v>8.6296296296296298</v>
      </c>
      <c r="AD30" s="33">
        <f t="shared" si="0"/>
        <v>8.2592592592592595</v>
      </c>
      <c r="AE30" s="33">
        <f t="shared" si="0"/>
        <v>8.2962962962962958</v>
      </c>
      <c r="AF30" s="33">
        <f t="shared" si="0"/>
        <v>8.1851851851851851</v>
      </c>
      <c r="AG30" s="33">
        <f t="shared" si="0"/>
        <v>7.8518518518518521</v>
      </c>
      <c r="AH30" s="33">
        <f t="shared" si="0"/>
        <v>8</v>
      </c>
      <c r="AI30" s="33">
        <f t="shared" si="0"/>
        <v>7.9629629629629628</v>
      </c>
      <c r="AJ30" s="33">
        <f t="shared" si="0"/>
        <v>9.1481481481481488</v>
      </c>
      <c r="AK30" s="33">
        <f t="shared" si="0"/>
        <v>9.1851851851851851</v>
      </c>
      <c r="AL30" s="33">
        <f t="shared" si="0"/>
        <v>4.7777777777777777</v>
      </c>
      <c r="AM30" s="33">
        <f t="shared" si="0"/>
        <v>5.3703703703703702</v>
      </c>
    </row>
    <row r="31" spans="1:39" ht="15.6" x14ac:dyDescent="0.3">
      <c r="B31" s="33" t="s">
        <v>67</v>
      </c>
      <c r="C31" s="33">
        <f>_xlfn.STDEV.S(C2:C28)</f>
        <v>0.37006967850875311</v>
      </c>
      <c r="D31" s="33">
        <f t="shared" ref="D31:AM31" si="1">_xlfn.STDEV.S(D2:D28)</f>
        <v>3.7006967850874588</v>
      </c>
      <c r="E31" s="33">
        <f t="shared" si="1"/>
        <v>5.2455380577848745</v>
      </c>
      <c r="F31" s="33">
        <f t="shared" si="1"/>
        <v>4.0046269535422425</v>
      </c>
      <c r="G31" s="33">
        <f t="shared" si="1"/>
        <v>3.0118474515195928</v>
      </c>
      <c r="H31" s="33">
        <f t="shared" si="1"/>
        <v>2.2764745072888877</v>
      </c>
      <c r="I31" s="33">
        <f t="shared" si="1"/>
        <v>4.6160255965161534</v>
      </c>
      <c r="J31" s="33">
        <f t="shared" si="1"/>
        <v>223.33443040934679</v>
      </c>
      <c r="K31" s="33">
        <f t="shared" si="1"/>
        <v>165.50815302561031</v>
      </c>
      <c r="L31" s="33">
        <f t="shared" si="1"/>
        <v>52.794958966815287</v>
      </c>
      <c r="M31" s="33">
        <f t="shared" si="1"/>
        <v>90.640801992011035</v>
      </c>
      <c r="N31" s="33">
        <f t="shared" si="1"/>
        <v>3.5009156311471243</v>
      </c>
      <c r="O31" s="33">
        <f t="shared" si="1"/>
        <v>2.7383526979875179</v>
      </c>
      <c r="P31" s="33">
        <f t="shared" si="1"/>
        <v>1.92005460511145</v>
      </c>
      <c r="Q31" s="33">
        <f t="shared" si="1"/>
        <v>1.8954135676924422</v>
      </c>
      <c r="R31" s="33">
        <f t="shared" si="1"/>
        <v>1.8147857431243208</v>
      </c>
      <c r="S31" s="33">
        <f t="shared" si="1"/>
        <v>1.9749138969294078</v>
      </c>
      <c r="T31" s="33">
        <f t="shared" si="1"/>
        <v>2.1068332726503156</v>
      </c>
      <c r="U31" s="33">
        <f t="shared" si="1"/>
        <v>1.591465844045524</v>
      </c>
      <c r="V31" s="33">
        <f t="shared" si="1"/>
        <v>1.7863043388188906</v>
      </c>
      <c r="W31" s="33">
        <f t="shared" si="1"/>
        <v>1.3311948663061188</v>
      </c>
      <c r="X31" s="33">
        <f t="shared" si="1"/>
        <v>1.8566888396533887</v>
      </c>
      <c r="Y31" s="33">
        <f t="shared" si="1"/>
        <v>1.901416476047427</v>
      </c>
      <c r="Z31" s="33">
        <f t="shared" si="1"/>
        <v>2.2078595685966702</v>
      </c>
      <c r="AA31" s="33">
        <f t="shared" si="1"/>
        <v>2.3247706133204638</v>
      </c>
      <c r="AB31" s="33">
        <f t="shared" si="1"/>
        <v>1.6128048862585946</v>
      </c>
      <c r="AC31" s="33">
        <f t="shared" si="1"/>
        <v>1.1815292615976112</v>
      </c>
      <c r="AD31" s="33">
        <f t="shared" si="1"/>
        <v>2.1410384359103842</v>
      </c>
      <c r="AE31" s="33">
        <f t="shared" si="1"/>
        <v>1.8772896750945289</v>
      </c>
      <c r="AF31" s="33">
        <f t="shared" si="1"/>
        <v>1.77670908048987</v>
      </c>
      <c r="AG31" s="33">
        <f t="shared" si="1"/>
        <v>1.7910826915520142</v>
      </c>
      <c r="AH31" s="33">
        <f t="shared" si="1"/>
        <v>1.901416476047427</v>
      </c>
      <c r="AI31" s="33">
        <f t="shared" si="1"/>
        <v>1.8908988802943902</v>
      </c>
      <c r="AJ31" s="33">
        <f t="shared" si="1"/>
        <v>1.7694784912663195</v>
      </c>
      <c r="AK31" s="33">
        <f t="shared" si="1"/>
        <v>1.7549279414756815</v>
      </c>
      <c r="AL31" s="33">
        <f t="shared" si="1"/>
        <v>2.3588350014578303</v>
      </c>
      <c r="AM31" s="33">
        <f t="shared" si="1"/>
        <v>2.8842829817977846</v>
      </c>
    </row>
    <row r="33" spans="12:15" x14ac:dyDescent="0.3">
      <c r="L33" t="s">
        <v>69</v>
      </c>
      <c r="O33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Athena</dc:creator>
  <cp:lastModifiedBy>Safari Dehnavi, Zahra</cp:lastModifiedBy>
  <dcterms:created xsi:type="dcterms:W3CDTF">2015-06-05T18:19:34Z</dcterms:created>
  <dcterms:modified xsi:type="dcterms:W3CDTF">2025-09-25T12:25:53Z</dcterms:modified>
</cp:coreProperties>
</file>